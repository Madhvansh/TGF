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oks\Downloads\TGF\AI\Datasets\"/>
    </mc:Choice>
  </mc:AlternateContent>
  <xr:revisionPtr revIDLastSave="0" documentId="8_{ADDA657C-E672-4E5F-BA6C-EB24002FAF94}" xr6:coauthVersionLast="47" xr6:coauthVersionMax="47" xr10:uidLastSave="{00000000-0000-0000-0000-000000000000}"/>
  <bookViews>
    <workbookView xWindow="-98" yWindow="-98" windowWidth="21795" windowHeight="12345" tabRatio="923" activeTab="1" xr2:uid="{4D83F03C-847D-4AA7-877C-257FB5F0B704}"/>
  </bookViews>
  <sheets>
    <sheet name="MakeUp" sheetId="23" r:id="rId1"/>
    <sheet name="ECH CT PH Process" sheetId="22" r:id="rId2"/>
    <sheet name="CT Parameter Graphs" sheetId="35" r:id="rId3"/>
  </sheets>
  <definedNames>
    <definedName name="a">#REF!</definedName>
    <definedName name="_xlnm.Print_Area" localSheetId="2">'CT Parameter Graphs'!$A$1:$AS$49</definedName>
    <definedName name="_xlnm.Print_Area" localSheetId="1">'ECH CT PH Process'!$A$1:$R$312</definedName>
    <definedName name="_xlnm.Print_Area" localSheetId="0">MakeUp!$A$1:$L$313</definedName>
    <definedName name="Water_Paramete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5" i="22" l="1"/>
  <c r="J304" i="22"/>
  <c r="J303" i="22"/>
  <c r="J302" i="22"/>
  <c r="J301" i="22"/>
  <c r="J300" i="22"/>
  <c r="J299" i="22"/>
  <c r="J298" i="22"/>
  <c r="J297" i="22"/>
  <c r="J296" i="22"/>
  <c r="J295" i="22"/>
  <c r="J294" i="22"/>
  <c r="J293" i="22"/>
  <c r="J292" i="22"/>
  <c r="J291" i="22"/>
  <c r="J290" i="22"/>
  <c r="J282" i="22"/>
  <c r="J281" i="22"/>
  <c r="J280" i="22"/>
  <c r="J279" i="22"/>
  <c r="J278" i="22"/>
  <c r="J277" i="22"/>
  <c r="J276" i="22"/>
  <c r="J275" i="22"/>
  <c r="J274" i="22"/>
  <c r="J273" i="22"/>
  <c r="J272" i="22"/>
  <c r="J271" i="22"/>
  <c r="J270" i="22"/>
  <c r="J269" i="22"/>
  <c r="J311" i="22" s="1"/>
  <c r="J268" i="22"/>
  <c r="J267" i="22"/>
  <c r="J266" i="22"/>
  <c r="J265" i="22"/>
  <c r="J264" i="22"/>
  <c r="J263" i="22"/>
  <c r="J262" i="22"/>
  <c r="J261" i="22"/>
  <c r="J260" i="22"/>
  <c r="J259" i="22"/>
  <c r="J258" i="22"/>
  <c r="J257" i="22"/>
  <c r="J256" i="22"/>
  <c r="J255" i="22"/>
  <c r="J254" i="22"/>
  <c r="J253" i="22"/>
  <c r="J252" i="22"/>
  <c r="J251" i="22"/>
  <c r="J250" i="22"/>
  <c r="J249" i="22"/>
  <c r="J248" i="22"/>
  <c r="J247" i="22"/>
  <c r="J246" i="22"/>
  <c r="J245" i="22"/>
  <c r="J244" i="22"/>
  <c r="J243" i="22"/>
  <c r="J242" i="22"/>
  <c r="J241" i="22"/>
  <c r="J240" i="22"/>
  <c r="J239" i="22"/>
  <c r="J238" i="22"/>
  <c r="J237" i="22"/>
  <c r="J236" i="22"/>
  <c r="J235" i="22"/>
  <c r="J234" i="22"/>
  <c r="J233" i="22"/>
  <c r="J232" i="22"/>
  <c r="K312" i="22"/>
  <c r="J231" i="22"/>
  <c r="J230" i="22"/>
  <c r="J229" i="22"/>
  <c r="J228" i="22"/>
  <c r="J227" i="22"/>
  <c r="J226" i="22"/>
  <c r="J225" i="22"/>
  <c r="J224" i="22"/>
  <c r="J223" i="22"/>
  <c r="J222" i="22"/>
  <c r="J221" i="22"/>
  <c r="J220" i="22"/>
  <c r="J219" i="22"/>
  <c r="J218" i="22"/>
  <c r="J217" i="22"/>
  <c r="J216" i="22"/>
  <c r="J215" i="22"/>
  <c r="J214" i="22"/>
  <c r="J213" i="22"/>
  <c r="J212" i="22"/>
  <c r="J211" i="22"/>
  <c r="J210" i="22"/>
  <c r="J209" i="22"/>
  <c r="J208" i="22"/>
  <c r="J207" i="22"/>
  <c r="J206" i="22"/>
  <c r="J205" i="22"/>
  <c r="J204" i="22"/>
  <c r="J203" i="22"/>
  <c r="J202" i="22"/>
  <c r="J201" i="22"/>
  <c r="J200" i="22"/>
  <c r="J199" i="22"/>
  <c r="J198" i="22"/>
  <c r="J197" i="22"/>
  <c r="J196" i="22"/>
  <c r="J195" i="22"/>
  <c r="J194" i="22"/>
  <c r="J193" i="22"/>
  <c r="J192" i="22"/>
  <c r="J191" i="22"/>
  <c r="J190" i="22"/>
  <c r="J189" i="22"/>
  <c r="J188" i="22"/>
  <c r="J187" i="22"/>
  <c r="J186" i="22"/>
  <c r="J185" i="22"/>
  <c r="J184" i="22"/>
  <c r="J183" i="22"/>
  <c r="J182" i="22"/>
  <c r="J181" i="22"/>
  <c r="J180" i="22"/>
  <c r="J179" i="22"/>
  <c r="J178" i="22"/>
  <c r="J177" i="22"/>
  <c r="J176" i="22"/>
  <c r="J175" i="22"/>
  <c r="J174" i="22"/>
  <c r="J173" i="22"/>
  <c r="J172" i="22"/>
  <c r="J171" i="22"/>
  <c r="J170" i="22"/>
  <c r="J169" i="22"/>
  <c r="J168" i="22"/>
  <c r="J167" i="22"/>
  <c r="J166" i="22"/>
  <c r="J165" i="22"/>
  <c r="J164" i="22"/>
  <c r="J163" i="22"/>
  <c r="J162" i="22"/>
  <c r="J161" i="22"/>
  <c r="J160" i="22"/>
  <c r="J159" i="22"/>
  <c r="J158" i="22"/>
  <c r="J157" i="22"/>
  <c r="J156" i="22"/>
  <c r="J155" i="22"/>
  <c r="J154" i="22"/>
  <c r="J153" i="22"/>
  <c r="J152" i="22"/>
  <c r="J151" i="22"/>
  <c r="J150" i="22"/>
  <c r="J149" i="22"/>
  <c r="J148" i="22"/>
  <c r="J147" i="22"/>
  <c r="J146" i="22"/>
  <c r="J145" i="22"/>
  <c r="J144" i="22"/>
  <c r="J143" i="22"/>
  <c r="J142" i="22"/>
  <c r="J141" i="22"/>
  <c r="J140" i="22"/>
  <c r="J139" i="22"/>
  <c r="J138" i="22"/>
  <c r="J137" i="22"/>
  <c r="J136" i="22"/>
  <c r="J135" i="22"/>
  <c r="J134" i="22"/>
  <c r="J133" i="22"/>
  <c r="J132" i="22"/>
  <c r="J131" i="22"/>
  <c r="J130" i="22"/>
  <c r="J129" i="22"/>
  <c r="J128" i="22"/>
  <c r="J127" i="22"/>
  <c r="J126" i="22"/>
  <c r="J125" i="22"/>
  <c r="J124" i="22"/>
  <c r="J123" i="22"/>
  <c r="J122" i="22"/>
  <c r="J121" i="22"/>
  <c r="J120" i="22"/>
  <c r="J119" i="22"/>
  <c r="J118" i="22"/>
  <c r="J117" i="22"/>
  <c r="J116" i="22"/>
  <c r="J115" i="22"/>
  <c r="J114" i="22"/>
  <c r="J113" i="22"/>
  <c r="J112" i="22"/>
  <c r="J111" i="22"/>
  <c r="J110" i="22"/>
  <c r="J109" i="22"/>
  <c r="J108" i="22"/>
  <c r="J107" i="22"/>
  <c r="J106" i="22"/>
  <c r="J105" i="22"/>
  <c r="J104" i="22"/>
  <c r="J103" i="22"/>
  <c r="J102" i="22"/>
  <c r="J101" i="22"/>
  <c r="J100" i="22"/>
  <c r="J99" i="22"/>
  <c r="J98" i="22"/>
  <c r="J97" i="22"/>
  <c r="J96" i="22"/>
  <c r="J95" i="22"/>
  <c r="J94" i="22"/>
  <c r="J93" i="22"/>
  <c r="J92" i="22"/>
  <c r="J91" i="22"/>
  <c r="J90" i="22"/>
  <c r="J89" i="22"/>
  <c r="J88" i="22"/>
  <c r="J87" i="22"/>
  <c r="J86" i="22"/>
  <c r="J85" i="22"/>
  <c r="J84" i="22"/>
  <c r="J83" i="22"/>
  <c r="J82" i="22"/>
  <c r="J81" i="22"/>
  <c r="J80" i="22"/>
  <c r="J79" i="22"/>
  <c r="J78" i="22"/>
  <c r="J77" i="22"/>
  <c r="J76" i="22"/>
  <c r="J75" i="22"/>
  <c r="J74" i="22"/>
  <c r="J73" i="22"/>
  <c r="J72" i="22"/>
  <c r="J71" i="22"/>
  <c r="J70" i="22"/>
  <c r="J69" i="22"/>
  <c r="J68" i="22"/>
  <c r="J67" i="22"/>
  <c r="J66" i="22"/>
  <c r="J65" i="22"/>
  <c r="J64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40" i="22"/>
  <c r="J39" i="22"/>
  <c r="J38" i="22"/>
  <c r="J37" i="22"/>
  <c r="J36" i="22"/>
  <c r="J35" i="22"/>
  <c r="J34" i="22"/>
  <c r="J33" i="22"/>
  <c r="J32" i="22"/>
  <c r="J31" i="22"/>
  <c r="J30" i="22"/>
  <c r="J6" i="22"/>
  <c r="J7" i="22"/>
  <c r="J8" i="22"/>
  <c r="J9" i="22"/>
  <c r="J10" i="22"/>
  <c r="J11" i="22"/>
  <c r="J12" i="22"/>
  <c r="J13" i="22"/>
  <c r="J14" i="22"/>
  <c r="J312" i="22" s="1"/>
  <c r="J15" i="22"/>
  <c r="J310" i="22" s="1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6" i="22"/>
  <c r="J307" i="22"/>
  <c r="J308" i="22"/>
  <c r="J5" i="22"/>
  <c r="B310" i="22"/>
  <c r="E310" i="22"/>
  <c r="F310" i="22"/>
  <c r="G310" i="22"/>
  <c r="H310" i="22"/>
  <c r="I310" i="22"/>
  <c r="M310" i="22"/>
  <c r="N310" i="22"/>
  <c r="O310" i="22"/>
  <c r="P310" i="22"/>
  <c r="Q310" i="22"/>
  <c r="R310" i="22"/>
  <c r="A311" i="22"/>
  <c r="B311" i="22"/>
  <c r="E311" i="22"/>
  <c r="F311" i="22"/>
  <c r="G311" i="22"/>
  <c r="H311" i="22"/>
  <c r="I311" i="22"/>
  <c r="M311" i="22"/>
  <c r="N311" i="22"/>
  <c r="O311" i="22"/>
  <c r="P311" i="22"/>
  <c r="Q311" i="22"/>
  <c r="R311" i="22"/>
  <c r="A312" i="22"/>
  <c r="B312" i="22"/>
  <c r="E312" i="22"/>
  <c r="F312" i="22"/>
  <c r="G312" i="22"/>
  <c r="H312" i="22"/>
  <c r="I312" i="22"/>
  <c r="L312" i="22"/>
  <c r="M312" i="22"/>
  <c r="O312" i="22"/>
  <c r="P312" i="22"/>
  <c r="Q312" i="22"/>
  <c r="R312" i="22"/>
  <c r="B313" i="22"/>
  <c r="B315" i="22" s="1"/>
  <c r="E313" i="22"/>
  <c r="E315" i="22" s="1"/>
  <c r="L313" i="22"/>
  <c r="L315" i="22" s="1"/>
  <c r="B314" i="22"/>
  <c r="B316" i="22" s="1"/>
  <c r="C314" i="22"/>
  <c r="C316" i="22" s="1"/>
  <c r="E314" i="22"/>
  <c r="E316" i="22" s="1"/>
  <c r="G314" i="22"/>
  <c r="G316" i="22" s="1"/>
  <c r="H314" i="22"/>
  <c r="H316" i="22" s="1"/>
  <c r="K314" i="22"/>
  <c r="K316" i="22" s="1"/>
  <c r="L314" i="22"/>
  <c r="L316" i="22" s="1"/>
  <c r="M314" i="22"/>
  <c r="M316" i="22" s="1"/>
  <c r="O314" i="22"/>
  <c r="O316" i="22" s="1"/>
  <c r="Q314" i="22"/>
  <c r="Q316" i="22" s="1"/>
  <c r="R314" i="22"/>
  <c r="R316" i="22" s="1"/>
  <c r="M315" i="22"/>
  <c r="N315" i="22"/>
  <c r="O315" i="22"/>
  <c r="P315" i="22"/>
  <c r="Q315" i="22"/>
  <c r="F316" i="22"/>
  <c r="I316" i="22"/>
  <c r="N316" i="22"/>
  <c r="P316" i="22"/>
  <c r="B311" i="23"/>
  <c r="E311" i="23"/>
  <c r="F311" i="23"/>
  <c r="G311" i="23"/>
  <c r="H311" i="23"/>
  <c r="I311" i="23"/>
  <c r="J311" i="23"/>
  <c r="K311" i="23"/>
  <c r="B312" i="23"/>
  <c r="F312" i="23"/>
  <c r="G312" i="23"/>
  <c r="H312" i="23"/>
  <c r="I312" i="23"/>
  <c r="J312" i="23"/>
  <c r="K312" i="23"/>
  <c r="C313" i="23"/>
  <c r="E313" i="23"/>
  <c r="F313" i="23"/>
  <c r="G313" i="23"/>
  <c r="H313" i="23"/>
  <c r="I313" i="23"/>
  <c r="J313" i="23"/>
  <c r="K313" i="23"/>
  <c r="K311" i="22"/>
</calcChain>
</file>

<file path=xl/sharedStrings.xml><?xml version="1.0" encoding="utf-8"?>
<sst xmlns="http://schemas.openxmlformats.org/spreadsheetml/2006/main" count="2454" uniqueCount="404">
  <si>
    <t>DATE</t>
  </si>
  <si>
    <t xml:space="preserve">pH </t>
  </si>
  <si>
    <t>Turbidity</t>
  </si>
  <si>
    <t>COND</t>
  </si>
  <si>
    <t>TH</t>
  </si>
  <si>
    <t>CaH</t>
  </si>
  <si>
    <t>MgH</t>
  </si>
  <si>
    <t>Cl</t>
  </si>
  <si>
    <t>AVG.</t>
  </si>
  <si>
    <t>MAX.</t>
  </si>
  <si>
    <t>MIN.</t>
  </si>
  <si>
    <t>ppm</t>
  </si>
  <si>
    <t>--</t>
  </si>
  <si>
    <t xml:space="preserve">MAKE UP WATER ANALYSIS </t>
  </si>
  <si>
    <t>Date</t>
  </si>
  <si>
    <t>pH</t>
  </si>
  <si>
    <t>Cond</t>
  </si>
  <si>
    <t>Turb.</t>
  </si>
  <si>
    <t>FRC</t>
  </si>
  <si>
    <t xml:space="preserve">CaH </t>
  </si>
  <si>
    <t>Silica</t>
  </si>
  <si>
    <t>No. of &lt; Spec</t>
  </si>
  <si>
    <t>No. of &gt; Spec</t>
  </si>
  <si>
    <t>% &lt; Specs.</t>
  </si>
  <si>
    <t>% &gt; Specs.</t>
  </si>
  <si>
    <r>
      <t>SiO</t>
    </r>
    <r>
      <rPr>
        <b/>
        <vertAlign val="subscript"/>
        <sz val="11"/>
        <rFont val="Verdana"/>
        <family val="2"/>
      </rPr>
      <t>2</t>
    </r>
  </si>
  <si>
    <t>Unit</t>
  </si>
  <si>
    <t>NTU</t>
  </si>
  <si>
    <t>TDS</t>
  </si>
  <si>
    <t>us/cm</t>
  </si>
  <si>
    <t>T. Alk.</t>
  </si>
  <si>
    <t>P. Alk.</t>
  </si>
  <si>
    <t>NIL</t>
  </si>
  <si>
    <t>CIRCULATING WATER ANALYSIS FOR COOLING TOWER</t>
  </si>
  <si>
    <t>Total Iron</t>
  </si>
  <si>
    <t>SS</t>
  </si>
  <si>
    <t>Sulphate</t>
  </si>
  <si>
    <t>Max. 20 NTU</t>
  </si>
  <si>
    <t>Max. 1200 ppm</t>
  </si>
  <si>
    <t>Max. 500 ppm</t>
  </si>
  <si>
    <t>Max. 200 ppm</t>
  </si>
  <si>
    <t>0 ppm</t>
  </si>
  <si>
    <t>Max. 2 ppm</t>
  </si>
  <si>
    <t>Max. 1000 ppm</t>
  </si>
  <si>
    <t>0.2 - 0.5 ppm</t>
  </si>
  <si>
    <t>umho/cm</t>
  </si>
  <si>
    <t>180 ppm</t>
  </si>
  <si>
    <t>7.5-8.0</t>
  </si>
  <si>
    <t>Max. 2100 ppm</t>
  </si>
  <si>
    <t>ORTHO PO4</t>
  </si>
  <si>
    <t>6.0 - 8.0 ppm</t>
  </si>
  <si>
    <t>-</t>
  </si>
  <si>
    <t>11.09.24</t>
  </si>
  <si>
    <t>12.09.24</t>
  </si>
  <si>
    <t>17.09.24</t>
  </si>
  <si>
    <t>30.09.24</t>
  </si>
  <si>
    <t>03.10.24</t>
  </si>
  <si>
    <t>10.10.24</t>
  </si>
  <si>
    <t>11.10.24</t>
  </si>
  <si>
    <t>15.10.24</t>
  </si>
  <si>
    <t>16.10.24</t>
  </si>
  <si>
    <t>17.10.24</t>
  </si>
  <si>
    <t>18.10.24</t>
  </si>
  <si>
    <t>19.10.24</t>
  </si>
  <si>
    <t>21.10.24</t>
  </si>
  <si>
    <t>22.10.24</t>
  </si>
  <si>
    <t>24.10.24</t>
  </si>
  <si>
    <t>25.10.24</t>
  </si>
  <si>
    <t>26.10.24</t>
  </si>
  <si>
    <t>29.10.24</t>
  </si>
  <si>
    <t>30.10.24</t>
  </si>
  <si>
    <t>31.10.24</t>
  </si>
  <si>
    <t>01.10.24</t>
  </si>
  <si>
    <t>08.10.24</t>
  </si>
  <si>
    <t>23.10.24</t>
  </si>
  <si>
    <t>28.10.24</t>
  </si>
  <si>
    <t>04.11.24</t>
  </si>
  <si>
    <t>05.11.24</t>
  </si>
  <si>
    <t>06.11.24</t>
  </si>
  <si>
    <t>08.11.24</t>
  </si>
  <si>
    <t>09.11.24</t>
  </si>
  <si>
    <t>11.11.24</t>
  </si>
  <si>
    <t>12.11.24</t>
  </si>
  <si>
    <t>13.11.24</t>
  </si>
  <si>
    <t>14.11.24</t>
  </si>
  <si>
    <t>15.11.24</t>
  </si>
  <si>
    <t>16.11.24</t>
  </si>
  <si>
    <t>18.11.24</t>
  </si>
  <si>
    <t>19.11.24</t>
  </si>
  <si>
    <t>20.11.24</t>
  </si>
  <si>
    <t>21.11.24</t>
  </si>
  <si>
    <t>STOP</t>
  </si>
  <si>
    <t>22.11.24</t>
  </si>
  <si>
    <t>23.11.24</t>
  </si>
  <si>
    <t>25.11.24</t>
  </si>
  <si>
    <t>26.11.24</t>
  </si>
  <si>
    <t>27.11.24</t>
  </si>
  <si>
    <t>28.11.24</t>
  </si>
  <si>
    <t>29.11.24</t>
  </si>
  <si>
    <t>30.11.24</t>
  </si>
  <si>
    <t>07.11.24</t>
  </si>
  <si>
    <t>02.12.24</t>
  </si>
  <si>
    <t>03.12.24</t>
  </si>
  <si>
    <t>04.12.24</t>
  </si>
  <si>
    <t>05.12.24</t>
  </si>
  <si>
    <t>06.12.24</t>
  </si>
  <si>
    <t>07.12.24</t>
  </si>
  <si>
    <t>09.12.24</t>
  </si>
  <si>
    <t>10.12.24</t>
  </si>
  <si>
    <t>11.12.24</t>
  </si>
  <si>
    <t>12.12.24</t>
  </si>
  <si>
    <t>13.12.24</t>
  </si>
  <si>
    <t>14.12.24</t>
  </si>
  <si>
    <t>16.12.24</t>
  </si>
  <si>
    <t>17.12.24</t>
  </si>
  <si>
    <t>18.12.24</t>
  </si>
  <si>
    <t>19.12.24</t>
  </si>
  <si>
    <t>20.12.24</t>
  </si>
  <si>
    <t>21.12.24</t>
  </si>
  <si>
    <t>23.12.24</t>
  </si>
  <si>
    <t>24.12.24</t>
  </si>
  <si>
    <t>25.12.24</t>
  </si>
  <si>
    <t>26.12.24</t>
  </si>
  <si>
    <t>27.12.24</t>
  </si>
  <si>
    <t>28.12.24</t>
  </si>
  <si>
    <t>30.12.24</t>
  </si>
  <si>
    <t>31.12.24</t>
  </si>
  <si>
    <t>01.01.25</t>
  </si>
  <si>
    <t>02.01.25</t>
  </si>
  <si>
    <t>03.01.25</t>
  </si>
  <si>
    <t>04.01.25</t>
  </si>
  <si>
    <t>08.01.25</t>
  </si>
  <si>
    <t>09.01.25</t>
  </si>
  <si>
    <t>10.01.25</t>
  </si>
  <si>
    <t>11.01.25</t>
  </si>
  <si>
    <t>13.01.25</t>
  </si>
  <si>
    <t>15.01.25</t>
  </si>
  <si>
    <t>16.01.25</t>
  </si>
  <si>
    <t>17.01.25</t>
  </si>
  <si>
    <t>18.01.25</t>
  </si>
  <si>
    <t>20.01.25</t>
  </si>
  <si>
    <t>21.01.25</t>
  </si>
  <si>
    <t>22.01.25</t>
  </si>
  <si>
    <t>23.01.25</t>
  </si>
  <si>
    <t>24.01.25</t>
  </si>
  <si>
    <t>25.01.25</t>
  </si>
  <si>
    <t>27.01.25</t>
  </si>
  <si>
    <t>28.01.25</t>
  </si>
  <si>
    <t>29.01.25</t>
  </si>
  <si>
    <t>30.01.25</t>
  </si>
  <si>
    <t>31.01.25</t>
  </si>
  <si>
    <t>01.02.2025</t>
  </si>
  <si>
    <t>03.02.2025</t>
  </si>
  <si>
    <t>04.02.2025</t>
  </si>
  <si>
    <t>05.02.2025</t>
  </si>
  <si>
    <t>06.02.2025</t>
  </si>
  <si>
    <t>07.02.2025</t>
  </si>
  <si>
    <t>08.02.2025</t>
  </si>
  <si>
    <t>10.02.2025</t>
  </si>
  <si>
    <t>11.02.2025</t>
  </si>
  <si>
    <t>12.02.2025</t>
  </si>
  <si>
    <t>13.02.2025</t>
  </si>
  <si>
    <t>14.02.2025</t>
  </si>
  <si>
    <t>15.02.2025</t>
  </si>
  <si>
    <t>17.02.2025</t>
  </si>
  <si>
    <t>18.02.2025</t>
  </si>
  <si>
    <t>19.02.2025</t>
  </si>
  <si>
    <t>20.02.2025</t>
  </si>
  <si>
    <t>21.02.2025</t>
  </si>
  <si>
    <t>22.02.2025</t>
  </si>
  <si>
    <t>24.02.2025</t>
  </si>
  <si>
    <t>25.02.2025</t>
  </si>
  <si>
    <t>27.02.2025</t>
  </si>
  <si>
    <t>28.02.2025</t>
  </si>
  <si>
    <t>01.02.25</t>
  </si>
  <si>
    <t>03.02.25</t>
  </si>
  <si>
    <t>04.02.25</t>
  </si>
  <si>
    <t>05.02.25</t>
  </si>
  <si>
    <t>06.02.25</t>
  </si>
  <si>
    <t>07.02.25</t>
  </si>
  <si>
    <t>08.02.25</t>
  </si>
  <si>
    <t>10.02.25</t>
  </si>
  <si>
    <t>Nil</t>
  </si>
  <si>
    <t>11.02.25</t>
  </si>
  <si>
    <t>12.02.25</t>
  </si>
  <si>
    <t>13.02.25</t>
  </si>
  <si>
    <t>14.02.25</t>
  </si>
  <si>
    <t>15.02.25</t>
  </si>
  <si>
    <t>17.02.25</t>
  </si>
  <si>
    <t>18.02.25</t>
  </si>
  <si>
    <t>19.02.25</t>
  </si>
  <si>
    <t>20.02.25</t>
  </si>
  <si>
    <t>21.02.25</t>
  </si>
  <si>
    <t>22.02.25</t>
  </si>
  <si>
    <t>24.02.25</t>
  </si>
  <si>
    <t>25.02.25</t>
  </si>
  <si>
    <t>27.02.25</t>
  </si>
  <si>
    <t>28.02.25</t>
  </si>
  <si>
    <t>01.03.2025</t>
  </si>
  <si>
    <t>03.03.2025</t>
  </si>
  <si>
    <t>04.03.2025</t>
  </si>
  <si>
    <t>05.03.2025</t>
  </si>
  <si>
    <t>06.03.2025</t>
  </si>
  <si>
    <t>07.03.2025</t>
  </si>
  <si>
    <t>08.03.2025</t>
  </si>
  <si>
    <t>10.03.2025</t>
  </si>
  <si>
    <t>11.03.2025</t>
  </si>
  <si>
    <t>12.03.2025</t>
  </si>
  <si>
    <t>13.03.2025</t>
  </si>
  <si>
    <t>15.03.2025</t>
  </si>
  <si>
    <t>17.03.2025</t>
  </si>
  <si>
    <t>18.03.2025</t>
  </si>
  <si>
    <t>19.03.2025</t>
  </si>
  <si>
    <t>20.03.2025</t>
  </si>
  <si>
    <t>21.03.2025</t>
  </si>
  <si>
    <t>22.03.2025</t>
  </si>
  <si>
    <t>24.03.2025</t>
  </si>
  <si>
    <t>25.03.2025</t>
  </si>
  <si>
    <t>26.03.2025</t>
  </si>
  <si>
    <t>27.03.2025</t>
  </si>
  <si>
    <t>28.03.2025</t>
  </si>
  <si>
    <t>29.03.2025</t>
  </si>
  <si>
    <t>31.03.2025</t>
  </si>
  <si>
    <t>01.03.25</t>
  </si>
  <si>
    <t>03.03.25</t>
  </si>
  <si>
    <t>04.03.25</t>
  </si>
  <si>
    <t>05.03.25</t>
  </si>
  <si>
    <t>06.03.25</t>
  </si>
  <si>
    <t>07.03.25</t>
  </si>
  <si>
    <t>08.03.25</t>
  </si>
  <si>
    <t>10.03.25</t>
  </si>
  <si>
    <t>11.03.25</t>
  </si>
  <si>
    <t>12.03.25</t>
  </si>
  <si>
    <t>13.03.25</t>
  </si>
  <si>
    <t>15.03.25</t>
  </si>
  <si>
    <t>17.03.25</t>
  </si>
  <si>
    <t>18.03.25</t>
  </si>
  <si>
    <t>19.03.25</t>
  </si>
  <si>
    <t>20.03.25</t>
  </si>
  <si>
    <t>21.03.25</t>
  </si>
  <si>
    <t>22.03.25</t>
  </si>
  <si>
    <t>24.03.25</t>
  </si>
  <si>
    <t>25.03.25</t>
  </si>
  <si>
    <t>26.03.25</t>
  </si>
  <si>
    <t>27.03.25</t>
  </si>
  <si>
    <t>28.03.25</t>
  </si>
  <si>
    <t>29.03.25</t>
  </si>
  <si>
    <t>31.03.25</t>
  </si>
  <si>
    <t>01.04.2025</t>
  </si>
  <si>
    <t>02.04.2025</t>
  </si>
  <si>
    <t>03.04.2025</t>
  </si>
  <si>
    <t>04.04.2025</t>
  </si>
  <si>
    <t>05.04.2025</t>
  </si>
  <si>
    <t>07.04.2025</t>
  </si>
  <si>
    <t>08.04.2025</t>
  </si>
  <si>
    <t>09.04.2025</t>
  </si>
  <si>
    <t>10.04.2025</t>
  </si>
  <si>
    <t>11.04.2025</t>
  </si>
  <si>
    <t>12.04.2025</t>
  </si>
  <si>
    <t>14.04.2025</t>
  </si>
  <si>
    <t>15.04.2025</t>
  </si>
  <si>
    <t>16.04.2025</t>
  </si>
  <si>
    <t>17.04.2025</t>
  </si>
  <si>
    <t>18.04.2025</t>
  </si>
  <si>
    <t>19.04.2025</t>
  </si>
  <si>
    <t>21.04.2025</t>
  </si>
  <si>
    <t>22.04.2025</t>
  </si>
  <si>
    <t>23.04.2025</t>
  </si>
  <si>
    <t>24.04.2025</t>
  </si>
  <si>
    <t>25.04.2025</t>
  </si>
  <si>
    <t>26.04.2025</t>
  </si>
  <si>
    <t>28.04.2025</t>
  </si>
  <si>
    <t>29.04.2025</t>
  </si>
  <si>
    <t>30.01.2025</t>
  </si>
  <si>
    <t>01.04.25</t>
  </si>
  <si>
    <t>02.04.25</t>
  </si>
  <si>
    <t>03.04.25</t>
  </si>
  <si>
    <t>04.04.25</t>
  </si>
  <si>
    <t>05.04.25</t>
  </si>
  <si>
    <t>07.04.25</t>
  </si>
  <si>
    <t>08.04.25</t>
  </si>
  <si>
    <t>09.04.25</t>
  </si>
  <si>
    <t>10.04.25</t>
  </si>
  <si>
    <t>11.04.25</t>
  </si>
  <si>
    <t>12.04.25</t>
  </si>
  <si>
    <t>14.04.25</t>
  </si>
  <si>
    <t>15.04.25</t>
  </si>
  <si>
    <t>16.04.25</t>
  </si>
  <si>
    <t>17.04.25</t>
  </si>
  <si>
    <t>18.04.25</t>
  </si>
  <si>
    <t>19.04.25</t>
  </si>
  <si>
    <t>21.04.25</t>
  </si>
  <si>
    <t>22.04.25</t>
  </si>
  <si>
    <t>23.04.25</t>
  </si>
  <si>
    <t>24.04.25</t>
  </si>
  <si>
    <t>25.04.25</t>
  </si>
  <si>
    <t>26.04.25</t>
  </si>
  <si>
    <t>28.04.25</t>
  </si>
  <si>
    <t>29.04.25</t>
  </si>
  <si>
    <t>30.04.25</t>
  </si>
  <si>
    <t>01.05.25</t>
  </si>
  <si>
    <t>02.05.25</t>
  </si>
  <si>
    <t>03.05.25</t>
  </si>
  <si>
    <t>05.05.25</t>
  </si>
  <si>
    <t>06.05.25</t>
  </si>
  <si>
    <t>07.05.25</t>
  </si>
  <si>
    <t>08.05.25</t>
  </si>
  <si>
    <t>09.05.25</t>
  </si>
  <si>
    <t>Stop</t>
  </si>
  <si>
    <t>10.05.25</t>
  </si>
  <si>
    <t>12.05.25</t>
  </si>
  <si>
    <t>13.05.25</t>
  </si>
  <si>
    <t>14.05.25</t>
  </si>
  <si>
    <t>15.05.25</t>
  </si>
  <si>
    <t>16.05.25</t>
  </si>
  <si>
    <t>17.05.25</t>
  </si>
  <si>
    <t>19.05.25</t>
  </si>
  <si>
    <t>20.05.25</t>
  </si>
  <si>
    <t>21.05.25</t>
  </si>
  <si>
    <t>22.05.25</t>
  </si>
  <si>
    <t>23.05.25</t>
  </si>
  <si>
    <t>24.05.25</t>
  </si>
  <si>
    <t>26.05.25</t>
  </si>
  <si>
    <t>27.05.25</t>
  </si>
  <si>
    <t>28.05.25</t>
  </si>
  <si>
    <t>29.05.25</t>
  </si>
  <si>
    <t>30.05.25</t>
  </si>
  <si>
    <t>31.05.25</t>
  </si>
  <si>
    <t>02.06.25</t>
  </si>
  <si>
    <t>03.06.25</t>
  </si>
  <si>
    <t>04.06.25</t>
  </si>
  <si>
    <t>05.06.25</t>
  </si>
  <si>
    <t>06.06.25</t>
  </si>
  <si>
    <t>07.06.25</t>
  </si>
  <si>
    <t>09.06.25</t>
  </si>
  <si>
    <t>10.06.25</t>
  </si>
  <si>
    <t>11.06.25</t>
  </si>
  <si>
    <t>12.06.25</t>
  </si>
  <si>
    <t>13.06.25</t>
  </si>
  <si>
    <t>14.06.25</t>
  </si>
  <si>
    <t>16.06.25</t>
  </si>
  <si>
    <t>17.06.25</t>
  </si>
  <si>
    <t>18.06.25</t>
  </si>
  <si>
    <t>19.06.25</t>
  </si>
  <si>
    <t>20.06.25</t>
  </si>
  <si>
    <t>21.06.25</t>
  </si>
  <si>
    <t>23.06.25</t>
  </si>
  <si>
    <t>24.06.25</t>
  </si>
  <si>
    <t>25.06.25</t>
  </si>
  <si>
    <t>26.06.25</t>
  </si>
  <si>
    <t>27.06.25</t>
  </si>
  <si>
    <t>28.06.25</t>
  </si>
  <si>
    <t>30.06.25</t>
  </si>
  <si>
    <t>TSS</t>
  </si>
  <si>
    <t>Max.20
PPM</t>
  </si>
  <si>
    <t>01.07.25</t>
  </si>
  <si>
    <t>02.07.25</t>
  </si>
  <si>
    <t>03.07.25</t>
  </si>
  <si>
    <t>04.07.25</t>
  </si>
  <si>
    <t>05.07.25</t>
  </si>
  <si>
    <t>07.07.25</t>
  </si>
  <si>
    <t>08.07.25</t>
  </si>
  <si>
    <t>09.07.25</t>
  </si>
  <si>
    <t>10.07.25</t>
  </si>
  <si>
    <t>11.07.25</t>
  </si>
  <si>
    <t>12.07.25</t>
  </si>
  <si>
    <t>14.07.25</t>
  </si>
  <si>
    <t>15.07.25</t>
  </si>
  <si>
    <t>16.07.25</t>
  </si>
  <si>
    <t>17.07.25</t>
  </si>
  <si>
    <t>18.07.25</t>
  </si>
  <si>
    <t>19.07.25</t>
  </si>
  <si>
    <t>21.07.25</t>
  </si>
  <si>
    <t>22.07.25</t>
  </si>
  <si>
    <t>23.07.25</t>
  </si>
  <si>
    <t>24.07.25</t>
  </si>
  <si>
    <t>25.07.25</t>
  </si>
  <si>
    <t>26.07.25</t>
  </si>
  <si>
    <t>28.07.25</t>
  </si>
  <si>
    <t>29.07.25</t>
  </si>
  <si>
    <t>30.07.25</t>
  </si>
  <si>
    <t>31.07.25</t>
  </si>
  <si>
    <t>01.08.25</t>
  </si>
  <si>
    <t>02.08.25</t>
  </si>
  <si>
    <t>04.08.25</t>
  </si>
  <si>
    <t>05.08.25</t>
  </si>
  <si>
    <t>06.08.25</t>
  </si>
  <si>
    <t>07.08.25</t>
  </si>
  <si>
    <t>08.08.25</t>
  </si>
  <si>
    <t>11.08.25</t>
  </si>
  <si>
    <t>12.08.25</t>
  </si>
  <si>
    <t>13.08.25</t>
  </si>
  <si>
    <t>14.08.25</t>
  </si>
  <si>
    <t>15.08.25</t>
  </si>
  <si>
    <t>18.08.25</t>
  </si>
  <si>
    <t>19.08.25</t>
  </si>
  <si>
    <t>20.08.25</t>
  </si>
  <si>
    <t>21.08.25</t>
  </si>
  <si>
    <t>22.08.25</t>
  </si>
  <si>
    <t>23.08.25</t>
  </si>
  <si>
    <t>26.08.25</t>
  </si>
  <si>
    <t>27.08.25</t>
  </si>
  <si>
    <t>28.08.25</t>
  </si>
  <si>
    <t>29.08.25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</si>
</sst>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1" formatCode="0.0"/>
    <numFmt numFmtId="182" formatCode="0.00_)"/>
    <numFmt numFmtId="183" formatCode="dd/mm/yy"/>
    <numFmt numFmtId="184" formatCode="dd\.mm\.yy"/>
  </numFmts>
  <fonts count="20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b/>
      <i/>
      <sz val="16"/>
      <name val="Helv"/>
    </font>
    <font>
      <b/>
      <sz val="11"/>
      <name val="Times New Roman"/>
      <family val="1"/>
    </font>
    <font>
      <b/>
      <sz val="16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sz val="18"/>
      <name val="Verdana"/>
      <family val="2"/>
    </font>
    <font>
      <sz val="11"/>
      <name val="Verdana"/>
      <family val="2"/>
    </font>
    <font>
      <sz val="11"/>
      <name val="Arial"/>
      <family val="2"/>
    </font>
    <font>
      <b/>
      <vertAlign val="subscript"/>
      <sz val="11"/>
      <name val="Verdana"/>
      <family val="2"/>
    </font>
    <font>
      <b/>
      <sz val="16"/>
      <color indexed="8"/>
      <name val="Verdana"/>
      <family val="2"/>
    </font>
    <font>
      <b/>
      <sz val="10"/>
      <name val="Verdana"/>
      <family val="2"/>
    </font>
    <font>
      <b/>
      <sz val="10"/>
      <color indexed="8"/>
      <name val="Verdana"/>
      <family val="2"/>
    </font>
    <font>
      <b/>
      <sz val="11"/>
      <name val="Verdana"/>
      <family val="1"/>
    </font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11"/>
      <color theme="1"/>
      <name val="Verdana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9">
    <border>
      <left/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" fillId="0" borderId="1" applyNumberFormat="0" applyFill="0" applyBorder="0" applyProtection="0"/>
    <xf numFmtId="38" fontId="3" fillId="2" borderId="0" applyNumberFormat="0" applyBorder="0" applyAlignment="0" applyProtection="0"/>
    <xf numFmtId="10" fontId="3" fillId="3" borderId="2" applyNumberFormat="0" applyBorder="0" applyAlignment="0" applyProtection="0"/>
    <xf numFmtId="182" fontId="4" fillId="0" borderId="0"/>
    <xf numFmtId="0" fontId="17" fillId="0" borderId="0"/>
    <xf numFmtId="0" fontId="1" fillId="0" borderId="0"/>
    <xf numFmtId="10" fontId="1" fillId="0" borderId="0" applyFont="0" applyFill="0" applyBorder="0" applyAlignment="0" applyProtection="0"/>
    <xf numFmtId="40" fontId="5" fillId="0" borderId="0"/>
  </cellStyleXfs>
  <cellXfs count="138">
    <xf numFmtId="0" fontId="0" fillId="0" borderId="0" xfId="0"/>
    <xf numFmtId="181" fontId="7" fillId="0" borderId="3" xfId="0" applyNumberFormat="1" applyFont="1" applyBorder="1" applyAlignment="1">
      <alignment horizontal="center" vertical="center"/>
    </xf>
    <xf numFmtId="181" fontId="7" fillId="0" borderId="2" xfId="0" applyNumberFormat="1" applyFont="1" applyBorder="1" applyAlignment="1">
      <alignment horizontal="center" vertical="center"/>
    </xf>
    <xf numFmtId="181" fontId="7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 vertical="center"/>
    </xf>
    <xf numFmtId="181" fontId="7" fillId="0" borderId="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3" xfId="0" quotePrefix="1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4" xfId="0" quotePrefix="1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181" fontId="10" fillId="0" borderId="0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0" borderId="11" xfId="0" quotePrefix="1" applyNumberFormat="1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Border="1" applyAlignment="1">
      <alignment horizontal="center" vertical="center" wrapText="1"/>
    </xf>
    <xf numFmtId="183" fontId="7" fillId="0" borderId="6" xfId="0" applyNumberFormat="1" applyFont="1" applyBorder="1" applyAlignment="1">
      <alignment horizontal="center" vertical="center" wrapText="1"/>
    </xf>
    <xf numFmtId="183" fontId="7" fillId="0" borderId="8" xfId="0" applyNumberFormat="1" applyFont="1" applyBorder="1" applyAlignment="1">
      <alignment horizontal="center" vertical="center" wrapText="1"/>
    </xf>
    <xf numFmtId="181" fontId="7" fillId="0" borderId="12" xfId="0" applyNumberFormat="1" applyFont="1" applyBorder="1" applyAlignment="1">
      <alignment horizontal="center" vertical="center"/>
    </xf>
    <xf numFmtId="181" fontId="7" fillId="0" borderId="13" xfId="0" applyNumberFormat="1" applyFont="1" applyBorder="1" applyAlignment="1">
      <alignment horizontal="center" vertical="center"/>
    </xf>
    <xf numFmtId="181" fontId="7" fillId="0" borderId="14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2" fontId="7" fillId="0" borderId="21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0" borderId="20" xfId="0" quotePrefix="1" applyNumberFormat="1" applyFont="1" applyBorder="1" applyAlignment="1">
      <alignment horizontal="center" vertical="center"/>
    </xf>
    <xf numFmtId="1" fontId="7" fillId="0" borderId="23" xfId="0" quotePrefix="1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1" fontId="7" fillId="0" borderId="2" xfId="0" quotePrefix="1" applyNumberFormat="1" applyFont="1" applyBorder="1" applyAlignment="1">
      <alignment horizontal="center" vertical="center"/>
    </xf>
    <xf numFmtId="181" fontId="7" fillId="0" borderId="2" xfId="0" applyNumberFormat="1" applyFont="1" applyBorder="1" applyAlignment="1" applyProtection="1">
      <alignment horizontal="center" vertical="center"/>
      <protection locked="0"/>
    </xf>
    <xf numFmtId="1" fontId="7" fillId="0" borderId="2" xfId="0" applyNumberFormat="1" applyFont="1" applyBorder="1" applyAlignment="1" applyProtection="1">
      <alignment horizontal="center" vertical="center"/>
      <protection locked="0"/>
    </xf>
    <xf numFmtId="2" fontId="7" fillId="0" borderId="2" xfId="0" applyNumberFormat="1" applyFont="1" applyBorder="1" applyAlignment="1" applyProtection="1">
      <alignment horizontal="center" vertical="center"/>
      <protection locked="0"/>
    </xf>
    <xf numFmtId="183" fontId="7" fillId="0" borderId="27" xfId="0" applyNumberFormat="1" applyFont="1" applyBorder="1" applyAlignment="1">
      <alignment horizontal="center" vertical="center" wrapText="1"/>
    </xf>
    <xf numFmtId="181" fontId="7" fillId="0" borderId="2" xfId="0" quotePrefix="1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14" fillId="0" borderId="19" xfId="0" quotePrefix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/>
    </xf>
    <xf numFmtId="184" fontId="7" fillId="0" borderId="12" xfId="0" applyNumberFormat="1" applyFont="1" applyBorder="1" applyAlignment="1">
      <alignment horizontal="center" vertical="center" wrapText="1"/>
    </xf>
    <xf numFmtId="1" fontId="7" fillId="0" borderId="21" xfId="0" applyNumberFormat="1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184" fontId="7" fillId="0" borderId="13" xfId="0" applyNumberFormat="1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/>
    </xf>
    <xf numFmtId="2" fontId="7" fillId="0" borderId="21" xfId="0" quotePrefix="1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2" fontId="7" fillId="0" borderId="11" xfId="0" quotePrefix="1" applyNumberFormat="1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quotePrefix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181" fontId="7" fillId="0" borderId="3" xfId="0" applyNumberFormat="1" applyFont="1" applyBorder="1" applyAlignment="1" applyProtection="1">
      <alignment horizontal="center" vertical="center"/>
      <protection locked="0"/>
    </xf>
    <xf numFmtId="1" fontId="7" fillId="0" borderId="3" xfId="0" applyNumberFormat="1" applyFont="1" applyBorder="1" applyAlignment="1" applyProtection="1">
      <alignment horizontal="center" vertical="center"/>
      <protection locked="0"/>
    </xf>
    <xf numFmtId="1" fontId="7" fillId="0" borderId="11" xfId="0" quotePrefix="1" applyNumberFormat="1" applyFont="1" applyBorder="1" applyAlignment="1" applyProtection="1">
      <alignment horizontal="center" vertical="center"/>
      <protection locked="0"/>
    </xf>
    <xf numFmtId="1" fontId="7" fillId="0" borderId="21" xfId="0" quotePrefix="1" applyNumberFormat="1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>
      <alignment horizontal="center" vertical="center"/>
    </xf>
    <xf numFmtId="181" fontId="7" fillId="0" borderId="4" xfId="0" applyNumberFormat="1" applyFont="1" applyBorder="1" applyAlignment="1" applyProtection="1">
      <alignment horizontal="center" vertical="center"/>
      <protection locked="0"/>
    </xf>
    <xf numFmtId="2" fontId="7" fillId="0" borderId="4" xfId="0" applyNumberFormat="1" applyFont="1" applyBorder="1" applyAlignment="1" applyProtection="1">
      <alignment horizontal="center" vertical="center"/>
      <protection locked="0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181" fontId="7" fillId="0" borderId="29" xfId="0" quotePrefix="1" applyNumberFormat="1" applyFont="1" applyBorder="1" applyAlignment="1">
      <alignment horizontal="center" vertical="center"/>
    </xf>
    <xf numFmtId="2" fontId="7" fillId="0" borderId="30" xfId="0" applyNumberFormat="1" applyFont="1" applyBorder="1" applyAlignment="1">
      <alignment horizontal="center" vertical="center"/>
    </xf>
    <xf numFmtId="184" fontId="7" fillId="0" borderId="2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181" fontId="7" fillId="0" borderId="0" xfId="0" applyNumberFormat="1" applyFont="1" applyAlignment="1">
      <alignment horizontal="center" vertical="center" wrapText="1"/>
    </xf>
    <xf numFmtId="2" fontId="7" fillId="0" borderId="2" xfId="0" quotePrefix="1" applyNumberFormat="1" applyFont="1" applyBorder="1" applyAlignment="1">
      <alignment horizontal="center" vertical="center"/>
    </xf>
    <xf numFmtId="1" fontId="7" fillId="0" borderId="2" xfId="0" quotePrefix="1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81" fontId="18" fillId="0" borderId="3" xfId="0" applyNumberFormat="1" applyFont="1" applyBorder="1" applyAlignment="1">
      <alignment horizontal="center" vertical="center"/>
    </xf>
    <xf numFmtId="181" fontId="18" fillId="0" borderId="2" xfId="0" applyNumberFormat="1" applyFont="1" applyBorder="1" applyAlignment="1">
      <alignment horizontal="center" vertical="center"/>
    </xf>
    <xf numFmtId="184" fontId="7" fillId="0" borderId="2" xfId="0" applyNumberFormat="1" applyFont="1" applyBorder="1" applyAlignment="1">
      <alignment vertical="center" wrapText="1"/>
    </xf>
    <xf numFmtId="184" fontId="7" fillId="0" borderId="20" xfId="0" applyNumberFormat="1" applyFont="1" applyBorder="1" applyAlignment="1">
      <alignment horizontal="center" vertical="center" wrapText="1"/>
    </xf>
    <xf numFmtId="184" fontId="7" fillId="0" borderId="4" xfId="0" applyNumberFormat="1" applyFont="1" applyBorder="1" applyAlignment="1">
      <alignment horizontal="center" vertical="center" wrapText="1"/>
    </xf>
    <xf numFmtId="181" fontId="7" fillId="0" borderId="20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2" fontId="7" fillId="0" borderId="23" xfId="0" quotePrefix="1" applyNumberFormat="1" applyFont="1" applyBorder="1" applyAlignment="1">
      <alignment horizontal="center" vertical="center"/>
    </xf>
    <xf numFmtId="181" fontId="7" fillId="0" borderId="4" xfId="0" quotePrefix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81" fontId="7" fillId="0" borderId="25" xfId="0" applyNumberFormat="1" applyFont="1" applyBorder="1" applyAlignment="1">
      <alignment horizontal="center" vertical="center"/>
    </xf>
    <xf numFmtId="181" fontId="7" fillId="0" borderId="31" xfId="0" applyNumberFormat="1" applyFont="1" applyBorder="1" applyAlignment="1">
      <alignment horizontal="center" vertical="center"/>
    </xf>
    <xf numFmtId="181" fontId="7" fillId="0" borderId="33" xfId="0" applyNumberFormat="1" applyFont="1" applyBorder="1" applyAlignment="1">
      <alignment horizontal="center" vertical="center"/>
    </xf>
    <xf numFmtId="181" fontId="7" fillId="0" borderId="24" xfId="0" applyNumberFormat="1" applyFont="1" applyBorder="1" applyAlignment="1">
      <alignment horizontal="center" vertical="center"/>
    </xf>
    <xf numFmtId="181" fontId="7" fillId="0" borderId="37" xfId="0" applyNumberFormat="1" applyFont="1" applyBorder="1" applyAlignment="1">
      <alignment horizontal="center" vertical="center"/>
    </xf>
    <xf numFmtId="181" fontId="7" fillId="0" borderId="38" xfId="0" applyNumberFormat="1" applyFont="1" applyBorder="1" applyAlignment="1">
      <alignment horizontal="center" vertical="center"/>
    </xf>
    <xf numFmtId="181" fontId="7" fillId="0" borderId="34" xfId="0" applyNumberFormat="1" applyFont="1" applyBorder="1" applyAlignment="1">
      <alignment horizontal="center" vertical="center"/>
    </xf>
    <xf numFmtId="181" fontId="7" fillId="0" borderId="35" xfId="0" applyNumberFormat="1" applyFont="1" applyBorder="1" applyAlignment="1">
      <alignment horizontal="center" vertical="center"/>
    </xf>
    <xf numFmtId="181" fontId="7" fillId="0" borderId="36" xfId="0" applyNumberFormat="1" applyFont="1" applyBorder="1" applyAlignment="1">
      <alignment horizontal="center" vertical="center"/>
    </xf>
    <xf numFmtId="181" fontId="7" fillId="0" borderId="32" xfId="0" applyNumberFormat="1" applyFont="1" applyBorder="1" applyAlignment="1">
      <alignment horizontal="center" vertical="center"/>
    </xf>
    <xf numFmtId="181" fontId="7" fillId="0" borderId="10" xfId="0" applyNumberFormat="1" applyFont="1" applyBorder="1" applyAlignment="1">
      <alignment horizontal="center" vertical="center"/>
    </xf>
    <xf numFmtId="181" fontId="7" fillId="0" borderId="22" xfId="0" applyNumberFormat="1" applyFont="1" applyBorder="1" applyAlignment="1">
      <alignment horizontal="center" vertical="center"/>
    </xf>
    <xf numFmtId="181" fontId="19" fillId="0" borderId="34" xfId="0" applyNumberFormat="1" applyFont="1" applyBorder="1" applyAlignment="1">
      <alignment horizontal="center" vertical="center"/>
    </xf>
    <xf numFmtId="181" fontId="18" fillId="0" borderId="35" xfId="0" applyNumberFormat="1" applyFont="1" applyBorder="1" applyAlignment="1">
      <alignment horizontal="center" vertical="center"/>
    </xf>
    <xf numFmtId="181" fontId="18" fillId="0" borderId="36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</cellXfs>
  <cellStyles count="9">
    <cellStyle name="FORM" xfId="1" xr:uid="{5A5133D5-2A14-4ABD-AB9C-5EC6DC0A4D98}"/>
    <cellStyle name="Grey" xfId="2" xr:uid="{77AC14F0-DF6A-43EA-BFEA-32E1F8A1BEC7}"/>
    <cellStyle name="Input [yellow]" xfId="3" xr:uid="{9ACB398A-D429-4CD0-8371-66A19FA31FC8}"/>
    <cellStyle name="Normal" xfId="0" builtinId="0"/>
    <cellStyle name="Normal - Style1" xfId="4" xr:uid="{F0EACB43-B2E9-4435-AB1C-4F100BADE564}"/>
    <cellStyle name="Normal 2" xfId="5" xr:uid="{38929047-66DF-4742-B00F-06085AFD4B9B}"/>
    <cellStyle name="Normal 3" xfId="6" xr:uid="{7676259E-7A8D-4A16-B940-FB451A44EFAA}"/>
    <cellStyle name="Percent [2]" xfId="7" xr:uid="{DE24962E-E9D6-4CEE-9097-2B081D6FE968}"/>
    <cellStyle name="Times New Roman" xfId="8" xr:uid="{77517EDE-72AE-437B-922B-0B21AD0C2027}"/>
  </cellStyles>
  <dxfs count="97"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  <name val="Cambria"/>
        <family val="1"/>
        <scheme val="none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  <name val="Cambria"/>
        <family val="1"/>
        <scheme val="none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 pH</a:t>
            </a:r>
          </a:p>
        </c:rich>
      </c:tx>
      <c:layout>
        <c:manualLayout>
          <c:xMode val="edge"/>
          <c:yMode val="edge"/>
          <c:x val="0.47454586458228365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53733981793898"/>
          <c:y val="0.19219275582053483"/>
          <c:w val="0.84716322787231391"/>
          <c:h val="0.48033069748789192"/>
        </c:manualLayout>
      </c:layout>
      <c:lineChart>
        <c:grouping val="standard"/>
        <c:varyColors val="0"/>
        <c:ser>
          <c:idx val="1"/>
          <c:order val="0"/>
          <c:tx>
            <c:v>pH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'ECH CT PH Process'!$A$5:$A$309</c:f>
              <c:strCache>
                <c:ptCount val="301"/>
                <c:pt idx="0">
                  <c:v>02.09.24</c:v>
                </c:pt>
                <c:pt idx="1">
                  <c:v>03.09.24</c:v>
                </c:pt>
                <c:pt idx="2">
                  <c:v>04.09.24</c:v>
                </c:pt>
                <c:pt idx="3">
                  <c:v>05.09.24</c:v>
                </c:pt>
                <c:pt idx="4">
                  <c:v>06.09.24</c:v>
                </c:pt>
                <c:pt idx="5">
                  <c:v>07.09.24</c:v>
                </c:pt>
                <c:pt idx="6">
                  <c:v>09.09.24</c:v>
                </c:pt>
                <c:pt idx="7">
                  <c:v>10.09.24</c:v>
                </c:pt>
                <c:pt idx="8">
                  <c:v>11.09.24</c:v>
                </c:pt>
                <c:pt idx="9">
                  <c:v>12.09.24</c:v>
                </c:pt>
                <c:pt idx="10">
                  <c:v>13.09.24</c:v>
                </c:pt>
                <c:pt idx="11">
                  <c:v>14.09.24</c:v>
                </c:pt>
                <c:pt idx="12">
                  <c:v>16.09.24</c:v>
                </c:pt>
                <c:pt idx="13">
                  <c:v>17.09.24</c:v>
                </c:pt>
                <c:pt idx="14">
                  <c:v>18.09.24</c:v>
                </c:pt>
                <c:pt idx="15">
                  <c:v>19.09.24</c:v>
                </c:pt>
                <c:pt idx="16">
                  <c:v>20.09.24</c:v>
                </c:pt>
                <c:pt idx="17">
                  <c:v>21.09.24</c:v>
                </c:pt>
                <c:pt idx="18">
                  <c:v>23.09.24</c:v>
                </c:pt>
                <c:pt idx="19">
                  <c:v>24.09.24</c:v>
                </c:pt>
                <c:pt idx="20">
                  <c:v>25.09.24</c:v>
                </c:pt>
                <c:pt idx="21">
                  <c:v>26.09.24</c:v>
                </c:pt>
                <c:pt idx="22">
                  <c:v>27.09.24</c:v>
                </c:pt>
                <c:pt idx="23">
                  <c:v>28.09.24</c:v>
                </c:pt>
                <c:pt idx="24">
                  <c:v>30.09.24</c:v>
                </c:pt>
                <c:pt idx="25">
                  <c:v>01.10.24</c:v>
                </c:pt>
                <c:pt idx="26">
                  <c:v>02.10.24</c:v>
                </c:pt>
                <c:pt idx="27">
                  <c:v>03.10.24</c:v>
                </c:pt>
                <c:pt idx="28">
                  <c:v>04.10.24</c:v>
                </c:pt>
                <c:pt idx="29">
                  <c:v>05.10.24</c:v>
                </c:pt>
                <c:pt idx="30">
                  <c:v>07.10.24</c:v>
                </c:pt>
                <c:pt idx="31">
                  <c:v>08.10.24</c:v>
                </c:pt>
                <c:pt idx="32">
                  <c:v>09.10.24</c:v>
                </c:pt>
                <c:pt idx="33">
                  <c:v>10.10.24</c:v>
                </c:pt>
                <c:pt idx="34">
                  <c:v>11.10.24</c:v>
                </c:pt>
                <c:pt idx="35">
                  <c:v>12.10.24</c:v>
                </c:pt>
                <c:pt idx="36">
                  <c:v>14.10.24</c:v>
                </c:pt>
                <c:pt idx="37">
                  <c:v>15.10.24</c:v>
                </c:pt>
                <c:pt idx="38">
                  <c:v>16.10.24</c:v>
                </c:pt>
                <c:pt idx="39">
                  <c:v>17.10.24</c:v>
                </c:pt>
                <c:pt idx="40">
                  <c:v>18.10.24</c:v>
                </c:pt>
                <c:pt idx="41">
                  <c:v>19.10.24</c:v>
                </c:pt>
                <c:pt idx="42">
                  <c:v>21.10.24</c:v>
                </c:pt>
                <c:pt idx="43">
                  <c:v>22.10.24</c:v>
                </c:pt>
                <c:pt idx="44">
                  <c:v>23.10.24</c:v>
                </c:pt>
                <c:pt idx="45">
                  <c:v>24.10.24</c:v>
                </c:pt>
                <c:pt idx="46">
                  <c:v>25.10.24</c:v>
                </c:pt>
                <c:pt idx="47">
                  <c:v>26.10.24</c:v>
                </c:pt>
                <c:pt idx="48">
                  <c:v>28.10.24</c:v>
                </c:pt>
                <c:pt idx="49">
                  <c:v>29.10.24</c:v>
                </c:pt>
                <c:pt idx="50">
                  <c:v>30.10.24</c:v>
                </c:pt>
                <c:pt idx="51">
                  <c:v>31.10.24</c:v>
                </c:pt>
                <c:pt idx="52">
                  <c:v>04.11.24</c:v>
                </c:pt>
                <c:pt idx="53">
                  <c:v>05.11.24</c:v>
                </c:pt>
                <c:pt idx="54">
                  <c:v>06.11.24</c:v>
                </c:pt>
                <c:pt idx="55">
                  <c:v>07.11.24</c:v>
                </c:pt>
                <c:pt idx="56">
                  <c:v>08.11.24</c:v>
                </c:pt>
                <c:pt idx="57">
                  <c:v>09.11.24</c:v>
                </c:pt>
                <c:pt idx="58">
                  <c:v>11.11.24</c:v>
                </c:pt>
                <c:pt idx="59">
                  <c:v>12.11.24</c:v>
                </c:pt>
                <c:pt idx="60">
                  <c:v>13.11.24</c:v>
                </c:pt>
                <c:pt idx="61">
                  <c:v>14.11.24</c:v>
                </c:pt>
                <c:pt idx="62">
                  <c:v>15.11.24</c:v>
                </c:pt>
                <c:pt idx="63">
                  <c:v>16.11.24</c:v>
                </c:pt>
                <c:pt idx="64">
                  <c:v>18.11.24</c:v>
                </c:pt>
                <c:pt idx="65">
                  <c:v>19.11.24</c:v>
                </c:pt>
                <c:pt idx="66">
                  <c:v>20.11.24</c:v>
                </c:pt>
                <c:pt idx="67">
                  <c:v>21.11.24</c:v>
                </c:pt>
                <c:pt idx="68">
                  <c:v>22.11.24</c:v>
                </c:pt>
                <c:pt idx="69">
                  <c:v>23.11.24</c:v>
                </c:pt>
                <c:pt idx="70">
                  <c:v>25.11.24</c:v>
                </c:pt>
                <c:pt idx="71">
                  <c:v>26.11.24</c:v>
                </c:pt>
                <c:pt idx="72">
                  <c:v>27.11.24</c:v>
                </c:pt>
                <c:pt idx="73">
                  <c:v>28.11.24</c:v>
                </c:pt>
                <c:pt idx="74">
                  <c:v>29.11.24</c:v>
                </c:pt>
                <c:pt idx="75">
                  <c:v>30.11.24</c:v>
                </c:pt>
                <c:pt idx="76">
                  <c:v>02.12.24</c:v>
                </c:pt>
                <c:pt idx="77">
                  <c:v>03.12.24</c:v>
                </c:pt>
                <c:pt idx="78">
                  <c:v>04.12.24</c:v>
                </c:pt>
                <c:pt idx="79">
                  <c:v>05.12.24</c:v>
                </c:pt>
                <c:pt idx="80">
                  <c:v>06.12.24</c:v>
                </c:pt>
                <c:pt idx="81">
                  <c:v>07.12.24</c:v>
                </c:pt>
                <c:pt idx="82">
                  <c:v>09.12.24</c:v>
                </c:pt>
                <c:pt idx="83">
                  <c:v>10.12.24</c:v>
                </c:pt>
                <c:pt idx="84">
                  <c:v>11.12.24</c:v>
                </c:pt>
                <c:pt idx="85">
                  <c:v>12.12.24</c:v>
                </c:pt>
                <c:pt idx="86">
                  <c:v>13.12.24</c:v>
                </c:pt>
                <c:pt idx="87">
                  <c:v>14.12.24</c:v>
                </c:pt>
                <c:pt idx="88">
                  <c:v>16.12.24</c:v>
                </c:pt>
                <c:pt idx="89">
                  <c:v>17.12.24</c:v>
                </c:pt>
                <c:pt idx="90">
                  <c:v>18.12.24</c:v>
                </c:pt>
                <c:pt idx="91">
                  <c:v>19.12.24</c:v>
                </c:pt>
                <c:pt idx="92">
                  <c:v>20.12.24</c:v>
                </c:pt>
                <c:pt idx="93">
                  <c:v>21.12.24</c:v>
                </c:pt>
                <c:pt idx="94">
                  <c:v>23.12.24</c:v>
                </c:pt>
                <c:pt idx="95">
                  <c:v>24.12.24</c:v>
                </c:pt>
                <c:pt idx="96">
                  <c:v>25.12.24</c:v>
                </c:pt>
                <c:pt idx="97">
                  <c:v>26.12.24</c:v>
                </c:pt>
                <c:pt idx="98">
                  <c:v>27.12.24</c:v>
                </c:pt>
                <c:pt idx="99">
                  <c:v>28.12.24</c:v>
                </c:pt>
                <c:pt idx="100">
                  <c:v>30.12.24</c:v>
                </c:pt>
                <c:pt idx="101">
                  <c:v>31.12.24</c:v>
                </c:pt>
                <c:pt idx="102">
                  <c:v>01.01.25</c:v>
                </c:pt>
                <c:pt idx="103">
                  <c:v>02.01.25</c:v>
                </c:pt>
                <c:pt idx="104">
                  <c:v>03.01.25</c:v>
                </c:pt>
                <c:pt idx="105">
                  <c:v>04.01.25</c:v>
                </c:pt>
                <c:pt idx="106">
                  <c:v>08.01.25</c:v>
                </c:pt>
                <c:pt idx="107">
                  <c:v>09.01.25</c:v>
                </c:pt>
                <c:pt idx="108">
                  <c:v>10.01.25</c:v>
                </c:pt>
                <c:pt idx="109">
                  <c:v>11.01.25</c:v>
                </c:pt>
                <c:pt idx="110">
                  <c:v>13.01.25</c:v>
                </c:pt>
                <c:pt idx="111">
                  <c:v>15.01.25</c:v>
                </c:pt>
                <c:pt idx="112">
                  <c:v>16.01.25</c:v>
                </c:pt>
                <c:pt idx="113">
                  <c:v>17.01.25</c:v>
                </c:pt>
                <c:pt idx="114">
                  <c:v>18.01.25</c:v>
                </c:pt>
                <c:pt idx="115">
                  <c:v>20.01.25</c:v>
                </c:pt>
                <c:pt idx="116">
                  <c:v>21.01.25</c:v>
                </c:pt>
                <c:pt idx="117">
                  <c:v>22.01.25</c:v>
                </c:pt>
                <c:pt idx="118">
                  <c:v>23.01.25</c:v>
                </c:pt>
                <c:pt idx="119">
                  <c:v>24.01.25</c:v>
                </c:pt>
                <c:pt idx="120">
                  <c:v>25.01.25</c:v>
                </c:pt>
                <c:pt idx="121">
                  <c:v>27.01.25</c:v>
                </c:pt>
                <c:pt idx="122">
                  <c:v>28.01.25</c:v>
                </c:pt>
                <c:pt idx="123">
                  <c:v>29.01.25</c:v>
                </c:pt>
                <c:pt idx="124">
                  <c:v>30.01.25</c:v>
                </c:pt>
                <c:pt idx="125">
                  <c:v>31.01.25</c:v>
                </c:pt>
                <c:pt idx="126">
                  <c:v>01.02.25</c:v>
                </c:pt>
                <c:pt idx="127">
                  <c:v>03.02.25</c:v>
                </c:pt>
                <c:pt idx="128">
                  <c:v>04.02.25</c:v>
                </c:pt>
                <c:pt idx="129">
                  <c:v>05.02.25</c:v>
                </c:pt>
                <c:pt idx="130">
                  <c:v>06.02.25</c:v>
                </c:pt>
                <c:pt idx="131">
                  <c:v>07.02.25</c:v>
                </c:pt>
                <c:pt idx="132">
                  <c:v>08.02.25</c:v>
                </c:pt>
                <c:pt idx="133">
                  <c:v>10.02.25</c:v>
                </c:pt>
                <c:pt idx="134">
                  <c:v>11.02.25</c:v>
                </c:pt>
                <c:pt idx="135">
                  <c:v>12.02.25</c:v>
                </c:pt>
                <c:pt idx="136">
                  <c:v>13.02.25</c:v>
                </c:pt>
                <c:pt idx="137">
                  <c:v>14.02.25</c:v>
                </c:pt>
                <c:pt idx="138">
                  <c:v>15.02.25</c:v>
                </c:pt>
                <c:pt idx="139">
                  <c:v>17.02.25</c:v>
                </c:pt>
                <c:pt idx="140">
                  <c:v>18.02.25</c:v>
                </c:pt>
                <c:pt idx="141">
                  <c:v>19.02.25</c:v>
                </c:pt>
                <c:pt idx="142">
                  <c:v>20.02.25</c:v>
                </c:pt>
                <c:pt idx="143">
                  <c:v>21.02.25</c:v>
                </c:pt>
                <c:pt idx="144">
                  <c:v>22.02.25</c:v>
                </c:pt>
                <c:pt idx="145">
                  <c:v>24.02.25</c:v>
                </c:pt>
                <c:pt idx="146">
                  <c:v>25.02.25</c:v>
                </c:pt>
                <c:pt idx="147">
                  <c:v>27.02.25</c:v>
                </c:pt>
                <c:pt idx="148">
                  <c:v>28.02.25</c:v>
                </c:pt>
                <c:pt idx="149">
                  <c:v>01.03.25</c:v>
                </c:pt>
                <c:pt idx="150">
                  <c:v>03.03.25</c:v>
                </c:pt>
                <c:pt idx="151">
                  <c:v>04.03.25</c:v>
                </c:pt>
                <c:pt idx="152">
                  <c:v>05.03.25</c:v>
                </c:pt>
                <c:pt idx="153">
                  <c:v>06.03.25</c:v>
                </c:pt>
                <c:pt idx="154">
                  <c:v>07.03.25</c:v>
                </c:pt>
                <c:pt idx="155">
                  <c:v>08.03.25</c:v>
                </c:pt>
                <c:pt idx="156">
                  <c:v>10.03.25</c:v>
                </c:pt>
                <c:pt idx="157">
                  <c:v>11.03.25</c:v>
                </c:pt>
                <c:pt idx="158">
                  <c:v>12.03.25</c:v>
                </c:pt>
                <c:pt idx="159">
                  <c:v>13.03.25</c:v>
                </c:pt>
                <c:pt idx="160">
                  <c:v>15.03.25</c:v>
                </c:pt>
                <c:pt idx="161">
                  <c:v>17.03.25</c:v>
                </c:pt>
                <c:pt idx="162">
                  <c:v>18.03.25</c:v>
                </c:pt>
                <c:pt idx="163">
                  <c:v>19.03.25</c:v>
                </c:pt>
                <c:pt idx="164">
                  <c:v>20.03.25</c:v>
                </c:pt>
                <c:pt idx="165">
                  <c:v>21.03.25</c:v>
                </c:pt>
                <c:pt idx="166">
                  <c:v>22.03.25</c:v>
                </c:pt>
                <c:pt idx="167">
                  <c:v>24.03.25</c:v>
                </c:pt>
                <c:pt idx="168">
                  <c:v>25.03.25</c:v>
                </c:pt>
                <c:pt idx="169">
                  <c:v>26.03.25</c:v>
                </c:pt>
                <c:pt idx="170">
                  <c:v>27.03.25</c:v>
                </c:pt>
                <c:pt idx="171">
                  <c:v>28.03.25</c:v>
                </c:pt>
                <c:pt idx="172">
                  <c:v>29.03.25</c:v>
                </c:pt>
                <c:pt idx="173">
                  <c:v>31.03.25</c:v>
                </c:pt>
                <c:pt idx="174">
                  <c:v>01.04.25</c:v>
                </c:pt>
                <c:pt idx="175">
                  <c:v>02.04.25</c:v>
                </c:pt>
                <c:pt idx="176">
                  <c:v>03.04.25</c:v>
                </c:pt>
                <c:pt idx="177">
                  <c:v>04.04.25</c:v>
                </c:pt>
                <c:pt idx="178">
                  <c:v>05.04.25</c:v>
                </c:pt>
                <c:pt idx="179">
                  <c:v>07.04.25</c:v>
                </c:pt>
                <c:pt idx="180">
                  <c:v>08.04.25</c:v>
                </c:pt>
                <c:pt idx="181">
                  <c:v>09.04.25</c:v>
                </c:pt>
                <c:pt idx="182">
                  <c:v>10.04.25</c:v>
                </c:pt>
                <c:pt idx="183">
                  <c:v>11.04.25</c:v>
                </c:pt>
                <c:pt idx="184">
                  <c:v>12.04.25</c:v>
                </c:pt>
                <c:pt idx="185">
                  <c:v>14.04.25</c:v>
                </c:pt>
                <c:pt idx="186">
                  <c:v>15.04.25</c:v>
                </c:pt>
                <c:pt idx="187">
                  <c:v>16.04.25</c:v>
                </c:pt>
                <c:pt idx="188">
                  <c:v>17.04.25</c:v>
                </c:pt>
                <c:pt idx="189">
                  <c:v>18.04.25</c:v>
                </c:pt>
                <c:pt idx="190">
                  <c:v>19.04.25</c:v>
                </c:pt>
                <c:pt idx="191">
                  <c:v>21.04.25</c:v>
                </c:pt>
                <c:pt idx="192">
                  <c:v>22.04.25</c:v>
                </c:pt>
                <c:pt idx="193">
                  <c:v>23.04.25</c:v>
                </c:pt>
                <c:pt idx="194">
                  <c:v>24.04.25</c:v>
                </c:pt>
                <c:pt idx="195">
                  <c:v>25.04.25</c:v>
                </c:pt>
                <c:pt idx="196">
                  <c:v>26.04.25</c:v>
                </c:pt>
                <c:pt idx="197">
                  <c:v>28.04.25</c:v>
                </c:pt>
                <c:pt idx="198">
                  <c:v>29.04.25</c:v>
                </c:pt>
                <c:pt idx="199">
                  <c:v>30.04.25</c:v>
                </c:pt>
                <c:pt idx="200">
                  <c:v>01.05.25</c:v>
                </c:pt>
                <c:pt idx="201">
                  <c:v>02.05.25</c:v>
                </c:pt>
                <c:pt idx="202">
                  <c:v>03.05.25</c:v>
                </c:pt>
                <c:pt idx="203">
                  <c:v>05.05.25</c:v>
                </c:pt>
                <c:pt idx="204">
                  <c:v>06.05.25</c:v>
                </c:pt>
                <c:pt idx="205">
                  <c:v>07.05.25</c:v>
                </c:pt>
                <c:pt idx="206">
                  <c:v>08.05.25</c:v>
                </c:pt>
                <c:pt idx="207">
                  <c:v>09.05.25</c:v>
                </c:pt>
                <c:pt idx="208">
                  <c:v>10.05.25</c:v>
                </c:pt>
                <c:pt idx="209">
                  <c:v>12.05.25</c:v>
                </c:pt>
                <c:pt idx="210">
                  <c:v>13.05.25</c:v>
                </c:pt>
                <c:pt idx="211">
                  <c:v>14.05.25</c:v>
                </c:pt>
                <c:pt idx="212">
                  <c:v>15.05.25</c:v>
                </c:pt>
                <c:pt idx="213">
                  <c:v>16.05.25</c:v>
                </c:pt>
                <c:pt idx="214">
                  <c:v>17.05.25</c:v>
                </c:pt>
                <c:pt idx="215">
                  <c:v>19.05.25</c:v>
                </c:pt>
                <c:pt idx="216">
                  <c:v>20.05.25</c:v>
                </c:pt>
                <c:pt idx="217">
                  <c:v>21.05.25</c:v>
                </c:pt>
                <c:pt idx="218">
                  <c:v>22.05.25</c:v>
                </c:pt>
                <c:pt idx="219">
                  <c:v>23.05.25</c:v>
                </c:pt>
                <c:pt idx="220">
                  <c:v>24.05.25</c:v>
                </c:pt>
                <c:pt idx="221">
                  <c:v>26.05.25</c:v>
                </c:pt>
                <c:pt idx="222">
                  <c:v>27.05.25</c:v>
                </c:pt>
                <c:pt idx="223">
                  <c:v>28.05.25</c:v>
                </c:pt>
                <c:pt idx="224">
                  <c:v>29.05.25</c:v>
                </c:pt>
                <c:pt idx="225">
                  <c:v>30.05.25</c:v>
                </c:pt>
                <c:pt idx="226">
                  <c:v>31.05.25</c:v>
                </c:pt>
                <c:pt idx="227">
                  <c:v>02.06.25</c:v>
                </c:pt>
                <c:pt idx="228">
                  <c:v>03.06.25</c:v>
                </c:pt>
                <c:pt idx="229">
                  <c:v>04.06.25</c:v>
                </c:pt>
                <c:pt idx="230">
                  <c:v>05.06.25</c:v>
                </c:pt>
                <c:pt idx="231">
                  <c:v>06.06.25</c:v>
                </c:pt>
                <c:pt idx="232">
                  <c:v>07.06.25</c:v>
                </c:pt>
                <c:pt idx="233">
                  <c:v>09.06.25</c:v>
                </c:pt>
                <c:pt idx="234">
                  <c:v>10.06.25</c:v>
                </c:pt>
                <c:pt idx="235">
                  <c:v>11.06.25</c:v>
                </c:pt>
                <c:pt idx="236">
                  <c:v>12.06.25</c:v>
                </c:pt>
                <c:pt idx="237">
                  <c:v>13.06.25</c:v>
                </c:pt>
                <c:pt idx="238">
                  <c:v>14.06.25</c:v>
                </c:pt>
                <c:pt idx="239">
                  <c:v>16.06.25</c:v>
                </c:pt>
                <c:pt idx="240">
                  <c:v>17.06.25</c:v>
                </c:pt>
                <c:pt idx="241">
                  <c:v>18.06.25</c:v>
                </c:pt>
                <c:pt idx="242">
                  <c:v>19.06.25</c:v>
                </c:pt>
                <c:pt idx="243">
                  <c:v>20.06.25</c:v>
                </c:pt>
                <c:pt idx="244">
                  <c:v>21.06.25</c:v>
                </c:pt>
                <c:pt idx="245">
                  <c:v>23.06.25</c:v>
                </c:pt>
                <c:pt idx="246">
                  <c:v>24.06.25</c:v>
                </c:pt>
                <c:pt idx="247">
                  <c:v>25.06.25</c:v>
                </c:pt>
                <c:pt idx="248">
                  <c:v>26.06.25</c:v>
                </c:pt>
                <c:pt idx="249">
                  <c:v>27.06.25</c:v>
                </c:pt>
                <c:pt idx="250">
                  <c:v>28.06.25</c:v>
                </c:pt>
                <c:pt idx="251">
                  <c:v>30.06.25</c:v>
                </c:pt>
                <c:pt idx="252">
                  <c:v>01.07.25</c:v>
                </c:pt>
                <c:pt idx="253">
                  <c:v>02.07.25</c:v>
                </c:pt>
                <c:pt idx="254">
                  <c:v>03.07.25</c:v>
                </c:pt>
                <c:pt idx="255">
                  <c:v>04.07.25</c:v>
                </c:pt>
                <c:pt idx="256">
                  <c:v>05.07.25</c:v>
                </c:pt>
                <c:pt idx="257">
                  <c:v>07.07.25</c:v>
                </c:pt>
                <c:pt idx="258">
                  <c:v>08.07.25</c:v>
                </c:pt>
                <c:pt idx="259">
                  <c:v>09.07.25</c:v>
                </c:pt>
                <c:pt idx="260">
                  <c:v>10.07.25</c:v>
                </c:pt>
                <c:pt idx="261">
                  <c:v>11.07.25</c:v>
                </c:pt>
                <c:pt idx="262">
                  <c:v>12.07.25</c:v>
                </c:pt>
                <c:pt idx="263">
                  <c:v>14.07.25</c:v>
                </c:pt>
                <c:pt idx="264">
                  <c:v>15.07.25</c:v>
                </c:pt>
                <c:pt idx="265">
                  <c:v>16.07.25</c:v>
                </c:pt>
                <c:pt idx="266">
                  <c:v>17.07.25</c:v>
                </c:pt>
                <c:pt idx="267">
                  <c:v>18.07.25</c:v>
                </c:pt>
                <c:pt idx="268">
                  <c:v>19.07.25</c:v>
                </c:pt>
                <c:pt idx="269">
                  <c:v>21.07.25</c:v>
                </c:pt>
                <c:pt idx="270">
                  <c:v>22.07.25</c:v>
                </c:pt>
                <c:pt idx="271">
                  <c:v>23.07.25</c:v>
                </c:pt>
                <c:pt idx="272">
                  <c:v>24.07.25</c:v>
                </c:pt>
                <c:pt idx="273">
                  <c:v>25.07.25</c:v>
                </c:pt>
                <c:pt idx="274">
                  <c:v>26.07.25</c:v>
                </c:pt>
                <c:pt idx="275">
                  <c:v>28.07.25</c:v>
                </c:pt>
                <c:pt idx="276">
                  <c:v>29.07.25</c:v>
                </c:pt>
                <c:pt idx="277">
                  <c:v>30.07.25</c:v>
                </c:pt>
                <c:pt idx="278">
                  <c:v>31.07.25</c:v>
                </c:pt>
                <c:pt idx="279">
                  <c:v>01.08.25</c:v>
                </c:pt>
                <c:pt idx="280">
                  <c:v>02.08.25</c:v>
                </c:pt>
                <c:pt idx="281">
                  <c:v>04.08.25</c:v>
                </c:pt>
                <c:pt idx="282">
                  <c:v>05.08.25</c:v>
                </c:pt>
                <c:pt idx="283">
                  <c:v>06.08.25</c:v>
                </c:pt>
                <c:pt idx="284">
                  <c:v>07.08.25</c:v>
                </c:pt>
                <c:pt idx="285">
                  <c:v>08.08.25</c:v>
                </c:pt>
                <c:pt idx="286">
                  <c:v>11.08.25</c:v>
                </c:pt>
                <c:pt idx="287">
                  <c:v>12.08.25</c:v>
                </c:pt>
                <c:pt idx="288">
                  <c:v>13.08.25</c:v>
                </c:pt>
                <c:pt idx="289">
                  <c:v>14.08.25</c:v>
                </c:pt>
                <c:pt idx="290">
                  <c:v>15.08.25</c:v>
                </c:pt>
                <c:pt idx="291">
                  <c:v>18.08.25</c:v>
                </c:pt>
                <c:pt idx="292">
                  <c:v>19.08.25</c:v>
                </c:pt>
                <c:pt idx="293">
                  <c:v>20.08.25</c:v>
                </c:pt>
                <c:pt idx="294">
                  <c:v>21.08.25</c:v>
                </c:pt>
                <c:pt idx="295">
                  <c:v>22.08.25</c:v>
                </c:pt>
                <c:pt idx="296">
                  <c:v>23.08.25</c:v>
                </c:pt>
                <c:pt idx="297">
                  <c:v>26.08.25</c:v>
                </c:pt>
                <c:pt idx="298">
                  <c:v>27.08.25</c:v>
                </c:pt>
                <c:pt idx="299">
                  <c:v>28.08.25</c:v>
                </c:pt>
                <c:pt idx="300">
                  <c:v>29.08.25</c:v>
                </c:pt>
              </c:strCache>
            </c:strRef>
          </c:cat>
          <c:val>
            <c:numRef>
              <c:f>'ECH CT PH Process'!$B$5:$B$309</c:f>
              <c:numCache>
                <c:formatCode>0.0</c:formatCode>
                <c:ptCount val="305"/>
                <c:pt idx="0">
                  <c:v>8.85</c:v>
                </c:pt>
                <c:pt idx="1">
                  <c:v>8.8000000000000007</c:v>
                </c:pt>
                <c:pt idx="2">
                  <c:v>8.65</c:v>
                </c:pt>
                <c:pt idx="3">
                  <c:v>8.98</c:v>
                </c:pt>
                <c:pt idx="4">
                  <c:v>9.2200000000000006</c:v>
                </c:pt>
                <c:pt idx="5">
                  <c:v>9.2799999999999994</c:v>
                </c:pt>
                <c:pt idx="6">
                  <c:v>9.25</c:v>
                </c:pt>
                <c:pt idx="7">
                  <c:v>8.84</c:v>
                </c:pt>
                <c:pt idx="8">
                  <c:v>8.9</c:v>
                </c:pt>
                <c:pt idx="9">
                  <c:v>8.9600000000000009</c:v>
                </c:pt>
                <c:pt idx="10">
                  <c:v>8.92</c:v>
                </c:pt>
                <c:pt idx="11">
                  <c:v>8.8699999999999992</c:v>
                </c:pt>
                <c:pt idx="12">
                  <c:v>8.85</c:v>
                </c:pt>
                <c:pt idx="13">
                  <c:v>8.9</c:v>
                </c:pt>
                <c:pt idx="14">
                  <c:v>9</c:v>
                </c:pt>
                <c:pt idx="15">
                  <c:v>8.89</c:v>
                </c:pt>
                <c:pt idx="16">
                  <c:v>8.86</c:v>
                </c:pt>
                <c:pt idx="17">
                  <c:v>8.8699999999999992</c:v>
                </c:pt>
                <c:pt idx="18">
                  <c:v>8.7799999999999994</c:v>
                </c:pt>
                <c:pt idx="19">
                  <c:v>8.6999999999999993</c:v>
                </c:pt>
                <c:pt idx="20">
                  <c:v>8.7799999999999994</c:v>
                </c:pt>
                <c:pt idx="21">
                  <c:v>9.1</c:v>
                </c:pt>
                <c:pt idx="22">
                  <c:v>9.09</c:v>
                </c:pt>
                <c:pt idx="23">
                  <c:v>8.1999999999999993</c:v>
                </c:pt>
                <c:pt idx="24">
                  <c:v>9.25</c:v>
                </c:pt>
                <c:pt idx="25">
                  <c:v>8.85</c:v>
                </c:pt>
                <c:pt idx="26">
                  <c:v>9.18</c:v>
                </c:pt>
                <c:pt idx="27">
                  <c:v>8.93</c:v>
                </c:pt>
                <c:pt idx="28">
                  <c:v>8.9</c:v>
                </c:pt>
                <c:pt idx="29">
                  <c:v>8.93</c:v>
                </c:pt>
                <c:pt idx="30">
                  <c:v>8.9</c:v>
                </c:pt>
                <c:pt idx="31">
                  <c:v>8.94</c:v>
                </c:pt>
                <c:pt idx="32">
                  <c:v>9.25</c:v>
                </c:pt>
                <c:pt idx="33">
                  <c:v>9.3000000000000007</c:v>
                </c:pt>
                <c:pt idx="34">
                  <c:v>9.09</c:v>
                </c:pt>
                <c:pt idx="35">
                  <c:v>9.15</c:v>
                </c:pt>
                <c:pt idx="36">
                  <c:v>8.8000000000000007</c:v>
                </c:pt>
                <c:pt idx="37">
                  <c:v>9.25</c:v>
                </c:pt>
                <c:pt idx="38">
                  <c:v>9.1999999999999993</c:v>
                </c:pt>
                <c:pt idx="39">
                  <c:v>9.4</c:v>
                </c:pt>
                <c:pt idx="40">
                  <c:v>9.3000000000000007</c:v>
                </c:pt>
                <c:pt idx="41">
                  <c:v>9.27</c:v>
                </c:pt>
                <c:pt idx="42">
                  <c:v>9.1999999999999993</c:v>
                </c:pt>
                <c:pt idx="43">
                  <c:v>9.1</c:v>
                </c:pt>
                <c:pt idx="44">
                  <c:v>9.15</c:v>
                </c:pt>
                <c:pt idx="45">
                  <c:v>9.1999999999999993</c:v>
                </c:pt>
                <c:pt idx="46">
                  <c:v>9.14</c:v>
                </c:pt>
                <c:pt idx="47">
                  <c:v>9.25</c:v>
                </c:pt>
                <c:pt idx="48">
                  <c:v>9.0399999999999991</c:v>
                </c:pt>
                <c:pt idx="49">
                  <c:v>9.1</c:v>
                </c:pt>
                <c:pt idx="50">
                  <c:v>9.1</c:v>
                </c:pt>
                <c:pt idx="51" formatCode="General">
                  <c:v>9.1</c:v>
                </c:pt>
                <c:pt idx="52">
                  <c:v>9</c:v>
                </c:pt>
                <c:pt idx="53">
                  <c:v>9.1</c:v>
                </c:pt>
                <c:pt idx="54">
                  <c:v>9.1</c:v>
                </c:pt>
                <c:pt idx="55">
                  <c:v>9.08</c:v>
                </c:pt>
                <c:pt idx="56">
                  <c:v>9.1</c:v>
                </c:pt>
                <c:pt idx="57">
                  <c:v>9.02</c:v>
                </c:pt>
                <c:pt idx="58">
                  <c:v>9.02</c:v>
                </c:pt>
                <c:pt idx="59">
                  <c:v>9.14</c:v>
                </c:pt>
                <c:pt idx="60">
                  <c:v>9.1</c:v>
                </c:pt>
                <c:pt idx="61">
                  <c:v>9.2799999999999994</c:v>
                </c:pt>
                <c:pt idx="62">
                  <c:v>9.3000000000000007</c:v>
                </c:pt>
                <c:pt idx="63">
                  <c:v>9.26</c:v>
                </c:pt>
                <c:pt idx="64">
                  <c:v>8.01</c:v>
                </c:pt>
                <c:pt idx="65">
                  <c:v>6.5</c:v>
                </c:pt>
                <c:pt idx="66">
                  <c:v>7</c:v>
                </c:pt>
                <c:pt idx="67">
                  <c:v>7.5</c:v>
                </c:pt>
                <c:pt idx="68">
                  <c:v>7.6</c:v>
                </c:pt>
                <c:pt idx="69">
                  <c:v>7.5</c:v>
                </c:pt>
                <c:pt idx="70">
                  <c:v>8.1</c:v>
                </c:pt>
                <c:pt idx="71">
                  <c:v>8.15</c:v>
                </c:pt>
                <c:pt idx="72">
                  <c:v>7.65</c:v>
                </c:pt>
                <c:pt idx="73">
                  <c:v>8.1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7.8</c:v>
                </c:pt>
                <c:pt idx="78">
                  <c:v>8.4</c:v>
                </c:pt>
                <c:pt idx="79">
                  <c:v>7.6</c:v>
                </c:pt>
                <c:pt idx="80">
                  <c:v>6.5</c:v>
                </c:pt>
                <c:pt idx="81">
                  <c:v>6.5</c:v>
                </c:pt>
                <c:pt idx="82">
                  <c:v>6</c:v>
                </c:pt>
                <c:pt idx="83">
                  <c:v>6.7</c:v>
                </c:pt>
                <c:pt idx="84">
                  <c:v>7</c:v>
                </c:pt>
                <c:pt idx="85">
                  <c:v>7.5</c:v>
                </c:pt>
                <c:pt idx="86">
                  <c:v>7.9</c:v>
                </c:pt>
                <c:pt idx="87">
                  <c:v>8.1</c:v>
                </c:pt>
                <c:pt idx="88">
                  <c:v>8.1999999999999993</c:v>
                </c:pt>
                <c:pt idx="89">
                  <c:v>8</c:v>
                </c:pt>
                <c:pt idx="90">
                  <c:v>8.1</c:v>
                </c:pt>
                <c:pt idx="91">
                  <c:v>8.3000000000000007</c:v>
                </c:pt>
                <c:pt idx="92">
                  <c:v>8.4499999999999993</c:v>
                </c:pt>
                <c:pt idx="93">
                  <c:v>8.4</c:v>
                </c:pt>
                <c:pt idx="94">
                  <c:v>8.5</c:v>
                </c:pt>
                <c:pt idx="95">
                  <c:v>8.65</c:v>
                </c:pt>
                <c:pt idx="96">
                  <c:v>8.6</c:v>
                </c:pt>
                <c:pt idx="97">
                  <c:v>8.5500000000000007</c:v>
                </c:pt>
                <c:pt idx="98">
                  <c:v>8.5</c:v>
                </c:pt>
                <c:pt idx="99">
                  <c:v>8.6</c:v>
                </c:pt>
                <c:pt idx="100">
                  <c:v>8.5</c:v>
                </c:pt>
                <c:pt idx="101">
                  <c:v>8.68</c:v>
                </c:pt>
                <c:pt idx="102">
                  <c:v>8.8000000000000007</c:v>
                </c:pt>
                <c:pt idx="103">
                  <c:v>8.6</c:v>
                </c:pt>
                <c:pt idx="104">
                  <c:v>8.65</c:v>
                </c:pt>
                <c:pt idx="105">
                  <c:v>8.6999999999999993</c:v>
                </c:pt>
                <c:pt idx="106">
                  <c:v>8.6</c:v>
                </c:pt>
                <c:pt idx="107">
                  <c:v>8.68</c:v>
                </c:pt>
                <c:pt idx="108">
                  <c:v>8.8000000000000007</c:v>
                </c:pt>
                <c:pt idx="109">
                  <c:v>8.76</c:v>
                </c:pt>
                <c:pt idx="110">
                  <c:v>8.56</c:v>
                </c:pt>
                <c:pt idx="111">
                  <c:v>8.4</c:v>
                </c:pt>
                <c:pt idx="112">
                  <c:v>8.5500000000000007</c:v>
                </c:pt>
                <c:pt idx="113">
                  <c:v>8.4</c:v>
                </c:pt>
                <c:pt idx="114">
                  <c:v>8.4</c:v>
                </c:pt>
                <c:pt idx="115">
                  <c:v>8.5</c:v>
                </c:pt>
                <c:pt idx="116">
                  <c:v>8.65</c:v>
                </c:pt>
                <c:pt idx="117">
                  <c:v>8.1</c:v>
                </c:pt>
                <c:pt idx="118">
                  <c:v>8.25</c:v>
                </c:pt>
                <c:pt idx="119">
                  <c:v>8.3000000000000007</c:v>
                </c:pt>
                <c:pt idx="120">
                  <c:v>8</c:v>
                </c:pt>
                <c:pt idx="121">
                  <c:v>8.15</c:v>
                </c:pt>
                <c:pt idx="122">
                  <c:v>8</c:v>
                </c:pt>
                <c:pt idx="123">
                  <c:v>8.1999999999999993</c:v>
                </c:pt>
                <c:pt idx="124">
                  <c:v>8.1</c:v>
                </c:pt>
                <c:pt idx="125">
                  <c:v>8.25</c:v>
                </c:pt>
                <c:pt idx="126">
                  <c:v>8.25</c:v>
                </c:pt>
                <c:pt idx="127">
                  <c:v>8.4</c:v>
                </c:pt>
                <c:pt idx="128">
                  <c:v>8.35</c:v>
                </c:pt>
                <c:pt idx="129">
                  <c:v>8.42</c:v>
                </c:pt>
                <c:pt idx="130">
                  <c:v>8.1999999999999993</c:v>
                </c:pt>
                <c:pt idx="131">
                  <c:v>8</c:v>
                </c:pt>
                <c:pt idx="132">
                  <c:v>8</c:v>
                </c:pt>
                <c:pt idx="133">
                  <c:v>8.08</c:v>
                </c:pt>
                <c:pt idx="134">
                  <c:v>8.1999999999999993</c:v>
                </c:pt>
                <c:pt idx="135">
                  <c:v>8.1999999999999993</c:v>
                </c:pt>
                <c:pt idx="136">
                  <c:v>8.25</c:v>
                </c:pt>
                <c:pt idx="137">
                  <c:v>8.1</c:v>
                </c:pt>
                <c:pt idx="138">
                  <c:v>8.1999999999999993</c:v>
                </c:pt>
                <c:pt idx="139">
                  <c:v>8.15</c:v>
                </c:pt>
                <c:pt idx="140">
                  <c:v>8.1</c:v>
                </c:pt>
                <c:pt idx="141">
                  <c:v>8.1999999999999993</c:v>
                </c:pt>
                <c:pt idx="142">
                  <c:v>8.15</c:v>
                </c:pt>
                <c:pt idx="143">
                  <c:v>8.25</c:v>
                </c:pt>
                <c:pt idx="144">
                  <c:v>8.3000000000000007</c:v>
                </c:pt>
                <c:pt idx="145">
                  <c:v>8.3000000000000007</c:v>
                </c:pt>
                <c:pt idx="146">
                  <c:v>8.1999999999999993</c:v>
                </c:pt>
                <c:pt idx="147">
                  <c:v>8.1</c:v>
                </c:pt>
                <c:pt idx="148">
                  <c:v>8</c:v>
                </c:pt>
                <c:pt idx="149">
                  <c:v>8.1</c:v>
                </c:pt>
                <c:pt idx="150">
                  <c:v>8.1999999999999993</c:v>
                </c:pt>
                <c:pt idx="151">
                  <c:v>8.1999999999999993</c:v>
                </c:pt>
                <c:pt idx="152">
                  <c:v>8</c:v>
                </c:pt>
                <c:pt idx="153">
                  <c:v>8</c:v>
                </c:pt>
                <c:pt idx="154">
                  <c:v>8.1999999999999993</c:v>
                </c:pt>
                <c:pt idx="155">
                  <c:v>8.1</c:v>
                </c:pt>
                <c:pt idx="156">
                  <c:v>8</c:v>
                </c:pt>
                <c:pt idx="157">
                  <c:v>8.1999999999999993</c:v>
                </c:pt>
                <c:pt idx="158">
                  <c:v>8.1</c:v>
                </c:pt>
                <c:pt idx="159">
                  <c:v>8.25</c:v>
                </c:pt>
                <c:pt idx="160">
                  <c:v>8.3000000000000007</c:v>
                </c:pt>
                <c:pt idx="161">
                  <c:v>8.4</c:v>
                </c:pt>
                <c:pt idx="162">
                  <c:v>8.3000000000000007</c:v>
                </c:pt>
                <c:pt idx="163">
                  <c:v>8.4</c:v>
                </c:pt>
                <c:pt idx="164">
                  <c:v>8.3000000000000007</c:v>
                </c:pt>
                <c:pt idx="165">
                  <c:v>8.4</c:v>
                </c:pt>
                <c:pt idx="166">
                  <c:v>8.4</c:v>
                </c:pt>
                <c:pt idx="167">
                  <c:v>8.1999999999999993</c:v>
                </c:pt>
                <c:pt idx="168">
                  <c:v>8.3800000000000008</c:v>
                </c:pt>
                <c:pt idx="169">
                  <c:v>8.3000000000000007</c:v>
                </c:pt>
                <c:pt idx="170">
                  <c:v>8.1999999999999993</c:v>
                </c:pt>
                <c:pt idx="171">
                  <c:v>8.3699999999999992</c:v>
                </c:pt>
                <c:pt idx="172">
                  <c:v>8.4</c:v>
                </c:pt>
                <c:pt idx="173">
                  <c:v>8.15</c:v>
                </c:pt>
                <c:pt idx="174">
                  <c:v>8.1</c:v>
                </c:pt>
                <c:pt idx="175">
                  <c:v>8.1</c:v>
                </c:pt>
                <c:pt idx="176">
                  <c:v>8</c:v>
                </c:pt>
                <c:pt idx="177">
                  <c:v>8</c:v>
                </c:pt>
                <c:pt idx="178">
                  <c:v>8.1999999999999993</c:v>
                </c:pt>
                <c:pt idx="179">
                  <c:v>8</c:v>
                </c:pt>
                <c:pt idx="180">
                  <c:v>7.9</c:v>
                </c:pt>
                <c:pt idx="181">
                  <c:v>8.1999999999999993</c:v>
                </c:pt>
                <c:pt idx="182">
                  <c:v>8.1999999999999993</c:v>
                </c:pt>
                <c:pt idx="183">
                  <c:v>8.1999999999999993</c:v>
                </c:pt>
                <c:pt idx="184">
                  <c:v>8.1999999999999993</c:v>
                </c:pt>
                <c:pt idx="185">
                  <c:v>8.1999999999999993</c:v>
                </c:pt>
                <c:pt idx="186">
                  <c:v>8.1</c:v>
                </c:pt>
                <c:pt idx="187">
                  <c:v>8.1</c:v>
                </c:pt>
                <c:pt idx="188">
                  <c:v>8.1999999999999993</c:v>
                </c:pt>
                <c:pt idx="189">
                  <c:v>8.25</c:v>
                </c:pt>
                <c:pt idx="190">
                  <c:v>8.1999999999999993</c:v>
                </c:pt>
                <c:pt idx="191">
                  <c:v>8.1</c:v>
                </c:pt>
                <c:pt idx="192">
                  <c:v>8.1</c:v>
                </c:pt>
                <c:pt idx="193">
                  <c:v>8.3000000000000007</c:v>
                </c:pt>
                <c:pt idx="194">
                  <c:v>8.1999999999999993</c:v>
                </c:pt>
                <c:pt idx="195">
                  <c:v>8.1999999999999993</c:v>
                </c:pt>
                <c:pt idx="196">
                  <c:v>8.1999999999999993</c:v>
                </c:pt>
                <c:pt idx="197">
                  <c:v>8.3000000000000007</c:v>
                </c:pt>
                <c:pt idx="198">
                  <c:v>8.25</c:v>
                </c:pt>
                <c:pt idx="199">
                  <c:v>8.3000000000000007</c:v>
                </c:pt>
                <c:pt idx="200">
                  <c:v>8.3000000000000007</c:v>
                </c:pt>
                <c:pt idx="201">
                  <c:v>8.25</c:v>
                </c:pt>
                <c:pt idx="202">
                  <c:v>8.3000000000000007</c:v>
                </c:pt>
                <c:pt idx="203">
                  <c:v>8.1</c:v>
                </c:pt>
                <c:pt idx="204">
                  <c:v>8.1</c:v>
                </c:pt>
                <c:pt idx="205">
                  <c:v>8.15</c:v>
                </c:pt>
                <c:pt idx="206">
                  <c:v>8</c:v>
                </c:pt>
                <c:pt idx="207">
                  <c:v>8.1</c:v>
                </c:pt>
                <c:pt idx="208">
                  <c:v>8.1</c:v>
                </c:pt>
                <c:pt idx="209">
                  <c:v>8.15</c:v>
                </c:pt>
                <c:pt idx="210">
                  <c:v>8.1999999999999993</c:v>
                </c:pt>
                <c:pt idx="211">
                  <c:v>8.1</c:v>
                </c:pt>
                <c:pt idx="212">
                  <c:v>8.1</c:v>
                </c:pt>
                <c:pt idx="213">
                  <c:v>8.1999999999999993</c:v>
                </c:pt>
                <c:pt idx="214">
                  <c:v>8.15</c:v>
                </c:pt>
                <c:pt idx="215">
                  <c:v>8.3000000000000007</c:v>
                </c:pt>
                <c:pt idx="216">
                  <c:v>8.1999999999999993</c:v>
                </c:pt>
                <c:pt idx="217">
                  <c:v>8.1</c:v>
                </c:pt>
                <c:pt idx="218">
                  <c:v>8.1</c:v>
                </c:pt>
                <c:pt idx="219">
                  <c:v>8.15</c:v>
                </c:pt>
                <c:pt idx="220">
                  <c:v>8</c:v>
                </c:pt>
                <c:pt idx="221">
                  <c:v>7.6</c:v>
                </c:pt>
                <c:pt idx="222">
                  <c:v>8.1</c:v>
                </c:pt>
                <c:pt idx="223">
                  <c:v>8.1999999999999993</c:v>
                </c:pt>
                <c:pt idx="224">
                  <c:v>8.3000000000000007</c:v>
                </c:pt>
                <c:pt idx="225">
                  <c:v>8.1999999999999993</c:v>
                </c:pt>
                <c:pt idx="226" formatCode="General">
                  <c:v>8.4</c:v>
                </c:pt>
                <c:pt idx="227">
                  <c:v>8.1</c:v>
                </c:pt>
                <c:pt idx="228">
                  <c:v>8.1999999999999993</c:v>
                </c:pt>
                <c:pt idx="229">
                  <c:v>7.9</c:v>
                </c:pt>
                <c:pt idx="230">
                  <c:v>7.9</c:v>
                </c:pt>
                <c:pt idx="231">
                  <c:v>7.3</c:v>
                </c:pt>
                <c:pt idx="232">
                  <c:v>5.7</c:v>
                </c:pt>
                <c:pt idx="233">
                  <c:v>8.1999999999999993</c:v>
                </c:pt>
                <c:pt idx="234">
                  <c:v>8.1</c:v>
                </c:pt>
                <c:pt idx="235">
                  <c:v>8.1999999999999993</c:v>
                </c:pt>
                <c:pt idx="236">
                  <c:v>8</c:v>
                </c:pt>
                <c:pt idx="237">
                  <c:v>7.7</c:v>
                </c:pt>
                <c:pt idx="238">
                  <c:v>8</c:v>
                </c:pt>
                <c:pt idx="239">
                  <c:v>8.4</c:v>
                </c:pt>
                <c:pt idx="240">
                  <c:v>8.4</c:v>
                </c:pt>
                <c:pt idx="241">
                  <c:v>8.5</c:v>
                </c:pt>
                <c:pt idx="242">
                  <c:v>8.5</c:v>
                </c:pt>
                <c:pt idx="243">
                  <c:v>8.5</c:v>
                </c:pt>
                <c:pt idx="244">
                  <c:v>8.4</c:v>
                </c:pt>
                <c:pt idx="245">
                  <c:v>8.4</c:v>
                </c:pt>
                <c:pt idx="246">
                  <c:v>8.3000000000000007</c:v>
                </c:pt>
                <c:pt idx="247">
                  <c:v>8.1999999999999993</c:v>
                </c:pt>
                <c:pt idx="248">
                  <c:v>8.1</c:v>
                </c:pt>
                <c:pt idx="249">
                  <c:v>8</c:v>
                </c:pt>
                <c:pt idx="250">
                  <c:v>7.9</c:v>
                </c:pt>
                <c:pt idx="251">
                  <c:v>8.1999999999999993</c:v>
                </c:pt>
                <c:pt idx="252">
                  <c:v>8.1999999999999993</c:v>
                </c:pt>
                <c:pt idx="253">
                  <c:v>8.1</c:v>
                </c:pt>
                <c:pt idx="254">
                  <c:v>8.1999999999999993</c:v>
                </c:pt>
                <c:pt idx="255">
                  <c:v>8.1999999999999993</c:v>
                </c:pt>
                <c:pt idx="256">
                  <c:v>8.4</c:v>
                </c:pt>
                <c:pt idx="257">
                  <c:v>8.5</c:v>
                </c:pt>
                <c:pt idx="258">
                  <c:v>8.3000000000000007</c:v>
                </c:pt>
                <c:pt idx="259">
                  <c:v>8.4</c:v>
                </c:pt>
                <c:pt idx="260">
                  <c:v>8.4</c:v>
                </c:pt>
                <c:pt idx="261">
                  <c:v>8.3000000000000007</c:v>
                </c:pt>
                <c:pt idx="262">
                  <c:v>8.35</c:v>
                </c:pt>
                <c:pt idx="263">
                  <c:v>8.1999999999999993</c:v>
                </c:pt>
                <c:pt idx="264">
                  <c:v>8.3000000000000007</c:v>
                </c:pt>
                <c:pt idx="265">
                  <c:v>8.3000000000000007</c:v>
                </c:pt>
                <c:pt idx="266">
                  <c:v>8.1999999999999993</c:v>
                </c:pt>
                <c:pt idx="267">
                  <c:v>8.1</c:v>
                </c:pt>
                <c:pt idx="268">
                  <c:v>8.1999999999999993</c:v>
                </c:pt>
                <c:pt idx="269">
                  <c:v>8.15</c:v>
                </c:pt>
                <c:pt idx="270">
                  <c:v>8.1999999999999993</c:v>
                </c:pt>
                <c:pt idx="271">
                  <c:v>8.1</c:v>
                </c:pt>
                <c:pt idx="272">
                  <c:v>8.1</c:v>
                </c:pt>
                <c:pt idx="273">
                  <c:v>8.16</c:v>
                </c:pt>
                <c:pt idx="274">
                  <c:v>8.25</c:v>
                </c:pt>
                <c:pt idx="275">
                  <c:v>8.35</c:v>
                </c:pt>
                <c:pt idx="276">
                  <c:v>8.3000000000000007</c:v>
                </c:pt>
                <c:pt idx="277">
                  <c:v>8.4499999999999993</c:v>
                </c:pt>
                <c:pt idx="278" formatCode="General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8.6</c:v>
                </c:pt>
                <c:pt idx="286">
                  <c:v>8.4</c:v>
                </c:pt>
                <c:pt idx="287">
                  <c:v>8.5</c:v>
                </c:pt>
                <c:pt idx="288">
                  <c:v>8.4</c:v>
                </c:pt>
                <c:pt idx="289">
                  <c:v>8.6</c:v>
                </c:pt>
                <c:pt idx="290">
                  <c:v>8.6</c:v>
                </c:pt>
                <c:pt idx="291">
                  <c:v>8.8000000000000007</c:v>
                </c:pt>
                <c:pt idx="292">
                  <c:v>8.5</c:v>
                </c:pt>
                <c:pt idx="293">
                  <c:v>8.6999999999999993</c:v>
                </c:pt>
                <c:pt idx="294">
                  <c:v>8.6999999999999993</c:v>
                </c:pt>
                <c:pt idx="295">
                  <c:v>8.6</c:v>
                </c:pt>
                <c:pt idx="296">
                  <c:v>8.6</c:v>
                </c:pt>
                <c:pt idx="297">
                  <c:v>8.6300000000000008</c:v>
                </c:pt>
                <c:pt idx="298">
                  <c:v>8.6999999999999993</c:v>
                </c:pt>
                <c:pt idx="299">
                  <c:v>8.35</c:v>
                </c:pt>
                <c:pt idx="300">
                  <c:v>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8A-4C96-9C9C-A77AAB2AA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282047"/>
        <c:axId val="1"/>
      </c:lineChart>
      <c:catAx>
        <c:axId val="840282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7818221077027162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4.5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9"/>
          <c:min val="6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pH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4241244844394450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0282047"/>
        <c:crosses val="autoZero"/>
        <c:crossBetween val="between"/>
        <c:majorUnit val="0.5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 Turbidity</a:t>
            </a:r>
          </a:p>
        </c:rich>
      </c:tx>
      <c:layout>
        <c:manualLayout>
          <c:xMode val="edge"/>
          <c:yMode val="edge"/>
          <c:x val="0.42545499911231388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18219518388143"/>
          <c:y val="0.19879561928391631"/>
          <c:w val="0.83260715866488577"/>
          <c:h val="0.4873000236506288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'ECH CT PH Process'!$A$5:$A$309</c:f>
              <c:strCache>
                <c:ptCount val="301"/>
                <c:pt idx="0">
                  <c:v>02.09.24</c:v>
                </c:pt>
                <c:pt idx="1">
                  <c:v>03.09.24</c:v>
                </c:pt>
                <c:pt idx="2">
                  <c:v>04.09.24</c:v>
                </c:pt>
                <c:pt idx="3">
                  <c:v>05.09.24</c:v>
                </c:pt>
                <c:pt idx="4">
                  <c:v>06.09.24</c:v>
                </c:pt>
                <c:pt idx="5">
                  <c:v>07.09.24</c:v>
                </c:pt>
                <c:pt idx="6">
                  <c:v>09.09.24</c:v>
                </c:pt>
                <c:pt idx="7">
                  <c:v>10.09.24</c:v>
                </c:pt>
                <c:pt idx="8">
                  <c:v>11.09.24</c:v>
                </c:pt>
                <c:pt idx="9">
                  <c:v>12.09.24</c:v>
                </c:pt>
                <c:pt idx="10">
                  <c:v>13.09.24</c:v>
                </c:pt>
                <c:pt idx="11">
                  <c:v>14.09.24</c:v>
                </c:pt>
                <c:pt idx="12">
                  <c:v>16.09.24</c:v>
                </c:pt>
                <c:pt idx="13">
                  <c:v>17.09.24</c:v>
                </c:pt>
                <c:pt idx="14">
                  <c:v>18.09.24</c:v>
                </c:pt>
                <c:pt idx="15">
                  <c:v>19.09.24</c:v>
                </c:pt>
                <c:pt idx="16">
                  <c:v>20.09.24</c:v>
                </c:pt>
                <c:pt idx="17">
                  <c:v>21.09.24</c:v>
                </c:pt>
                <c:pt idx="18">
                  <c:v>23.09.24</c:v>
                </c:pt>
                <c:pt idx="19">
                  <c:v>24.09.24</c:v>
                </c:pt>
                <c:pt idx="20">
                  <c:v>25.09.24</c:v>
                </c:pt>
                <c:pt idx="21">
                  <c:v>26.09.24</c:v>
                </c:pt>
                <c:pt idx="22">
                  <c:v>27.09.24</c:v>
                </c:pt>
                <c:pt idx="23">
                  <c:v>28.09.24</c:v>
                </c:pt>
                <c:pt idx="24">
                  <c:v>30.09.24</c:v>
                </c:pt>
                <c:pt idx="25">
                  <c:v>01.10.24</c:v>
                </c:pt>
                <c:pt idx="26">
                  <c:v>02.10.24</c:v>
                </c:pt>
                <c:pt idx="27">
                  <c:v>03.10.24</c:v>
                </c:pt>
                <c:pt idx="28">
                  <c:v>04.10.24</c:v>
                </c:pt>
                <c:pt idx="29">
                  <c:v>05.10.24</c:v>
                </c:pt>
                <c:pt idx="30">
                  <c:v>07.10.24</c:v>
                </c:pt>
                <c:pt idx="31">
                  <c:v>08.10.24</c:v>
                </c:pt>
                <c:pt idx="32">
                  <c:v>09.10.24</c:v>
                </c:pt>
                <c:pt idx="33">
                  <c:v>10.10.24</c:v>
                </c:pt>
                <c:pt idx="34">
                  <c:v>11.10.24</c:v>
                </c:pt>
                <c:pt idx="35">
                  <c:v>12.10.24</c:v>
                </c:pt>
                <c:pt idx="36">
                  <c:v>14.10.24</c:v>
                </c:pt>
                <c:pt idx="37">
                  <c:v>15.10.24</c:v>
                </c:pt>
                <c:pt idx="38">
                  <c:v>16.10.24</c:v>
                </c:pt>
                <c:pt idx="39">
                  <c:v>17.10.24</c:v>
                </c:pt>
                <c:pt idx="40">
                  <c:v>18.10.24</c:v>
                </c:pt>
                <c:pt idx="41">
                  <c:v>19.10.24</c:v>
                </c:pt>
                <c:pt idx="42">
                  <c:v>21.10.24</c:v>
                </c:pt>
                <c:pt idx="43">
                  <c:v>22.10.24</c:v>
                </c:pt>
                <c:pt idx="44">
                  <c:v>23.10.24</c:v>
                </c:pt>
                <c:pt idx="45">
                  <c:v>24.10.24</c:v>
                </c:pt>
                <c:pt idx="46">
                  <c:v>25.10.24</c:v>
                </c:pt>
                <c:pt idx="47">
                  <c:v>26.10.24</c:v>
                </c:pt>
                <c:pt idx="48">
                  <c:v>28.10.24</c:v>
                </c:pt>
                <c:pt idx="49">
                  <c:v>29.10.24</c:v>
                </c:pt>
                <c:pt idx="50">
                  <c:v>30.10.24</c:v>
                </c:pt>
                <c:pt idx="51">
                  <c:v>31.10.24</c:v>
                </c:pt>
                <c:pt idx="52">
                  <c:v>04.11.24</c:v>
                </c:pt>
                <c:pt idx="53">
                  <c:v>05.11.24</c:v>
                </c:pt>
                <c:pt idx="54">
                  <c:v>06.11.24</c:v>
                </c:pt>
                <c:pt idx="55">
                  <c:v>07.11.24</c:v>
                </c:pt>
                <c:pt idx="56">
                  <c:v>08.11.24</c:v>
                </c:pt>
                <c:pt idx="57">
                  <c:v>09.11.24</c:v>
                </c:pt>
                <c:pt idx="58">
                  <c:v>11.11.24</c:v>
                </c:pt>
                <c:pt idx="59">
                  <c:v>12.11.24</c:v>
                </c:pt>
                <c:pt idx="60">
                  <c:v>13.11.24</c:v>
                </c:pt>
                <c:pt idx="61">
                  <c:v>14.11.24</c:v>
                </c:pt>
                <c:pt idx="62">
                  <c:v>15.11.24</c:v>
                </c:pt>
                <c:pt idx="63">
                  <c:v>16.11.24</c:v>
                </c:pt>
                <c:pt idx="64">
                  <c:v>18.11.24</c:v>
                </c:pt>
                <c:pt idx="65">
                  <c:v>19.11.24</c:v>
                </c:pt>
                <c:pt idx="66">
                  <c:v>20.11.24</c:v>
                </c:pt>
                <c:pt idx="67">
                  <c:v>21.11.24</c:v>
                </c:pt>
                <c:pt idx="68">
                  <c:v>22.11.24</c:v>
                </c:pt>
                <c:pt idx="69">
                  <c:v>23.11.24</c:v>
                </c:pt>
                <c:pt idx="70">
                  <c:v>25.11.24</c:v>
                </c:pt>
                <c:pt idx="71">
                  <c:v>26.11.24</c:v>
                </c:pt>
                <c:pt idx="72">
                  <c:v>27.11.24</c:v>
                </c:pt>
                <c:pt idx="73">
                  <c:v>28.11.24</c:v>
                </c:pt>
                <c:pt idx="74">
                  <c:v>29.11.24</c:v>
                </c:pt>
                <c:pt idx="75">
                  <c:v>30.11.24</c:v>
                </c:pt>
                <c:pt idx="76">
                  <c:v>02.12.24</c:v>
                </c:pt>
                <c:pt idx="77">
                  <c:v>03.12.24</c:v>
                </c:pt>
                <c:pt idx="78">
                  <c:v>04.12.24</c:v>
                </c:pt>
                <c:pt idx="79">
                  <c:v>05.12.24</c:v>
                </c:pt>
                <c:pt idx="80">
                  <c:v>06.12.24</c:v>
                </c:pt>
                <c:pt idx="81">
                  <c:v>07.12.24</c:v>
                </c:pt>
                <c:pt idx="82">
                  <c:v>09.12.24</c:v>
                </c:pt>
                <c:pt idx="83">
                  <c:v>10.12.24</c:v>
                </c:pt>
                <c:pt idx="84">
                  <c:v>11.12.24</c:v>
                </c:pt>
                <c:pt idx="85">
                  <c:v>12.12.24</c:v>
                </c:pt>
                <c:pt idx="86">
                  <c:v>13.12.24</c:v>
                </c:pt>
                <c:pt idx="87">
                  <c:v>14.12.24</c:v>
                </c:pt>
                <c:pt idx="88">
                  <c:v>16.12.24</c:v>
                </c:pt>
                <c:pt idx="89">
                  <c:v>17.12.24</c:v>
                </c:pt>
                <c:pt idx="90">
                  <c:v>18.12.24</c:v>
                </c:pt>
                <c:pt idx="91">
                  <c:v>19.12.24</c:v>
                </c:pt>
                <c:pt idx="92">
                  <c:v>20.12.24</c:v>
                </c:pt>
                <c:pt idx="93">
                  <c:v>21.12.24</c:v>
                </c:pt>
                <c:pt idx="94">
                  <c:v>23.12.24</c:v>
                </c:pt>
                <c:pt idx="95">
                  <c:v>24.12.24</c:v>
                </c:pt>
                <c:pt idx="96">
                  <c:v>25.12.24</c:v>
                </c:pt>
                <c:pt idx="97">
                  <c:v>26.12.24</c:v>
                </c:pt>
                <c:pt idx="98">
                  <c:v>27.12.24</c:v>
                </c:pt>
                <c:pt idx="99">
                  <c:v>28.12.24</c:v>
                </c:pt>
                <c:pt idx="100">
                  <c:v>30.12.24</c:v>
                </c:pt>
                <c:pt idx="101">
                  <c:v>31.12.24</c:v>
                </c:pt>
                <c:pt idx="102">
                  <c:v>01.01.25</c:v>
                </c:pt>
                <c:pt idx="103">
                  <c:v>02.01.25</c:v>
                </c:pt>
                <c:pt idx="104">
                  <c:v>03.01.25</c:v>
                </c:pt>
                <c:pt idx="105">
                  <c:v>04.01.25</c:v>
                </c:pt>
                <c:pt idx="106">
                  <c:v>08.01.25</c:v>
                </c:pt>
                <c:pt idx="107">
                  <c:v>09.01.25</c:v>
                </c:pt>
                <c:pt idx="108">
                  <c:v>10.01.25</c:v>
                </c:pt>
                <c:pt idx="109">
                  <c:v>11.01.25</c:v>
                </c:pt>
                <c:pt idx="110">
                  <c:v>13.01.25</c:v>
                </c:pt>
                <c:pt idx="111">
                  <c:v>15.01.25</c:v>
                </c:pt>
                <c:pt idx="112">
                  <c:v>16.01.25</c:v>
                </c:pt>
                <c:pt idx="113">
                  <c:v>17.01.25</c:v>
                </c:pt>
                <c:pt idx="114">
                  <c:v>18.01.25</c:v>
                </c:pt>
                <c:pt idx="115">
                  <c:v>20.01.25</c:v>
                </c:pt>
                <c:pt idx="116">
                  <c:v>21.01.25</c:v>
                </c:pt>
                <c:pt idx="117">
                  <c:v>22.01.25</c:v>
                </c:pt>
                <c:pt idx="118">
                  <c:v>23.01.25</c:v>
                </c:pt>
                <c:pt idx="119">
                  <c:v>24.01.25</c:v>
                </c:pt>
                <c:pt idx="120">
                  <c:v>25.01.25</c:v>
                </c:pt>
                <c:pt idx="121">
                  <c:v>27.01.25</c:v>
                </c:pt>
                <c:pt idx="122">
                  <c:v>28.01.25</c:v>
                </c:pt>
                <c:pt idx="123">
                  <c:v>29.01.25</c:v>
                </c:pt>
                <c:pt idx="124">
                  <c:v>30.01.25</c:v>
                </c:pt>
                <c:pt idx="125">
                  <c:v>31.01.25</c:v>
                </c:pt>
                <c:pt idx="126">
                  <c:v>01.02.25</c:v>
                </c:pt>
                <c:pt idx="127">
                  <c:v>03.02.25</c:v>
                </c:pt>
                <c:pt idx="128">
                  <c:v>04.02.25</c:v>
                </c:pt>
                <c:pt idx="129">
                  <c:v>05.02.25</c:v>
                </c:pt>
                <c:pt idx="130">
                  <c:v>06.02.25</c:v>
                </c:pt>
                <c:pt idx="131">
                  <c:v>07.02.25</c:v>
                </c:pt>
                <c:pt idx="132">
                  <c:v>08.02.25</c:v>
                </c:pt>
                <c:pt idx="133">
                  <c:v>10.02.25</c:v>
                </c:pt>
                <c:pt idx="134">
                  <c:v>11.02.25</c:v>
                </c:pt>
                <c:pt idx="135">
                  <c:v>12.02.25</c:v>
                </c:pt>
                <c:pt idx="136">
                  <c:v>13.02.25</c:v>
                </c:pt>
                <c:pt idx="137">
                  <c:v>14.02.25</c:v>
                </c:pt>
                <c:pt idx="138">
                  <c:v>15.02.25</c:v>
                </c:pt>
                <c:pt idx="139">
                  <c:v>17.02.25</c:v>
                </c:pt>
                <c:pt idx="140">
                  <c:v>18.02.25</c:v>
                </c:pt>
                <c:pt idx="141">
                  <c:v>19.02.25</c:v>
                </c:pt>
                <c:pt idx="142">
                  <c:v>20.02.25</c:v>
                </c:pt>
                <c:pt idx="143">
                  <c:v>21.02.25</c:v>
                </c:pt>
                <c:pt idx="144">
                  <c:v>22.02.25</c:v>
                </c:pt>
                <c:pt idx="145">
                  <c:v>24.02.25</c:v>
                </c:pt>
                <c:pt idx="146">
                  <c:v>25.02.25</c:v>
                </c:pt>
                <c:pt idx="147">
                  <c:v>27.02.25</c:v>
                </c:pt>
                <c:pt idx="148">
                  <c:v>28.02.25</c:v>
                </c:pt>
                <c:pt idx="149">
                  <c:v>01.03.25</c:v>
                </c:pt>
                <c:pt idx="150">
                  <c:v>03.03.25</c:v>
                </c:pt>
                <c:pt idx="151">
                  <c:v>04.03.25</c:v>
                </c:pt>
                <c:pt idx="152">
                  <c:v>05.03.25</c:v>
                </c:pt>
                <c:pt idx="153">
                  <c:v>06.03.25</c:v>
                </c:pt>
                <c:pt idx="154">
                  <c:v>07.03.25</c:v>
                </c:pt>
                <c:pt idx="155">
                  <c:v>08.03.25</c:v>
                </c:pt>
                <c:pt idx="156">
                  <c:v>10.03.25</c:v>
                </c:pt>
                <c:pt idx="157">
                  <c:v>11.03.25</c:v>
                </c:pt>
                <c:pt idx="158">
                  <c:v>12.03.25</c:v>
                </c:pt>
                <c:pt idx="159">
                  <c:v>13.03.25</c:v>
                </c:pt>
                <c:pt idx="160">
                  <c:v>15.03.25</c:v>
                </c:pt>
                <c:pt idx="161">
                  <c:v>17.03.25</c:v>
                </c:pt>
                <c:pt idx="162">
                  <c:v>18.03.25</c:v>
                </c:pt>
                <c:pt idx="163">
                  <c:v>19.03.25</c:v>
                </c:pt>
                <c:pt idx="164">
                  <c:v>20.03.25</c:v>
                </c:pt>
                <c:pt idx="165">
                  <c:v>21.03.25</c:v>
                </c:pt>
                <c:pt idx="166">
                  <c:v>22.03.25</c:v>
                </c:pt>
                <c:pt idx="167">
                  <c:v>24.03.25</c:v>
                </c:pt>
                <c:pt idx="168">
                  <c:v>25.03.25</c:v>
                </c:pt>
                <c:pt idx="169">
                  <c:v>26.03.25</c:v>
                </c:pt>
                <c:pt idx="170">
                  <c:v>27.03.25</c:v>
                </c:pt>
                <c:pt idx="171">
                  <c:v>28.03.25</c:v>
                </c:pt>
                <c:pt idx="172">
                  <c:v>29.03.25</c:v>
                </c:pt>
                <c:pt idx="173">
                  <c:v>31.03.25</c:v>
                </c:pt>
                <c:pt idx="174">
                  <c:v>01.04.25</c:v>
                </c:pt>
                <c:pt idx="175">
                  <c:v>02.04.25</c:v>
                </c:pt>
                <c:pt idx="176">
                  <c:v>03.04.25</c:v>
                </c:pt>
                <c:pt idx="177">
                  <c:v>04.04.25</c:v>
                </c:pt>
                <c:pt idx="178">
                  <c:v>05.04.25</c:v>
                </c:pt>
                <c:pt idx="179">
                  <c:v>07.04.25</c:v>
                </c:pt>
                <c:pt idx="180">
                  <c:v>08.04.25</c:v>
                </c:pt>
                <c:pt idx="181">
                  <c:v>09.04.25</c:v>
                </c:pt>
                <c:pt idx="182">
                  <c:v>10.04.25</c:v>
                </c:pt>
                <c:pt idx="183">
                  <c:v>11.04.25</c:v>
                </c:pt>
                <c:pt idx="184">
                  <c:v>12.04.25</c:v>
                </c:pt>
                <c:pt idx="185">
                  <c:v>14.04.25</c:v>
                </c:pt>
                <c:pt idx="186">
                  <c:v>15.04.25</c:v>
                </c:pt>
                <c:pt idx="187">
                  <c:v>16.04.25</c:v>
                </c:pt>
                <c:pt idx="188">
                  <c:v>17.04.25</c:v>
                </c:pt>
                <c:pt idx="189">
                  <c:v>18.04.25</c:v>
                </c:pt>
                <c:pt idx="190">
                  <c:v>19.04.25</c:v>
                </c:pt>
                <c:pt idx="191">
                  <c:v>21.04.25</c:v>
                </c:pt>
                <c:pt idx="192">
                  <c:v>22.04.25</c:v>
                </c:pt>
                <c:pt idx="193">
                  <c:v>23.04.25</c:v>
                </c:pt>
                <c:pt idx="194">
                  <c:v>24.04.25</c:v>
                </c:pt>
                <c:pt idx="195">
                  <c:v>25.04.25</c:v>
                </c:pt>
                <c:pt idx="196">
                  <c:v>26.04.25</c:v>
                </c:pt>
                <c:pt idx="197">
                  <c:v>28.04.25</c:v>
                </c:pt>
                <c:pt idx="198">
                  <c:v>29.04.25</c:v>
                </c:pt>
                <c:pt idx="199">
                  <c:v>30.04.25</c:v>
                </c:pt>
                <c:pt idx="200">
                  <c:v>01.05.25</c:v>
                </c:pt>
                <c:pt idx="201">
                  <c:v>02.05.25</c:v>
                </c:pt>
                <c:pt idx="202">
                  <c:v>03.05.25</c:v>
                </c:pt>
                <c:pt idx="203">
                  <c:v>05.05.25</c:v>
                </c:pt>
                <c:pt idx="204">
                  <c:v>06.05.25</c:v>
                </c:pt>
                <c:pt idx="205">
                  <c:v>07.05.25</c:v>
                </c:pt>
                <c:pt idx="206">
                  <c:v>08.05.25</c:v>
                </c:pt>
                <c:pt idx="207">
                  <c:v>09.05.25</c:v>
                </c:pt>
                <c:pt idx="208">
                  <c:v>10.05.25</c:v>
                </c:pt>
                <c:pt idx="209">
                  <c:v>12.05.25</c:v>
                </c:pt>
                <c:pt idx="210">
                  <c:v>13.05.25</c:v>
                </c:pt>
                <c:pt idx="211">
                  <c:v>14.05.25</c:v>
                </c:pt>
                <c:pt idx="212">
                  <c:v>15.05.25</c:v>
                </c:pt>
                <c:pt idx="213">
                  <c:v>16.05.25</c:v>
                </c:pt>
                <c:pt idx="214">
                  <c:v>17.05.25</c:v>
                </c:pt>
                <c:pt idx="215">
                  <c:v>19.05.25</c:v>
                </c:pt>
                <c:pt idx="216">
                  <c:v>20.05.25</c:v>
                </c:pt>
                <c:pt idx="217">
                  <c:v>21.05.25</c:v>
                </c:pt>
                <c:pt idx="218">
                  <c:v>22.05.25</c:v>
                </c:pt>
                <c:pt idx="219">
                  <c:v>23.05.25</c:v>
                </c:pt>
                <c:pt idx="220">
                  <c:v>24.05.25</c:v>
                </c:pt>
                <c:pt idx="221">
                  <c:v>26.05.25</c:v>
                </c:pt>
                <c:pt idx="222">
                  <c:v>27.05.25</c:v>
                </c:pt>
                <c:pt idx="223">
                  <c:v>28.05.25</c:v>
                </c:pt>
                <c:pt idx="224">
                  <c:v>29.05.25</c:v>
                </c:pt>
                <c:pt idx="225">
                  <c:v>30.05.25</c:v>
                </c:pt>
                <c:pt idx="226">
                  <c:v>31.05.25</c:v>
                </c:pt>
                <c:pt idx="227">
                  <c:v>02.06.25</c:v>
                </c:pt>
                <c:pt idx="228">
                  <c:v>03.06.25</c:v>
                </c:pt>
                <c:pt idx="229">
                  <c:v>04.06.25</c:v>
                </c:pt>
                <c:pt idx="230">
                  <c:v>05.06.25</c:v>
                </c:pt>
                <c:pt idx="231">
                  <c:v>06.06.25</c:v>
                </c:pt>
                <c:pt idx="232">
                  <c:v>07.06.25</c:v>
                </c:pt>
                <c:pt idx="233">
                  <c:v>09.06.25</c:v>
                </c:pt>
                <c:pt idx="234">
                  <c:v>10.06.25</c:v>
                </c:pt>
                <c:pt idx="235">
                  <c:v>11.06.25</c:v>
                </c:pt>
                <c:pt idx="236">
                  <c:v>12.06.25</c:v>
                </c:pt>
                <c:pt idx="237">
                  <c:v>13.06.25</c:v>
                </c:pt>
                <c:pt idx="238">
                  <c:v>14.06.25</c:v>
                </c:pt>
                <c:pt idx="239">
                  <c:v>16.06.25</c:v>
                </c:pt>
                <c:pt idx="240">
                  <c:v>17.06.25</c:v>
                </c:pt>
                <c:pt idx="241">
                  <c:v>18.06.25</c:v>
                </c:pt>
                <c:pt idx="242">
                  <c:v>19.06.25</c:v>
                </c:pt>
                <c:pt idx="243">
                  <c:v>20.06.25</c:v>
                </c:pt>
                <c:pt idx="244">
                  <c:v>21.06.25</c:v>
                </c:pt>
                <c:pt idx="245">
                  <c:v>23.06.25</c:v>
                </c:pt>
                <c:pt idx="246">
                  <c:v>24.06.25</c:v>
                </c:pt>
                <c:pt idx="247">
                  <c:v>25.06.25</c:v>
                </c:pt>
                <c:pt idx="248">
                  <c:v>26.06.25</c:v>
                </c:pt>
                <c:pt idx="249">
                  <c:v>27.06.25</c:v>
                </c:pt>
                <c:pt idx="250">
                  <c:v>28.06.25</c:v>
                </c:pt>
                <c:pt idx="251">
                  <c:v>30.06.25</c:v>
                </c:pt>
                <c:pt idx="252">
                  <c:v>01.07.25</c:v>
                </c:pt>
                <c:pt idx="253">
                  <c:v>02.07.25</c:v>
                </c:pt>
                <c:pt idx="254">
                  <c:v>03.07.25</c:v>
                </c:pt>
                <c:pt idx="255">
                  <c:v>04.07.25</c:v>
                </c:pt>
                <c:pt idx="256">
                  <c:v>05.07.25</c:v>
                </c:pt>
                <c:pt idx="257">
                  <c:v>07.07.25</c:v>
                </c:pt>
                <c:pt idx="258">
                  <c:v>08.07.25</c:v>
                </c:pt>
                <c:pt idx="259">
                  <c:v>09.07.25</c:v>
                </c:pt>
                <c:pt idx="260">
                  <c:v>10.07.25</c:v>
                </c:pt>
                <c:pt idx="261">
                  <c:v>11.07.25</c:v>
                </c:pt>
                <c:pt idx="262">
                  <c:v>12.07.25</c:v>
                </c:pt>
                <c:pt idx="263">
                  <c:v>14.07.25</c:v>
                </c:pt>
                <c:pt idx="264">
                  <c:v>15.07.25</c:v>
                </c:pt>
                <c:pt idx="265">
                  <c:v>16.07.25</c:v>
                </c:pt>
                <c:pt idx="266">
                  <c:v>17.07.25</c:v>
                </c:pt>
                <c:pt idx="267">
                  <c:v>18.07.25</c:v>
                </c:pt>
                <c:pt idx="268">
                  <c:v>19.07.25</c:v>
                </c:pt>
                <c:pt idx="269">
                  <c:v>21.07.25</c:v>
                </c:pt>
                <c:pt idx="270">
                  <c:v>22.07.25</c:v>
                </c:pt>
                <c:pt idx="271">
                  <c:v>23.07.25</c:v>
                </c:pt>
                <c:pt idx="272">
                  <c:v>24.07.25</c:v>
                </c:pt>
                <c:pt idx="273">
                  <c:v>25.07.25</c:v>
                </c:pt>
                <c:pt idx="274">
                  <c:v>26.07.25</c:v>
                </c:pt>
                <c:pt idx="275">
                  <c:v>28.07.25</c:v>
                </c:pt>
                <c:pt idx="276">
                  <c:v>29.07.25</c:v>
                </c:pt>
                <c:pt idx="277">
                  <c:v>30.07.25</c:v>
                </c:pt>
                <c:pt idx="278">
                  <c:v>31.07.25</c:v>
                </c:pt>
                <c:pt idx="279">
                  <c:v>01.08.25</c:v>
                </c:pt>
                <c:pt idx="280">
                  <c:v>02.08.25</c:v>
                </c:pt>
                <c:pt idx="281">
                  <c:v>04.08.25</c:v>
                </c:pt>
                <c:pt idx="282">
                  <c:v>05.08.25</c:v>
                </c:pt>
                <c:pt idx="283">
                  <c:v>06.08.25</c:v>
                </c:pt>
                <c:pt idx="284">
                  <c:v>07.08.25</c:v>
                </c:pt>
                <c:pt idx="285">
                  <c:v>08.08.25</c:v>
                </c:pt>
                <c:pt idx="286">
                  <c:v>11.08.25</c:v>
                </c:pt>
                <c:pt idx="287">
                  <c:v>12.08.25</c:v>
                </c:pt>
                <c:pt idx="288">
                  <c:v>13.08.25</c:v>
                </c:pt>
                <c:pt idx="289">
                  <c:v>14.08.25</c:v>
                </c:pt>
                <c:pt idx="290">
                  <c:v>15.08.25</c:v>
                </c:pt>
                <c:pt idx="291">
                  <c:v>18.08.25</c:v>
                </c:pt>
                <c:pt idx="292">
                  <c:v>19.08.25</c:v>
                </c:pt>
                <c:pt idx="293">
                  <c:v>20.08.25</c:v>
                </c:pt>
                <c:pt idx="294">
                  <c:v>21.08.25</c:v>
                </c:pt>
                <c:pt idx="295">
                  <c:v>22.08.25</c:v>
                </c:pt>
                <c:pt idx="296">
                  <c:v>23.08.25</c:v>
                </c:pt>
                <c:pt idx="297">
                  <c:v>26.08.25</c:v>
                </c:pt>
                <c:pt idx="298">
                  <c:v>27.08.25</c:v>
                </c:pt>
                <c:pt idx="299">
                  <c:v>28.08.25</c:v>
                </c:pt>
                <c:pt idx="300">
                  <c:v>29.08.25</c:v>
                </c:pt>
              </c:strCache>
            </c:strRef>
          </c:cat>
          <c:val>
            <c:numRef>
              <c:f>'ECH CT PH Process'!$C$5:$C$309</c:f>
              <c:numCache>
                <c:formatCode>0</c:formatCode>
                <c:ptCount val="3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20</c:v>
                </c:pt>
                <c:pt idx="8">
                  <c:v>0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0</c:v>
                </c:pt>
                <c:pt idx="17">
                  <c:v>12</c:v>
                </c:pt>
                <c:pt idx="18" formatCode="General">
                  <c:v>14</c:v>
                </c:pt>
                <c:pt idx="19" formatCode="General">
                  <c:v>11</c:v>
                </c:pt>
                <c:pt idx="20" formatCode="General">
                  <c:v>12</c:v>
                </c:pt>
                <c:pt idx="21" formatCode="General">
                  <c:v>14</c:v>
                </c:pt>
                <c:pt idx="22" formatCode="General">
                  <c:v>18</c:v>
                </c:pt>
                <c:pt idx="23" formatCode="General">
                  <c:v>16</c:v>
                </c:pt>
                <c:pt idx="24" formatCode="General">
                  <c:v>16</c:v>
                </c:pt>
                <c:pt idx="25">
                  <c:v>9.1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0</c:v>
                </c:pt>
                <c:pt idx="31">
                  <c:v>0</c:v>
                </c:pt>
                <c:pt idx="32">
                  <c:v>10</c:v>
                </c:pt>
                <c:pt idx="33">
                  <c:v>13</c:v>
                </c:pt>
                <c:pt idx="34">
                  <c:v>15</c:v>
                </c:pt>
                <c:pt idx="35">
                  <c:v>19</c:v>
                </c:pt>
                <c:pt idx="36">
                  <c:v>18</c:v>
                </c:pt>
                <c:pt idx="37">
                  <c:v>16</c:v>
                </c:pt>
                <c:pt idx="38">
                  <c:v>7</c:v>
                </c:pt>
                <c:pt idx="39">
                  <c:v>13</c:v>
                </c:pt>
                <c:pt idx="40">
                  <c:v>12</c:v>
                </c:pt>
                <c:pt idx="41">
                  <c:v>12</c:v>
                </c:pt>
                <c:pt idx="42">
                  <c:v>13</c:v>
                </c:pt>
                <c:pt idx="43" formatCode="General">
                  <c:v>12</c:v>
                </c:pt>
                <c:pt idx="44" formatCode="General">
                  <c:v>12</c:v>
                </c:pt>
                <c:pt idx="45" formatCode="General">
                  <c:v>10</c:v>
                </c:pt>
                <c:pt idx="46" formatCode="General">
                  <c:v>11</c:v>
                </c:pt>
                <c:pt idx="47" formatCode="General">
                  <c:v>16</c:v>
                </c:pt>
                <c:pt idx="48" formatCode="General">
                  <c:v>17</c:v>
                </c:pt>
                <c:pt idx="49" formatCode="General">
                  <c:v>19</c:v>
                </c:pt>
                <c:pt idx="50" formatCode="General">
                  <c:v>16</c:v>
                </c:pt>
                <c:pt idx="51" formatCode="General">
                  <c:v>15</c:v>
                </c:pt>
                <c:pt idx="52">
                  <c:v>15</c:v>
                </c:pt>
                <c:pt idx="53">
                  <c:v>14</c:v>
                </c:pt>
                <c:pt idx="54">
                  <c:v>14</c:v>
                </c:pt>
                <c:pt idx="55">
                  <c:v>11</c:v>
                </c:pt>
                <c:pt idx="56">
                  <c:v>10</c:v>
                </c:pt>
                <c:pt idx="57">
                  <c:v>11</c:v>
                </c:pt>
                <c:pt idx="58">
                  <c:v>12</c:v>
                </c:pt>
                <c:pt idx="59">
                  <c:v>14</c:v>
                </c:pt>
                <c:pt idx="60">
                  <c:v>12</c:v>
                </c:pt>
                <c:pt idx="61">
                  <c:v>13</c:v>
                </c:pt>
                <c:pt idx="62">
                  <c:v>13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8">
                  <c:v>0</c:v>
                </c:pt>
                <c:pt idx="69">
                  <c:v>0</c:v>
                </c:pt>
                <c:pt idx="70" formatCode="General">
                  <c:v>0</c:v>
                </c:pt>
                <c:pt idx="71" formatCode="General">
                  <c:v>0</c:v>
                </c:pt>
                <c:pt idx="72" formatCode="General">
                  <c:v>0</c:v>
                </c:pt>
                <c:pt idx="73" formatCode="General">
                  <c:v>0</c:v>
                </c:pt>
                <c:pt idx="74" formatCode="General">
                  <c:v>0</c:v>
                </c:pt>
                <c:pt idx="75" formatCode="General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32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 formatCode="General">
                  <c:v>0</c:v>
                </c:pt>
                <c:pt idx="95" formatCode="General">
                  <c:v>0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 formatCode="General">
                  <c:v>0</c:v>
                </c:pt>
                <c:pt idx="121" formatCode="General">
                  <c:v>0</c:v>
                </c:pt>
                <c:pt idx="122" formatCode="General">
                  <c:v>0</c:v>
                </c:pt>
                <c:pt idx="123" formatCode="General">
                  <c:v>0</c:v>
                </c:pt>
                <c:pt idx="124" formatCode="General">
                  <c:v>0</c:v>
                </c:pt>
                <c:pt idx="125" formatCode="General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 formatCode="General">
                  <c:v>0</c:v>
                </c:pt>
                <c:pt idx="219" formatCode="General">
                  <c:v>0</c:v>
                </c:pt>
                <c:pt idx="220" formatCode="General">
                  <c:v>0</c:v>
                </c:pt>
                <c:pt idx="221" formatCode="General">
                  <c:v>19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22</c:v>
                </c:pt>
                <c:pt idx="226" formatCode="General">
                  <c:v>19</c:v>
                </c:pt>
                <c:pt idx="227">
                  <c:v>29</c:v>
                </c:pt>
                <c:pt idx="228">
                  <c:v>42</c:v>
                </c:pt>
                <c:pt idx="229">
                  <c:v>38</c:v>
                </c:pt>
                <c:pt idx="230">
                  <c:v>32</c:v>
                </c:pt>
                <c:pt idx="231">
                  <c:v>58</c:v>
                </c:pt>
                <c:pt idx="232">
                  <c:v>40</c:v>
                </c:pt>
                <c:pt idx="233">
                  <c:v>52</c:v>
                </c:pt>
                <c:pt idx="234">
                  <c:v>0</c:v>
                </c:pt>
                <c:pt idx="235">
                  <c:v>45</c:v>
                </c:pt>
                <c:pt idx="236">
                  <c:v>71</c:v>
                </c:pt>
                <c:pt idx="237">
                  <c:v>66</c:v>
                </c:pt>
                <c:pt idx="238">
                  <c:v>69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 formatCode="General">
                  <c:v>0</c:v>
                </c:pt>
                <c:pt idx="271" formatCode="General">
                  <c:v>0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0</c:v>
                </c:pt>
                <c:pt idx="277" formatCode="General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0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29-4372-9102-86AC9F2C5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299807"/>
        <c:axId val="1"/>
      </c:lineChart>
      <c:catAx>
        <c:axId val="840299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545490314624751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70"/>
          <c:min val="2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Turbidity (NTU)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2412452610090405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0299807"/>
        <c:crosses val="autoZero"/>
        <c:crossBetween val="between"/>
        <c:majorUnit val="2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FRC</a:t>
            </a:r>
          </a:p>
        </c:rich>
      </c:tx>
      <c:layout>
        <c:manualLayout>
          <c:xMode val="edge"/>
          <c:yMode val="edge"/>
          <c:x val="0.46727317220630787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44855365942459"/>
          <c:y val="0.19879561928391631"/>
          <c:w val="0.84134080018934254"/>
          <c:h val="0.50297113594998411"/>
        </c:manualLayout>
      </c:layout>
      <c:lineChart>
        <c:grouping val="standard"/>
        <c:varyColors val="0"/>
        <c:ser>
          <c:idx val="1"/>
          <c:order val="0"/>
          <c:tx>
            <c:v>FRC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'ECH CT PH Process'!$A$5:$A$309</c:f>
              <c:strCache>
                <c:ptCount val="301"/>
                <c:pt idx="0">
                  <c:v>02.09.24</c:v>
                </c:pt>
                <c:pt idx="1">
                  <c:v>03.09.24</c:v>
                </c:pt>
                <c:pt idx="2">
                  <c:v>04.09.24</c:v>
                </c:pt>
                <c:pt idx="3">
                  <c:v>05.09.24</c:v>
                </c:pt>
                <c:pt idx="4">
                  <c:v>06.09.24</c:v>
                </c:pt>
                <c:pt idx="5">
                  <c:v>07.09.24</c:v>
                </c:pt>
                <c:pt idx="6">
                  <c:v>09.09.24</c:v>
                </c:pt>
                <c:pt idx="7">
                  <c:v>10.09.24</c:v>
                </c:pt>
                <c:pt idx="8">
                  <c:v>11.09.24</c:v>
                </c:pt>
                <c:pt idx="9">
                  <c:v>12.09.24</c:v>
                </c:pt>
                <c:pt idx="10">
                  <c:v>13.09.24</c:v>
                </c:pt>
                <c:pt idx="11">
                  <c:v>14.09.24</c:v>
                </c:pt>
                <c:pt idx="12">
                  <c:v>16.09.24</c:v>
                </c:pt>
                <c:pt idx="13">
                  <c:v>17.09.24</c:v>
                </c:pt>
                <c:pt idx="14">
                  <c:v>18.09.24</c:v>
                </c:pt>
                <c:pt idx="15">
                  <c:v>19.09.24</c:v>
                </c:pt>
                <c:pt idx="16">
                  <c:v>20.09.24</c:v>
                </c:pt>
                <c:pt idx="17">
                  <c:v>21.09.24</c:v>
                </c:pt>
                <c:pt idx="18">
                  <c:v>23.09.24</c:v>
                </c:pt>
                <c:pt idx="19">
                  <c:v>24.09.24</c:v>
                </c:pt>
                <c:pt idx="20">
                  <c:v>25.09.24</c:v>
                </c:pt>
                <c:pt idx="21">
                  <c:v>26.09.24</c:v>
                </c:pt>
                <c:pt idx="22">
                  <c:v>27.09.24</c:v>
                </c:pt>
                <c:pt idx="23">
                  <c:v>28.09.24</c:v>
                </c:pt>
                <c:pt idx="24">
                  <c:v>30.09.24</c:v>
                </c:pt>
                <c:pt idx="25">
                  <c:v>01.10.24</c:v>
                </c:pt>
                <c:pt idx="26">
                  <c:v>02.10.24</c:v>
                </c:pt>
                <c:pt idx="27">
                  <c:v>03.10.24</c:v>
                </c:pt>
                <c:pt idx="28">
                  <c:v>04.10.24</c:v>
                </c:pt>
                <c:pt idx="29">
                  <c:v>05.10.24</c:v>
                </c:pt>
                <c:pt idx="30">
                  <c:v>07.10.24</c:v>
                </c:pt>
                <c:pt idx="31">
                  <c:v>08.10.24</c:v>
                </c:pt>
                <c:pt idx="32">
                  <c:v>09.10.24</c:v>
                </c:pt>
                <c:pt idx="33">
                  <c:v>10.10.24</c:v>
                </c:pt>
                <c:pt idx="34">
                  <c:v>11.10.24</c:v>
                </c:pt>
                <c:pt idx="35">
                  <c:v>12.10.24</c:v>
                </c:pt>
                <c:pt idx="36">
                  <c:v>14.10.24</c:v>
                </c:pt>
                <c:pt idx="37">
                  <c:v>15.10.24</c:v>
                </c:pt>
                <c:pt idx="38">
                  <c:v>16.10.24</c:v>
                </c:pt>
                <c:pt idx="39">
                  <c:v>17.10.24</c:v>
                </c:pt>
                <c:pt idx="40">
                  <c:v>18.10.24</c:v>
                </c:pt>
                <c:pt idx="41">
                  <c:v>19.10.24</c:v>
                </c:pt>
                <c:pt idx="42">
                  <c:v>21.10.24</c:v>
                </c:pt>
                <c:pt idx="43">
                  <c:v>22.10.24</c:v>
                </c:pt>
                <c:pt idx="44">
                  <c:v>23.10.24</c:v>
                </c:pt>
                <c:pt idx="45">
                  <c:v>24.10.24</c:v>
                </c:pt>
                <c:pt idx="46">
                  <c:v>25.10.24</c:v>
                </c:pt>
                <c:pt idx="47">
                  <c:v>26.10.24</c:v>
                </c:pt>
                <c:pt idx="48">
                  <c:v>28.10.24</c:v>
                </c:pt>
                <c:pt idx="49">
                  <c:v>29.10.24</c:v>
                </c:pt>
                <c:pt idx="50">
                  <c:v>30.10.24</c:v>
                </c:pt>
                <c:pt idx="51">
                  <c:v>31.10.24</c:v>
                </c:pt>
                <c:pt idx="52">
                  <c:v>04.11.24</c:v>
                </c:pt>
                <c:pt idx="53">
                  <c:v>05.11.24</c:v>
                </c:pt>
                <c:pt idx="54">
                  <c:v>06.11.24</c:v>
                </c:pt>
                <c:pt idx="55">
                  <c:v>07.11.24</c:v>
                </c:pt>
                <c:pt idx="56">
                  <c:v>08.11.24</c:v>
                </c:pt>
                <c:pt idx="57">
                  <c:v>09.11.24</c:v>
                </c:pt>
                <c:pt idx="58">
                  <c:v>11.11.24</c:v>
                </c:pt>
                <c:pt idx="59">
                  <c:v>12.11.24</c:v>
                </c:pt>
                <c:pt idx="60">
                  <c:v>13.11.24</c:v>
                </c:pt>
                <c:pt idx="61">
                  <c:v>14.11.24</c:v>
                </c:pt>
                <c:pt idx="62">
                  <c:v>15.11.24</c:v>
                </c:pt>
                <c:pt idx="63">
                  <c:v>16.11.24</c:v>
                </c:pt>
                <c:pt idx="64">
                  <c:v>18.11.24</c:v>
                </c:pt>
                <c:pt idx="65">
                  <c:v>19.11.24</c:v>
                </c:pt>
                <c:pt idx="66">
                  <c:v>20.11.24</c:v>
                </c:pt>
                <c:pt idx="67">
                  <c:v>21.11.24</c:v>
                </c:pt>
                <c:pt idx="68">
                  <c:v>22.11.24</c:v>
                </c:pt>
                <c:pt idx="69">
                  <c:v>23.11.24</c:v>
                </c:pt>
                <c:pt idx="70">
                  <c:v>25.11.24</c:v>
                </c:pt>
                <c:pt idx="71">
                  <c:v>26.11.24</c:v>
                </c:pt>
                <c:pt idx="72">
                  <c:v>27.11.24</c:v>
                </c:pt>
                <c:pt idx="73">
                  <c:v>28.11.24</c:v>
                </c:pt>
                <c:pt idx="74">
                  <c:v>29.11.24</c:v>
                </c:pt>
                <c:pt idx="75">
                  <c:v>30.11.24</c:v>
                </c:pt>
                <c:pt idx="76">
                  <c:v>02.12.24</c:v>
                </c:pt>
                <c:pt idx="77">
                  <c:v>03.12.24</c:v>
                </c:pt>
                <c:pt idx="78">
                  <c:v>04.12.24</c:v>
                </c:pt>
                <c:pt idx="79">
                  <c:v>05.12.24</c:v>
                </c:pt>
                <c:pt idx="80">
                  <c:v>06.12.24</c:v>
                </c:pt>
                <c:pt idx="81">
                  <c:v>07.12.24</c:v>
                </c:pt>
                <c:pt idx="82">
                  <c:v>09.12.24</c:v>
                </c:pt>
                <c:pt idx="83">
                  <c:v>10.12.24</c:v>
                </c:pt>
                <c:pt idx="84">
                  <c:v>11.12.24</c:v>
                </c:pt>
                <c:pt idx="85">
                  <c:v>12.12.24</c:v>
                </c:pt>
                <c:pt idx="86">
                  <c:v>13.12.24</c:v>
                </c:pt>
                <c:pt idx="87">
                  <c:v>14.12.24</c:v>
                </c:pt>
                <c:pt idx="88">
                  <c:v>16.12.24</c:v>
                </c:pt>
                <c:pt idx="89">
                  <c:v>17.12.24</c:v>
                </c:pt>
                <c:pt idx="90">
                  <c:v>18.12.24</c:v>
                </c:pt>
                <c:pt idx="91">
                  <c:v>19.12.24</c:v>
                </c:pt>
                <c:pt idx="92">
                  <c:v>20.12.24</c:v>
                </c:pt>
                <c:pt idx="93">
                  <c:v>21.12.24</c:v>
                </c:pt>
                <c:pt idx="94">
                  <c:v>23.12.24</c:v>
                </c:pt>
                <c:pt idx="95">
                  <c:v>24.12.24</c:v>
                </c:pt>
                <c:pt idx="96">
                  <c:v>25.12.24</c:v>
                </c:pt>
                <c:pt idx="97">
                  <c:v>26.12.24</c:v>
                </c:pt>
                <c:pt idx="98">
                  <c:v>27.12.24</c:v>
                </c:pt>
                <c:pt idx="99">
                  <c:v>28.12.24</c:v>
                </c:pt>
                <c:pt idx="100">
                  <c:v>30.12.24</c:v>
                </c:pt>
                <c:pt idx="101">
                  <c:v>31.12.24</c:v>
                </c:pt>
                <c:pt idx="102">
                  <c:v>01.01.25</c:v>
                </c:pt>
                <c:pt idx="103">
                  <c:v>02.01.25</c:v>
                </c:pt>
                <c:pt idx="104">
                  <c:v>03.01.25</c:v>
                </c:pt>
                <c:pt idx="105">
                  <c:v>04.01.25</c:v>
                </c:pt>
                <c:pt idx="106">
                  <c:v>08.01.25</c:v>
                </c:pt>
                <c:pt idx="107">
                  <c:v>09.01.25</c:v>
                </c:pt>
                <c:pt idx="108">
                  <c:v>10.01.25</c:v>
                </c:pt>
                <c:pt idx="109">
                  <c:v>11.01.25</c:v>
                </c:pt>
                <c:pt idx="110">
                  <c:v>13.01.25</c:v>
                </c:pt>
                <c:pt idx="111">
                  <c:v>15.01.25</c:v>
                </c:pt>
                <c:pt idx="112">
                  <c:v>16.01.25</c:v>
                </c:pt>
                <c:pt idx="113">
                  <c:v>17.01.25</c:v>
                </c:pt>
                <c:pt idx="114">
                  <c:v>18.01.25</c:v>
                </c:pt>
                <c:pt idx="115">
                  <c:v>20.01.25</c:v>
                </c:pt>
                <c:pt idx="116">
                  <c:v>21.01.25</c:v>
                </c:pt>
                <c:pt idx="117">
                  <c:v>22.01.25</c:v>
                </c:pt>
                <c:pt idx="118">
                  <c:v>23.01.25</c:v>
                </c:pt>
                <c:pt idx="119">
                  <c:v>24.01.25</c:v>
                </c:pt>
                <c:pt idx="120">
                  <c:v>25.01.25</c:v>
                </c:pt>
                <c:pt idx="121">
                  <c:v>27.01.25</c:v>
                </c:pt>
                <c:pt idx="122">
                  <c:v>28.01.25</c:v>
                </c:pt>
                <c:pt idx="123">
                  <c:v>29.01.25</c:v>
                </c:pt>
                <c:pt idx="124">
                  <c:v>30.01.25</c:v>
                </c:pt>
                <c:pt idx="125">
                  <c:v>31.01.25</c:v>
                </c:pt>
                <c:pt idx="126">
                  <c:v>01.02.25</c:v>
                </c:pt>
                <c:pt idx="127">
                  <c:v>03.02.25</c:v>
                </c:pt>
                <c:pt idx="128">
                  <c:v>04.02.25</c:v>
                </c:pt>
                <c:pt idx="129">
                  <c:v>05.02.25</c:v>
                </c:pt>
                <c:pt idx="130">
                  <c:v>06.02.25</c:v>
                </c:pt>
                <c:pt idx="131">
                  <c:v>07.02.25</c:v>
                </c:pt>
                <c:pt idx="132">
                  <c:v>08.02.25</c:v>
                </c:pt>
                <c:pt idx="133">
                  <c:v>10.02.25</c:v>
                </c:pt>
                <c:pt idx="134">
                  <c:v>11.02.25</c:v>
                </c:pt>
                <c:pt idx="135">
                  <c:v>12.02.25</c:v>
                </c:pt>
                <c:pt idx="136">
                  <c:v>13.02.25</c:v>
                </c:pt>
                <c:pt idx="137">
                  <c:v>14.02.25</c:v>
                </c:pt>
                <c:pt idx="138">
                  <c:v>15.02.25</c:v>
                </c:pt>
                <c:pt idx="139">
                  <c:v>17.02.25</c:v>
                </c:pt>
                <c:pt idx="140">
                  <c:v>18.02.25</c:v>
                </c:pt>
                <c:pt idx="141">
                  <c:v>19.02.25</c:v>
                </c:pt>
                <c:pt idx="142">
                  <c:v>20.02.25</c:v>
                </c:pt>
                <c:pt idx="143">
                  <c:v>21.02.25</c:v>
                </c:pt>
                <c:pt idx="144">
                  <c:v>22.02.25</c:v>
                </c:pt>
                <c:pt idx="145">
                  <c:v>24.02.25</c:v>
                </c:pt>
                <c:pt idx="146">
                  <c:v>25.02.25</c:v>
                </c:pt>
                <c:pt idx="147">
                  <c:v>27.02.25</c:v>
                </c:pt>
                <c:pt idx="148">
                  <c:v>28.02.25</c:v>
                </c:pt>
                <c:pt idx="149">
                  <c:v>01.03.25</c:v>
                </c:pt>
                <c:pt idx="150">
                  <c:v>03.03.25</c:v>
                </c:pt>
                <c:pt idx="151">
                  <c:v>04.03.25</c:v>
                </c:pt>
                <c:pt idx="152">
                  <c:v>05.03.25</c:v>
                </c:pt>
                <c:pt idx="153">
                  <c:v>06.03.25</c:v>
                </c:pt>
                <c:pt idx="154">
                  <c:v>07.03.25</c:v>
                </c:pt>
                <c:pt idx="155">
                  <c:v>08.03.25</c:v>
                </c:pt>
                <c:pt idx="156">
                  <c:v>10.03.25</c:v>
                </c:pt>
                <c:pt idx="157">
                  <c:v>11.03.25</c:v>
                </c:pt>
                <c:pt idx="158">
                  <c:v>12.03.25</c:v>
                </c:pt>
                <c:pt idx="159">
                  <c:v>13.03.25</c:v>
                </c:pt>
                <c:pt idx="160">
                  <c:v>15.03.25</c:v>
                </c:pt>
                <c:pt idx="161">
                  <c:v>17.03.25</c:v>
                </c:pt>
                <c:pt idx="162">
                  <c:v>18.03.25</c:v>
                </c:pt>
                <c:pt idx="163">
                  <c:v>19.03.25</c:v>
                </c:pt>
                <c:pt idx="164">
                  <c:v>20.03.25</c:v>
                </c:pt>
                <c:pt idx="165">
                  <c:v>21.03.25</c:v>
                </c:pt>
                <c:pt idx="166">
                  <c:v>22.03.25</c:v>
                </c:pt>
                <c:pt idx="167">
                  <c:v>24.03.25</c:v>
                </c:pt>
                <c:pt idx="168">
                  <c:v>25.03.25</c:v>
                </c:pt>
                <c:pt idx="169">
                  <c:v>26.03.25</c:v>
                </c:pt>
                <c:pt idx="170">
                  <c:v>27.03.25</c:v>
                </c:pt>
                <c:pt idx="171">
                  <c:v>28.03.25</c:v>
                </c:pt>
                <c:pt idx="172">
                  <c:v>29.03.25</c:v>
                </c:pt>
                <c:pt idx="173">
                  <c:v>31.03.25</c:v>
                </c:pt>
                <c:pt idx="174">
                  <c:v>01.04.25</c:v>
                </c:pt>
                <c:pt idx="175">
                  <c:v>02.04.25</c:v>
                </c:pt>
                <c:pt idx="176">
                  <c:v>03.04.25</c:v>
                </c:pt>
                <c:pt idx="177">
                  <c:v>04.04.25</c:v>
                </c:pt>
                <c:pt idx="178">
                  <c:v>05.04.25</c:v>
                </c:pt>
                <c:pt idx="179">
                  <c:v>07.04.25</c:v>
                </c:pt>
                <c:pt idx="180">
                  <c:v>08.04.25</c:v>
                </c:pt>
                <c:pt idx="181">
                  <c:v>09.04.25</c:v>
                </c:pt>
                <c:pt idx="182">
                  <c:v>10.04.25</c:v>
                </c:pt>
                <c:pt idx="183">
                  <c:v>11.04.25</c:v>
                </c:pt>
                <c:pt idx="184">
                  <c:v>12.04.25</c:v>
                </c:pt>
                <c:pt idx="185">
                  <c:v>14.04.25</c:v>
                </c:pt>
                <c:pt idx="186">
                  <c:v>15.04.25</c:v>
                </c:pt>
                <c:pt idx="187">
                  <c:v>16.04.25</c:v>
                </c:pt>
                <c:pt idx="188">
                  <c:v>17.04.25</c:v>
                </c:pt>
                <c:pt idx="189">
                  <c:v>18.04.25</c:v>
                </c:pt>
                <c:pt idx="190">
                  <c:v>19.04.25</c:v>
                </c:pt>
                <c:pt idx="191">
                  <c:v>21.04.25</c:v>
                </c:pt>
                <c:pt idx="192">
                  <c:v>22.04.25</c:v>
                </c:pt>
                <c:pt idx="193">
                  <c:v>23.04.25</c:v>
                </c:pt>
                <c:pt idx="194">
                  <c:v>24.04.25</c:v>
                </c:pt>
                <c:pt idx="195">
                  <c:v>25.04.25</c:v>
                </c:pt>
                <c:pt idx="196">
                  <c:v>26.04.25</c:v>
                </c:pt>
                <c:pt idx="197">
                  <c:v>28.04.25</c:v>
                </c:pt>
                <c:pt idx="198">
                  <c:v>29.04.25</c:v>
                </c:pt>
                <c:pt idx="199">
                  <c:v>30.04.25</c:v>
                </c:pt>
                <c:pt idx="200">
                  <c:v>01.05.25</c:v>
                </c:pt>
                <c:pt idx="201">
                  <c:v>02.05.25</c:v>
                </c:pt>
                <c:pt idx="202">
                  <c:v>03.05.25</c:v>
                </c:pt>
                <c:pt idx="203">
                  <c:v>05.05.25</c:v>
                </c:pt>
                <c:pt idx="204">
                  <c:v>06.05.25</c:v>
                </c:pt>
                <c:pt idx="205">
                  <c:v>07.05.25</c:v>
                </c:pt>
                <c:pt idx="206">
                  <c:v>08.05.25</c:v>
                </c:pt>
                <c:pt idx="207">
                  <c:v>09.05.25</c:v>
                </c:pt>
                <c:pt idx="208">
                  <c:v>10.05.25</c:v>
                </c:pt>
                <c:pt idx="209">
                  <c:v>12.05.25</c:v>
                </c:pt>
                <c:pt idx="210">
                  <c:v>13.05.25</c:v>
                </c:pt>
                <c:pt idx="211">
                  <c:v>14.05.25</c:v>
                </c:pt>
                <c:pt idx="212">
                  <c:v>15.05.25</c:v>
                </c:pt>
                <c:pt idx="213">
                  <c:v>16.05.25</c:v>
                </c:pt>
                <c:pt idx="214">
                  <c:v>17.05.25</c:v>
                </c:pt>
                <c:pt idx="215">
                  <c:v>19.05.25</c:v>
                </c:pt>
                <c:pt idx="216">
                  <c:v>20.05.25</c:v>
                </c:pt>
                <c:pt idx="217">
                  <c:v>21.05.25</c:v>
                </c:pt>
                <c:pt idx="218">
                  <c:v>22.05.25</c:v>
                </c:pt>
                <c:pt idx="219">
                  <c:v>23.05.25</c:v>
                </c:pt>
                <c:pt idx="220">
                  <c:v>24.05.25</c:v>
                </c:pt>
                <c:pt idx="221">
                  <c:v>26.05.25</c:v>
                </c:pt>
                <c:pt idx="222">
                  <c:v>27.05.25</c:v>
                </c:pt>
                <c:pt idx="223">
                  <c:v>28.05.25</c:v>
                </c:pt>
                <c:pt idx="224">
                  <c:v>29.05.25</c:v>
                </c:pt>
                <c:pt idx="225">
                  <c:v>30.05.25</c:v>
                </c:pt>
                <c:pt idx="226">
                  <c:v>31.05.25</c:v>
                </c:pt>
                <c:pt idx="227">
                  <c:v>02.06.25</c:v>
                </c:pt>
                <c:pt idx="228">
                  <c:v>03.06.25</c:v>
                </c:pt>
                <c:pt idx="229">
                  <c:v>04.06.25</c:v>
                </c:pt>
                <c:pt idx="230">
                  <c:v>05.06.25</c:v>
                </c:pt>
                <c:pt idx="231">
                  <c:v>06.06.25</c:v>
                </c:pt>
                <c:pt idx="232">
                  <c:v>07.06.25</c:v>
                </c:pt>
                <c:pt idx="233">
                  <c:v>09.06.25</c:v>
                </c:pt>
                <c:pt idx="234">
                  <c:v>10.06.25</c:v>
                </c:pt>
                <c:pt idx="235">
                  <c:v>11.06.25</c:v>
                </c:pt>
                <c:pt idx="236">
                  <c:v>12.06.25</c:v>
                </c:pt>
                <c:pt idx="237">
                  <c:v>13.06.25</c:v>
                </c:pt>
                <c:pt idx="238">
                  <c:v>14.06.25</c:v>
                </c:pt>
                <c:pt idx="239">
                  <c:v>16.06.25</c:v>
                </c:pt>
                <c:pt idx="240">
                  <c:v>17.06.25</c:v>
                </c:pt>
                <c:pt idx="241">
                  <c:v>18.06.25</c:v>
                </c:pt>
                <c:pt idx="242">
                  <c:v>19.06.25</c:v>
                </c:pt>
                <c:pt idx="243">
                  <c:v>20.06.25</c:v>
                </c:pt>
                <c:pt idx="244">
                  <c:v>21.06.25</c:v>
                </c:pt>
                <c:pt idx="245">
                  <c:v>23.06.25</c:v>
                </c:pt>
                <c:pt idx="246">
                  <c:v>24.06.25</c:v>
                </c:pt>
                <c:pt idx="247">
                  <c:v>25.06.25</c:v>
                </c:pt>
                <c:pt idx="248">
                  <c:v>26.06.25</c:v>
                </c:pt>
                <c:pt idx="249">
                  <c:v>27.06.25</c:v>
                </c:pt>
                <c:pt idx="250">
                  <c:v>28.06.25</c:v>
                </c:pt>
                <c:pt idx="251">
                  <c:v>30.06.25</c:v>
                </c:pt>
                <c:pt idx="252">
                  <c:v>01.07.25</c:v>
                </c:pt>
                <c:pt idx="253">
                  <c:v>02.07.25</c:v>
                </c:pt>
                <c:pt idx="254">
                  <c:v>03.07.25</c:v>
                </c:pt>
                <c:pt idx="255">
                  <c:v>04.07.25</c:v>
                </c:pt>
                <c:pt idx="256">
                  <c:v>05.07.25</c:v>
                </c:pt>
                <c:pt idx="257">
                  <c:v>07.07.25</c:v>
                </c:pt>
                <c:pt idx="258">
                  <c:v>08.07.25</c:v>
                </c:pt>
                <c:pt idx="259">
                  <c:v>09.07.25</c:v>
                </c:pt>
                <c:pt idx="260">
                  <c:v>10.07.25</c:v>
                </c:pt>
                <c:pt idx="261">
                  <c:v>11.07.25</c:v>
                </c:pt>
                <c:pt idx="262">
                  <c:v>12.07.25</c:v>
                </c:pt>
                <c:pt idx="263">
                  <c:v>14.07.25</c:v>
                </c:pt>
                <c:pt idx="264">
                  <c:v>15.07.25</c:v>
                </c:pt>
                <c:pt idx="265">
                  <c:v>16.07.25</c:v>
                </c:pt>
                <c:pt idx="266">
                  <c:v>17.07.25</c:v>
                </c:pt>
                <c:pt idx="267">
                  <c:v>18.07.25</c:v>
                </c:pt>
                <c:pt idx="268">
                  <c:v>19.07.25</c:v>
                </c:pt>
                <c:pt idx="269">
                  <c:v>21.07.25</c:v>
                </c:pt>
                <c:pt idx="270">
                  <c:v>22.07.25</c:v>
                </c:pt>
                <c:pt idx="271">
                  <c:v>23.07.25</c:v>
                </c:pt>
                <c:pt idx="272">
                  <c:v>24.07.25</c:v>
                </c:pt>
                <c:pt idx="273">
                  <c:v>25.07.25</c:v>
                </c:pt>
                <c:pt idx="274">
                  <c:v>26.07.25</c:v>
                </c:pt>
                <c:pt idx="275">
                  <c:v>28.07.25</c:v>
                </c:pt>
                <c:pt idx="276">
                  <c:v>29.07.25</c:v>
                </c:pt>
                <c:pt idx="277">
                  <c:v>30.07.25</c:v>
                </c:pt>
                <c:pt idx="278">
                  <c:v>31.07.25</c:v>
                </c:pt>
                <c:pt idx="279">
                  <c:v>01.08.25</c:v>
                </c:pt>
                <c:pt idx="280">
                  <c:v>02.08.25</c:v>
                </c:pt>
                <c:pt idx="281">
                  <c:v>04.08.25</c:v>
                </c:pt>
                <c:pt idx="282">
                  <c:v>05.08.25</c:v>
                </c:pt>
                <c:pt idx="283">
                  <c:v>06.08.25</c:v>
                </c:pt>
                <c:pt idx="284">
                  <c:v>07.08.25</c:v>
                </c:pt>
                <c:pt idx="285">
                  <c:v>08.08.25</c:v>
                </c:pt>
                <c:pt idx="286">
                  <c:v>11.08.25</c:v>
                </c:pt>
                <c:pt idx="287">
                  <c:v>12.08.25</c:v>
                </c:pt>
                <c:pt idx="288">
                  <c:v>13.08.25</c:v>
                </c:pt>
                <c:pt idx="289">
                  <c:v>14.08.25</c:v>
                </c:pt>
                <c:pt idx="290">
                  <c:v>15.08.25</c:v>
                </c:pt>
                <c:pt idx="291">
                  <c:v>18.08.25</c:v>
                </c:pt>
                <c:pt idx="292">
                  <c:v>19.08.25</c:v>
                </c:pt>
                <c:pt idx="293">
                  <c:v>20.08.25</c:v>
                </c:pt>
                <c:pt idx="294">
                  <c:v>21.08.25</c:v>
                </c:pt>
                <c:pt idx="295">
                  <c:v>22.08.25</c:v>
                </c:pt>
                <c:pt idx="296">
                  <c:v>23.08.25</c:v>
                </c:pt>
                <c:pt idx="297">
                  <c:v>26.08.25</c:v>
                </c:pt>
                <c:pt idx="298">
                  <c:v>27.08.25</c:v>
                </c:pt>
                <c:pt idx="299">
                  <c:v>28.08.25</c:v>
                </c:pt>
                <c:pt idx="300">
                  <c:v>29.08.25</c:v>
                </c:pt>
              </c:strCache>
            </c:strRef>
          </c:cat>
          <c:val>
            <c:numRef>
              <c:f>'ECH CT PH Process'!$E$5:$E$309</c:f>
              <c:numCache>
                <c:formatCode>0.0</c:formatCode>
                <c:ptCount val="3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0.8</c:v>
                </c:pt>
                <c:pt idx="48">
                  <c:v>0</c:v>
                </c:pt>
                <c:pt idx="49">
                  <c:v>0.8</c:v>
                </c:pt>
                <c:pt idx="50">
                  <c:v>0.2</c:v>
                </c:pt>
                <c:pt idx="51">
                  <c:v>0.5</c:v>
                </c:pt>
                <c:pt idx="52">
                  <c:v>0.2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0.2</c:v>
                </c:pt>
                <c:pt idx="57">
                  <c:v>0.3</c:v>
                </c:pt>
                <c:pt idx="58">
                  <c:v>0.9</c:v>
                </c:pt>
                <c:pt idx="59">
                  <c:v>0.2</c:v>
                </c:pt>
                <c:pt idx="60">
                  <c:v>0.2</c:v>
                </c:pt>
                <c:pt idx="61">
                  <c:v>0.4</c:v>
                </c:pt>
                <c:pt idx="62">
                  <c:v>0.3</c:v>
                </c:pt>
                <c:pt idx="63">
                  <c:v>0</c:v>
                </c:pt>
                <c:pt idx="64">
                  <c:v>0.3</c:v>
                </c:pt>
                <c:pt idx="65">
                  <c:v>0</c:v>
                </c:pt>
                <c:pt idx="66">
                  <c:v>0.5</c:v>
                </c:pt>
                <c:pt idx="67">
                  <c:v>0</c:v>
                </c:pt>
                <c:pt idx="68">
                  <c:v>0.2</c:v>
                </c:pt>
                <c:pt idx="69">
                  <c:v>0.2</c:v>
                </c:pt>
                <c:pt idx="70">
                  <c:v>0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0.1</c:v>
                </c:pt>
                <c:pt idx="78">
                  <c:v>0.2</c:v>
                </c:pt>
                <c:pt idx="79">
                  <c:v>0.2</c:v>
                </c:pt>
                <c:pt idx="80">
                  <c:v>0</c:v>
                </c:pt>
                <c:pt idx="81">
                  <c:v>0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0.4</c:v>
                </c:pt>
                <c:pt idx="86">
                  <c:v>0.2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0.1</c:v>
                </c:pt>
                <c:pt idx="95">
                  <c:v>0</c:v>
                </c:pt>
                <c:pt idx="96">
                  <c:v>0.2</c:v>
                </c:pt>
                <c:pt idx="97">
                  <c:v>0.2</c:v>
                </c:pt>
                <c:pt idx="98">
                  <c:v>0.3</c:v>
                </c:pt>
                <c:pt idx="99">
                  <c:v>0.2</c:v>
                </c:pt>
                <c:pt idx="100">
                  <c:v>0.1</c:v>
                </c:pt>
                <c:pt idx="101">
                  <c:v>0.2</c:v>
                </c:pt>
                <c:pt idx="102">
                  <c:v>0.2</c:v>
                </c:pt>
                <c:pt idx="103">
                  <c:v>0.5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0.2</c:v>
                </c:pt>
                <c:pt idx="112">
                  <c:v>0</c:v>
                </c:pt>
                <c:pt idx="113">
                  <c:v>0.1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0.2</c:v>
                </c:pt>
                <c:pt idx="121">
                  <c:v>0</c:v>
                </c:pt>
                <c:pt idx="122">
                  <c:v>0</c:v>
                </c:pt>
                <c:pt idx="123">
                  <c:v>0.2</c:v>
                </c:pt>
                <c:pt idx="124">
                  <c:v>0</c:v>
                </c:pt>
                <c:pt idx="125">
                  <c:v>0.2</c:v>
                </c:pt>
                <c:pt idx="126">
                  <c:v>0.2</c:v>
                </c:pt>
                <c:pt idx="127">
                  <c:v>3</c:v>
                </c:pt>
                <c:pt idx="128">
                  <c:v>0.4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</c:v>
                </c:pt>
                <c:pt idx="134">
                  <c:v>0.4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0.2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0.2</c:v>
                </c:pt>
                <c:pt idx="150">
                  <c:v>1</c:v>
                </c:pt>
                <c:pt idx="151">
                  <c:v>0.2</c:v>
                </c:pt>
                <c:pt idx="152">
                  <c:v>0</c:v>
                </c:pt>
                <c:pt idx="153">
                  <c:v>0.2</c:v>
                </c:pt>
                <c:pt idx="154">
                  <c:v>0.3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0.5</c:v>
                </c:pt>
                <c:pt idx="160">
                  <c:v>0</c:v>
                </c:pt>
                <c:pt idx="161">
                  <c:v>0.3</c:v>
                </c:pt>
                <c:pt idx="162">
                  <c:v>0.3</c:v>
                </c:pt>
                <c:pt idx="163">
                  <c:v>0.1</c:v>
                </c:pt>
                <c:pt idx="164">
                  <c:v>0</c:v>
                </c:pt>
                <c:pt idx="165">
                  <c:v>0.1</c:v>
                </c:pt>
                <c:pt idx="166">
                  <c:v>0</c:v>
                </c:pt>
                <c:pt idx="167">
                  <c:v>0.2</c:v>
                </c:pt>
                <c:pt idx="168">
                  <c:v>0.2</c:v>
                </c:pt>
                <c:pt idx="169">
                  <c:v>0.1</c:v>
                </c:pt>
                <c:pt idx="170">
                  <c:v>0</c:v>
                </c:pt>
                <c:pt idx="171">
                  <c:v>0.2</c:v>
                </c:pt>
                <c:pt idx="172">
                  <c:v>0.3</c:v>
                </c:pt>
                <c:pt idx="173">
                  <c:v>0.1</c:v>
                </c:pt>
                <c:pt idx="174">
                  <c:v>0</c:v>
                </c:pt>
                <c:pt idx="175">
                  <c:v>0.2</c:v>
                </c:pt>
                <c:pt idx="176">
                  <c:v>0.3</c:v>
                </c:pt>
                <c:pt idx="177">
                  <c:v>0.2</c:v>
                </c:pt>
                <c:pt idx="178">
                  <c:v>0.1</c:v>
                </c:pt>
                <c:pt idx="179">
                  <c:v>0.1</c:v>
                </c:pt>
                <c:pt idx="180">
                  <c:v>0.2</c:v>
                </c:pt>
                <c:pt idx="181">
                  <c:v>0.2</c:v>
                </c:pt>
                <c:pt idx="182">
                  <c:v>0.1</c:v>
                </c:pt>
                <c:pt idx="183">
                  <c:v>0.1</c:v>
                </c:pt>
                <c:pt idx="184">
                  <c:v>0.2</c:v>
                </c:pt>
                <c:pt idx="185">
                  <c:v>0</c:v>
                </c:pt>
                <c:pt idx="186">
                  <c:v>0.1</c:v>
                </c:pt>
                <c:pt idx="187">
                  <c:v>0.2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0.1</c:v>
                </c:pt>
                <c:pt idx="193">
                  <c:v>0.2</c:v>
                </c:pt>
                <c:pt idx="194">
                  <c:v>0.2</c:v>
                </c:pt>
                <c:pt idx="195">
                  <c:v>0.2</c:v>
                </c:pt>
                <c:pt idx="196">
                  <c:v>0.3</c:v>
                </c:pt>
                <c:pt idx="197">
                  <c:v>0.2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</c:v>
                </c:pt>
                <c:pt idx="211">
                  <c:v>0.1</c:v>
                </c:pt>
                <c:pt idx="212">
                  <c:v>0.1</c:v>
                </c:pt>
                <c:pt idx="213">
                  <c:v>0.2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0.5</c:v>
                </c:pt>
                <c:pt idx="222">
                  <c:v>0</c:v>
                </c:pt>
                <c:pt idx="223">
                  <c:v>0.1</c:v>
                </c:pt>
                <c:pt idx="224">
                  <c:v>0.1</c:v>
                </c:pt>
                <c:pt idx="225">
                  <c:v>0.5</c:v>
                </c:pt>
                <c:pt idx="226">
                  <c:v>0.1</c:v>
                </c:pt>
                <c:pt idx="227">
                  <c:v>0.4</c:v>
                </c:pt>
                <c:pt idx="228">
                  <c:v>0</c:v>
                </c:pt>
                <c:pt idx="229">
                  <c:v>0.3</c:v>
                </c:pt>
                <c:pt idx="230">
                  <c:v>0.2</c:v>
                </c:pt>
                <c:pt idx="231">
                  <c:v>0.2</c:v>
                </c:pt>
                <c:pt idx="232">
                  <c:v>0.2</c:v>
                </c:pt>
                <c:pt idx="233">
                  <c:v>0.5</c:v>
                </c:pt>
                <c:pt idx="234">
                  <c:v>0.2</c:v>
                </c:pt>
                <c:pt idx="235">
                  <c:v>0.4</c:v>
                </c:pt>
                <c:pt idx="236">
                  <c:v>0.2</c:v>
                </c:pt>
                <c:pt idx="237">
                  <c:v>0.3</c:v>
                </c:pt>
                <c:pt idx="238">
                  <c:v>0</c:v>
                </c:pt>
                <c:pt idx="239">
                  <c:v>0.1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0.2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0.1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12-4091-8FEE-7942AE3BD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288287"/>
        <c:axId val="1"/>
      </c:lineChart>
      <c:catAx>
        <c:axId val="840288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181855695825954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.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FRC ppm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32684831062783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0288287"/>
        <c:crosses val="autoZero"/>
        <c:crossBetween val="between"/>
        <c:majorUnit val="0.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 Total Hardness</a:t>
            </a:r>
          </a:p>
        </c:rich>
      </c:tx>
      <c:layout>
        <c:manualLayout>
          <c:xMode val="edge"/>
          <c:yMode val="edge"/>
          <c:x val="0.37636394171021126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46022978759547"/>
          <c:y val="0.19819877943992656"/>
          <c:w val="0.82532912406117176"/>
          <c:h val="0.48855741447212825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'ECH CT PH Process'!$A$5:$A$309</c:f>
              <c:strCache>
                <c:ptCount val="301"/>
                <c:pt idx="0">
                  <c:v>02.09.24</c:v>
                </c:pt>
                <c:pt idx="1">
                  <c:v>03.09.24</c:v>
                </c:pt>
                <c:pt idx="2">
                  <c:v>04.09.24</c:v>
                </c:pt>
                <c:pt idx="3">
                  <c:v>05.09.24</c:v>
                </c:pt>
                <c:pt idx="4">
                  <c:v>06.09.24</c:v>
                </c:pt>
                <c:pt idx="5">
                  <c:v>07.09.24</c:v>
                </c:pt>
                <c:pt idx="6">
                  <c:v>09.09.24</c:v>
                </c:pt>
                <c:pt idx="7">
                  <c:v>10.09.24</c:v>
                </c:pt>
                <c:pt idx="8">
                  <c:v>11.09.24</c:v>
                </c:pt>
                <c:pt idx="9">
                  <c:v>12.09.24</c:v>
                </c:pt>
                <c:pt idx="10">
                  <c:v>13.09.24</c:v>
                </c:pt>
                <c:pt idx="11">
                  <c:v>14.09.24</c:v>
                </c:pt>
                <c:pt idx="12">
                  <c:v>16.09.24</c:v>
                </c:pt>
                <c:pt idx="13">
                  <c:v>17.09.24</c:v>
                </c:pt>
                <c:pt idx="14">
                  <c:v>18.09.24</c:v>
                </c:pt>
                <c:pt idx="15">
                  <c:v>19.09.24</c:v>
                </c:pt>
                <c:pt idx="16">
                  <c:v>20.09.24</c:v>
                </c:pt>
                <c:pt idx="17">
                  <c:v>21.09.24</c:v>
                </c:pt>
                <c:pt idx="18">
                  <c:v>23.09.24</c:v>
                </c:pt>
                <c:pt idx="19">
                  <c:v>24.09.24</c:v>
                </c:pt>
                <c:pt idx="20">
                  <c:v>25.09.24</c:v>
                </c:pt>
                <c:pt idx="21">
                  <c:v>26.09.24</c:v>
                </c:pt>
                <c:pt idx="22">
                  <c:v>27.09.24</c:v>
                </c:pt>
                <c:pt idx="23">
                  <c:v>28.09.24</c:v>
                </c:pt>
                <c:pt idx="24">
                  <c:v>30.09.24</c:v>
                </c:pt>
                <c:pt idx="25">
                  <c:v>01.10.24</c:v>
                </c:pt>
                <c:pt idx="26">
                  <c:v>02.10.24</c:v>
                </c:pt>
                <c:pt idx="27">
                  <c:v>03.10.24</c:v>
                </c:pt>
                <c:pt idx="28">
                  <c:v>04.10.24</c:v>
                </c:pt>
                <c:pt idx="29">
                  <c:v>05.10.24</c:v>
                </c:pt>
                <c:pt idx="30">
                  <c:v>07.10.24</c:v>
                </c:pt>
                <c:pt idx="31">
                  <c:v>08.10.24</c:v>
                </c:pt>
                <c:pt idx="32">
                  <c:v>09.10.24</c:v>
                </c:pt>
                <c:pt idx="33">
                  <c:v>10.10.24</c:v>
                </c:pt>
                <c:pt idx="34">
                  <c:v>11.10.24</c:v>
                </c:pt>
                <c:pt idx="35">
                  <c:v>12.10.24</c:v>
                </c:pt>
                <c:pt idx="36">
                  <c:v>14.10.24</c:v>
                </c:pt>
                <c:pt idx="37">
                  <c:v>15.10.24</c:v>
                </c:pt>
                <c:pt idx="38">
                  <c:v>16.10.24</c:v>
                </c:pt>
                <c:pt idx="39">
                  <c:v>17.10.24</c:v>
                </c:pt>
                <c:pt idx="40">
                  <c:v>18.10.24</c:v>
                </c:pt>
                <c:pt idx="41">
                  <c:v>19.10.24</c:v>
                </c:pt>
                <c:pt idx="42">
                  <c:v>21.10.24</c:v>
                </c:pt>
                <c:pt idx="43">
                  <c:v>22.10.24</c:v>
                </c:pt>
                <c:pt idx="44">
                  <c:v>23.10.24</c:v>
                </c:pt>
                <c:pt idx="45">
                  <c:v>24.10.24</c:v>
                </c:pt>
                <c:pt idx="46">
                  <c:v>25.10.24</c:v>
                </c:pt>
                <c:pt idx="47">
                  <c:v>26.10.24</c:v>
                </c:pt>
                <c:pt idx="48">
                  <c:v>28.10.24</c:v>
                </c:pt>
                <c:pt idx="49">
                  <c:v>29.10.24</c:v>
                </c:pt>
                <c:pt idx="50">
                  <c:v>30.10.24</c:v>
                </c:pt>
                <c:pt idx="51">
                  <c:v>31.10.24</c:v>
                </c:pt>
                <c:pt idx="52">
                  <c:v>04.11.24</c:v>
                </c:pt>
                <c:pt idx="53">
                  <c:v>05.11.24</c:v>
                </c:pt>
                <c:pt idx="54">
                  <c:v>06.11.24</c:v>
                </c:pt>
                <c:pt idx="55">
                  <c:v>07.11.24</c:v>
                </c:pt>
                <c:pt idx="56">
                  <c:v>08.11.24</c:v>
                </c:pt>
                <c:pt idx="57">
                  <c:v>09.11.24</c:v>
                </c:pt>
                <c:pt idx="58">
                  <c:v>11.11.24</c:v>
                </c:pt>
                <c:pt idx="59">
                  <c:v>12.11.24</c:v>
                </c:pt>
                <c:pt idx="60">
                  <c:v>13.11.24</c:v>
                </c:pt>
                <c:pt idx="61">
                  <c:v>14.11.24</c:v>
                </c:pt>
                <c:pt idx="62">
                  <c:v>15.11.24</c:v>
                </c:pt>
                <c:pt idx="63">
                  <c:v>16.11.24</c:v>
                </c:pt>
                <c:pt idx="64">
                  <c:v>18.11.24</c:v>
                </c:pt>
                <c:pt idx="65">
                  <c:v>19.11.24</c:v>
                </c:pt>
                <c:pt idx="66">
                  <c:v>20.11.24</c:v>
                </c:pt>
                <c:pt idx="67">
                  <c:v>21.11.24</c:v>
                </c:pt>
                <c:pt idx="68">
                  <c:v>22.11.24</c:v>
                </c:pt>
                <c:pt idx="69">
                  <c:v>23.11.24</c:v>
                </c:pt>
                <c:pt idx="70">
                  <c:v>25.11.24</c:v>
                </c:pt>
                <c:pt idx="71">
                  <c:v>26.11.24</c:v>
                </c:pt>
                <c:pt idx="72">
                  <c:v>27.11.24</c:v>
                </c:pt>
                <c:pt idx="73">
                  <c:v>28.11.24</c:v>
                </c:pt>
                <c:pt idx="74">
                  <c:v>29.11.24</c:v>
                </c:pt>
                <c:pt idx="75">
                  <c:v>30.11.24</c:v>
                </c:pt>
                <c:pt idx="76">
                  <c:v>02.12.24</c:v>
                </c:pt>
                <c:pt idx="77">
                  <c:v>03.12.24</c:v>
                </c:pt>
                <c:pt idx="78">
                  <c:v>04.12.24</c:v>
                </c:pt>
                <c:pt idx="79">
                  <c:v>05.12.24</c:v>
                </c:pt>
                <c:pt idx="80">
                  <c:v>06.12.24</c:v>
                </c:pt>
                <c:pt idx="81">
                  <c:v>07.12.24</c:v>
                </c:pt>
                <c:pt idx="82">
                  <c:v>09.12.24</c:v>
                </c:pt>
                <c:pt idx="83">
                  <c:v>10.12.24</c:v>
                </c:pt>
                <c:pt idx="84">
                  <c:v>11.12.24</c:v>
                </c:pt>
                <c:pt idx="85">
                  <c:v>12.12.24</c:v>
                </c:pt>
                <c:pt idx="86">
                  <c:v>13.12.24</c:v>
                </c:pt>
                <c:pt idx="87">
                  <c:v>14.12.24</c:v>
                </c:pt>
                <c:pt idx="88">
                  <c:v>16.12.24</c:v>
                </c:pt>
                <c:pt idx="89">
                  <c:v>17.12.24</c:v>
                </c:pt>
                <c:pt idx="90">
                  <c:v>18.12.24</c:v>
                </c:pt>
                <c:pt idx="91">
                  <c:v>19.12.24</c:v>
                </c:pt>
                <c:pt idx="92">
                  <c:v>20.12.24</c:v>
                </c:pt>
                <c:pt idx="93">
                  <c:v>21.12.24</c:v>
                </c:pt>
                <c:pt idx="94">
                  <c:v>23.12.24</c:v>
                </c:pt>
                <c:pt idx="95">
                  <c:v>24.12.24</c:v>
                </c:pt>
                <c:pt idx="96">
                  <c:v>25.12.24</c:v>
                </c:pt>
                <c:pt idx="97">
                  <c:v>26.12.24</c:v>
                </c:pt>
                <c:pt idx="98">
                  <c:v>27.12.24</c:v>
                </c:pt>
                <c:pt idx="99">
                  <c:v>28.12.24</c:v>
                </c:pt>
                <c:pt idx="100">
                  <c:v>30.12.24</c:v>
                </c:pt>
                <c:pt idx="101">
                  <c:v>31.12.24</c:v>
                </c:pt>
                <c:pt idx="102">
                  <c:v>01.01.25</c:v>
                </c:pt>
                <c:pt idx="103">
                  <c:v>02.01.25</c:v>
                </c:pt>
                <c:pt idx="104">
                  <c:v>03.01.25</c:v>
                </c:pt>
                <c:pt idx="105">
                  <c:v>04.01.25</c:v>
                </c:pt>
                <c:pt idx="106">
                  <c:v>08.01.25</c:v>
                </c:pt>
                <c:pt idx="107">
                  <c:v>09.01.25</c:v>
                </c:pt>
                <c:pt idx="108">
                  <c:v>10.01.25</c:v>
                </c:pt>
                <c:pt idx="109">
                  <c:v>11.01.25</c:v>
                </c:pt>
                <c:pt idx="110">
                  <c:v>13.01.25</c:v>
                </c:pt>
                <c:pt idx="111">
                  <c:v>15.01.25</c:v>
                </c:pt>
                <c:pt idx="112">
                  <c:v>16.01.25</c:v>
                </c:pt>
                <c:pt idx="113">
                  <c:v>17.01.25</c:v>
                </c:pt>
                <c:pt idx="114">
                  <c:v>18.01.25</c:v>
                </c:pt>
                <c:pt idx="115">
                  <c:v>20.01.25</c:v>
                </c:pt>
                <c:pt idx="116">
                  <c:v>21.01.25</c:v>
                </c:pt>
                <c:pt idx="117">
                  <c:v>22.01.25</c:v>
                </c:pt>
                <c:pt idx="118">
                  <c:v>23.01.25</c:v>
                </c:pt>
                <c:pt idx="119">
                  <c:v>24.01.25</c:v>
                </c:pt>
                <c:pt idx="120">
                  <c:v>25.01.25</c:v>
                </c:pt>
                <c:pt idx="121">
                  <c:v>27.01.25</c:v>
                </c:pt>
                <c:pt idx="122">
                  <c:v>28.01.25</c:v>
                </c:pt>
                <c:pt idx="123">
                  <c:v>29.01.25</c:v>
                </c:pt>
                <c:pt idx="124">
                  <c:v>30.01.25</c:v>
                </c:pt>
                <c:pt idx="125">
                  <c:v>31.01.25</c:v>
                </c:pt>
                <c:pt idx="126">
                  <c:v>01.02.25</c:v>
                </c:pt>
                <c:pt idx="127">
                  <c:v>03.02.25</c:v>
                </c:pt>
                <c:pt idx="128">
                  <c:v>04.02.25</c:v>
                </c:pt>
                <c:pt idx="129">
                  <c:v>05.02.25</c:v>
                </c:pt>
                <c:pt idx="130">
                  <c:v>06.02.25</c:v>
                </c:pt>
                <c:pt idx="131">
                  <c:v>07.02.25</c:v>
                </c:pt>
                <c:pt idx="132">
                  <c:v>08.02.25</c:v>
                </c:pt>
                <c:pt idx="133">
                  <c:v>10.02.25</c:v>
                </c:pt>
                <c:pt idx="134">
                  <c:v>11.02.25</c:v>
                </c:pt>
                <c:pt idx="135">
                  <c:v>12.02.25</c:v>
                </c:pt>
                <c:pt idx="136">
                  <c:v>13.02.25</c:v>
                </c:pt>
                <c:pt idx="137">
                  <c:v>14.02.25</c:v>
                </c:pt>
                <c:pt idx="138">
                  <c:v>15.02.25</c:v>
                </c:pt>
                <c:pt idx="139">
                  <c:v>17.02.25</c:v>
                </c:pt>
                <c:pt idx="140">
                  <c:v>18.02.25</c:v>
                </c:pt>
                <c:pt idx="141">
                  <c:v>19.02.25</c:v>
                </c:pt>
                <c:pt idx="142">
                  <c:v>20.02.25</c:v>
                </c:pt>
                <c:pt idx="143">
                  <c:v>21.02.25</c:v>
                </c:pt>
                <c:pt idx="144">
                  <c:v>22.02.25</c:v>
                </c:pt>
                <c:pt idx="145">
                  <c:v>24.02.25</c:v>
                </c:pt>
                <c:pt idx="146">
                  <c:v>25.02.25</c:v>
                </c:pt>
                <c:pt idx="147">
                  <c:v>27.02.25</c:v>
                </c:pt>
                <c:pt idx="148">
                  <c:v>28.02.25</c:v>
                </c:pt>
                <c:pt idx="149">
                  <c:v>01.03.25</c:v>
                </c:pt>
                <c:pt idx="150">
                  <c:v>03.03.25</c:v>
                </c:pt>
                <c:pt idx="151">
                  <c:v>04.03.25</c:v>
                </c:pt>
                <c:pt idx="152">
                  <c:v>05.03.25</c:v>
                </c:pt>
                <c:pt idx="153">
                  <c:v>06.03.25</c:v>
                </c:pt>
                <c:pt idx="154">
                  <c:v>07.03.25</c:v>
                </c:pt>
                <c:pt idx="155">
                  <c:v>08.03.25</c:v>
                </c:pt>
                <c:pt idx="156">
                  <c:v>10.03.25</c:v>
                </c:pt>
                <c:pt idx="157">
                  <c:v>11.03.25</c:v>
                </c:pt>
                <c:pt idx="158">
                  <c:v>12.03.25</c:v>
                </c:pt>
                <c:pt idx="159">
                  <c:v>13.03.25</c:v>
                </c:pt>
                <c:pt idx="160">
                  <c:v>15.03.25</c:v>
                </c:pt>
                <c:pt idx="161">
                  <c:v>17.03.25</c:v>
                </c:pt>
                <c:pt idx="162">
                  <c:v>18.03.25</c:v>
                </c:pt>
                <c:pt idx="163">
                  <c:v>19.03.25</c:v>
                </c:pt>
                <c:pt idx="164">
                  <c:v>20.03.25</c:v>
                </c:pt>
                <c:pt idx="165">
                  <c:v>21.03.25</c:v>
                </c:pt>
                <c:pt idx="166">
                  <c:v>22.03.25</c:v>
                </c:pt>
                <c:pt idx="167">
                  <c:v>24.03.25</c:v>
                </c:pt>
                <c:pt idx="168">
                  <c:v>25.03.25</c:v>
                </c:pt>
                <c:pt idx="169">
                  <c:v>26.03.25</c:v>
                </c:pt>
                <c:pt idx="170">
                  <c:v>27.03.25</c:v>
                </c:pt>
                <c:pt idx="171">
                  <c:v>28.03.25</c:v>
                </c:pt>
                <c:pt idx="172">
                  <c:v>29.03.25</c:v>
                </c:pt>
                <c:pt idx="173">
                  <c:v>31.03.25</c:v>
                </c:pt>
                <c:pt idx="174">
                  <c:v>01.04.25</c:v>
                </c:pt>
                <c:pt idx="175">
                  <c:v>02.04.25</c:v>
                </c:pt>
                <c:pt idx="176">
                  <c:v>03.04.25</c:v>
                </c:pt>
                <c:pt idx="177">
                  <c:v>04.04.25</c:v>
                </c:pt>
                <c:pt idx="178">
                  <c:v>05.04.25</c:v>
                </c:pt>
                <c:pt idx="179">
                  <c:v>07.04.25</c:v>
                </c:pt>
                <c:pt idx="180">
                  <c:v>08.04.25</c:v>
                </c:pt>
                <c:pt idx="181">
                  <c:v>09.04.25</c:v>
                </c:pt>
                <c:pt idx="182">
                  <c:v>10.04.25</c:v>
                </c:pt>
                <c:pt idx="183">
                  <c:v>11.04.25</c:v>
                </c:pt>
                <c:pt idx="184">
                  <c:v>12.04.25</c:v>
                </c:pt>
                <c:pt idx="185">
                  <c:v>14.04.25</c:v>
                </c:pt>
                <c:pt idx="186">
                  <c:v>15.04.25</c:v>
                </c:pt>
                <c:pt idx="187">
                  <c:v>16.04.25</c:v>
                </c:pt>
                <c:pt idx="188">
                  <c:v>17.04.25</c:v>
                </c:pt>
                <c:pt idx="189">
                  <c:v>18.04.25</c:v>
                </c:pt>
                <c:pt idx="190">
                  <c:v>19.04.25</c:v>
                </c:pt>
                <c:pt idx="191">
                  <c:v>21.04.25</c:v>
                </c:pt>
                <c:pt idx="192">
                  <c:v>22.04.25</c:v>
                </c:pt>
                <c:pt idx="193">
                  <c:v>23.04.25</c:v>
                </c:pt>
                <c:pt idx="194">
                  <c:v>24.04.25</c:v>
                </c:pt>
                <c:pt idx="195">
                  <c:v>25.04.25</c:v>
                </c:pt>
                <c:pt idx="196">
                  <c:v>26.04.25</c:v>
                </c:pt>
                <c:pt idx="197">
                  <c:v>28.04.25</c:v>
                </c:pt>
                <c:pt idx="198">
                  <c:v>29.04.25</c:v>
                </c:pt>
                <c:pt idx="199">
                  <c:v>30.04.25</c:v>
                </c:pt>
                <c:pt idx="200">
                  <c:v>01.05.25</c:v>
                </c:pt>
                <c:pt idx="201">
                  <c:v>02.05.25</c:v>
                </c:pt>
                <c:pt idx="202">
                  <c:v>03.05.25</c:v>
                </c:pt>
                <c:pt idx="203">
                  <c:v>05.05.25</c:v>
                </c:pt>
                <c:pt idx="204">
                  <c:v>06.05.25</c:v>
                </c:pt>
                <c:pt idx="205">
                  <c:v>07.05.25</c:v>
                </c:pt>
                <c:pt idx="206">
                  <c:v>08.05.25</c:v>
                </c:pt>
                <c:pt idx="207">
                  <c:v>09.05.25</c:v>
                </c:pt>
                <c:pt idx="208">
                  <c:v>10.05.25</c:v>
                </c:pt>
                <c:pt idx="209">
                  <c:v>12.05.25</c:v>
                </c:pt>
                <c:pt idx="210">
                  <c:v>13.05.25</c:v>
                </c:pt>
                <c:pt idx="211">
                  <c:v>14.05.25</c:v>
                </c:pt>
                <c:pt idx="212">
                  <c:v>15.05.25</c:v>
                </c:pt>
                <c:pt idx="213">
                  <c:v>16.05.25</c:v>
                </c:pt>
                <c:pt idx="214">
                  <c:v>17.05.25</c:v>
                </c:pt>
                <c:pt idx="215">
                  <c:v>19.05.25</c:v>
                </c:pt>
                <c:pt idx="216">
                  <c:v>20.05.25</c:v>
                </c:pt>
                <c:pt idx="217">
                  <c:v>21.05.25</c:v>
                </c:pt>
                <c:pt idx="218">
                  <c:v>22.05.25</c:v>
                </c:pt>
                <c:pt idx="219">
                  <c:v>23.05.25</c:v>
                </c:pt>
                <c:pt idx="220">
                  <c:v>24.05.25</c:v>
                </c:pt>
                <c:pt idx="221">
                  <c:v>26.05.25</c:v>
                </c:pt>
                <c:pt idx="222">
                  <c:v>27.05.25</c:v>
                </c:pt>
                <c:pt idx="223">
                  <c:v>28.05.25</c:v>
                </c:pt>
                <c:pt idx="224">
                  <c:v>29.05.25</c:v>
                </c:pt>
                <c:pt idx="225">
                  <c:v>30.05.25</c:v>
                </c:pt>
                <c:pt idx="226">
                  <c:v>31.05.25</c:v>
                </c:pt>
                <c:pt idx="227">
                  <c:v>02.06.25</c:v>
                </c:pt>
                <c:pt idx="228">
                  <c:v>03.06.25</c:v>
                </c:pt>
                <c:pt idx="229">
                  <c:v>04.06.25</c:v>
                </c:pt>
                <c:pt idx="230">
                  <c:v>05.06.25</c:v>
                </c:pt>
                <c:pt idx="231">
                  <c:v>06.06.25</c:v>
                </c:pt>
                <c:pt idx="232">
                  <c:v>07.06.25</c:v>
                </c:pt>
                <c:pt idx="233">
                  <c:v>09.06.25</c:v>
                </c:pt>
                <c:pt idx="234">
                  <c:v>10.06.25</c:v>
                </c:pt>
                <c:pt idx="235">
                  <c:v>11.06.25</c:v>
                </c:pt>
                <c:pt idx="236">
                  <c:v>12.06.25</c:v>
                </c:pt>
                <c:pt idx="237">
                  <c:v>13.06.25</c:v>
                </c:pt>
                <c:pt idx="238">
                  <c:v>14.06.25</c:v>
                </c:pt>
                <c:pt idx="239">
                  <c:v>16.06.25</c:v>
                </c:pt>
                <c:pt idx="240">
                  <c:v>17.06.25</c:v>
                </c:pt>
                <c:pt idx="241">
                  <c:v>18.06.25</c:v>
                </c:pt>
                <c:pt idx="242">
                  <c:v>19.06.25</c:v>
                </c:pt>
                <c:pt idx="243">
                  <c:v>20.06.25</c:v>
                </c:pt>
                <c:pt idx="244">
                  <c:v>21.06.25</c:v>
                </c:pt>
                <c:pt idx="245">
                  <c:v>23.06.25</c:v>
                </c:pt>
                <c:pt idx="246">
                  <c:v>24.06.25</c:v>
                </c:pt>
                <c:pt idx="247">
                  <c:v>25.06.25</c:v>
                </c:pt>
                <c:pt idx="248">
                  <c:v>26.06.25</c:v>
                </c:pt>
                <c:pt idx="249">
                  <c:v>27.06.25</c:v>
                </c:pt>
                <c:pt idx="250">
                  <c:v>28.06.25</c:v>
                </c:pt>
                <c:pt idx="251">
                  <c:v>30.06.25</c:v>
                </c:pt>
                <c:pt idx="252">
                  <c:v>01.07.25</c:v>
                </c:pt>
                <c:pt idx="253">
                  <c:v>02.07.25</c:v>
                </c:pt>
                <c:pt idx="254">
                  <c:v>03.07.25</c:v>
                </c:pt>
                <c:pt idx="255">
                  <c:v>04.07.25</c:v>
                </c:pt>
                <c:pt idx="256">
                  <c:v>05.07.25</c:v>
                </c:pt>
                <c:pt idx="257">
                  <c:v>07.07.25</c:v>
                </c:pt>
                <c:pt idx="258">
                  <c:v>08.07.25</c:v>
                </c:pt>
                <c:pt idx="259">
                  <c:v>09.07.25</c:v>
                </c:pt>
                <c:pt idx="260">
                  <c:v>10.07.25</c:v>
                </c:pt>
                <c:pt idx="261">
                  <c:v>11.07.25</c:v>
                </c:pt>
                <c:pt idx="262">
                  <c:v>12.07.25</c:v>
                </c:pt>
                <c:pt idx="263">
                  <c:v>14.07.25</c:v>
                </c:pt>
                <c:pt idx="264">
                  <c:v>15.07.25</c:v>
                </c:pt>
                <c:pt idx="265">
                  <c:v>16.07.25</c:v>
                </c:pt>
                <c:pt idx="266">
                  <c:v>17.07.25</c:v>
                </c:pt>
                <c:pt idx="267">
                  <c:v>18.07.25</c:v>
                </c:pt>
                <c:pt idx="268">
                  <c:v>19.07.25</c:v>
                </c:pt>
                <c:pt idx="269">
                  <c:v>21.07.25</c:v>
                </c:pt>
                <c:pt idx="270">
                  <c:v>22.07.25</c:v>
                </c:pt>
                <c:pt idx="271">
                  <c:v>23.07.25</c:v>
                </c:pt>
                <c:pt idx="272">
                  <c:v>24.07.25</c:v>
                </c:pt>
                <c:pt idx="273">
                  <c:v>25.07.25</c:v>
                </c:pt>
                <c:pt idx="274">
                  <c:v>26.07.25</c:v>
                </c:pt>
                <c:pt idx="275">
                  <c:v>28.07.25</c:v>
                </c:pt>
                <c:pt idx="276">
                  <c:v>29.07.25</c:v>
                </c:pt>
                <c:pt idx="277">
                  <c:v>30.07.25</c:v>
                </c:pt>
                <c:pt idx="278">
                  <c:v>31.07.25</c:v>
                </c:pt>
                <c:pt idx="279">
                  <c:v>01.08.25</c:v>
                </c:pt>
                <c:pt idx="280">
                  <c:v>02.08.25</c:v>
                </c:pt>
                <c:pt idx="281">
                  <c:v>04.08.25</c:v>
                </c:pt>
                <c:pt idx="282">
                  <c:v>05.08.25</c:v>
                </c:pt>
                <c:pt idx="283">
                  <c:v>06.08.25</c:v>
                </c:pt>
                <c:pt idx="284">
                  <c:v>07.08.25</c:v>
                </c:pt>
                <c:pt idx="285">
                  <c:v>08.08.25</c:v>
                </c:pt>
                <c:pt idx="286">
                  <c:v>11.08.25</c:v>
                </c:pt>
                <c:pt idx="287">
                  <c:v>12.08.25</c:v>
                </c:pt>
                <c:pt idx="288">
                  <c:v>13.08.25</c:v>
                </c:pt>
                <c:pt idx="289">
                  <c:v>14.08.25</c:v>
                </c:pt>
                <c:pt idx="290">
                  <c:v>15.08.25</c:v>
                </c:pt>
                <c:pt idx="291">
                  <c:v>18.08.25</c:v>
                </c:pt>
                <c:pt idx="292">
                  <c:v>19.08.25</c:v>
                </c:pt>
                <c:pt idx="293">
                  <c:v>20.08.25</c:v>
                </c:pt>
                <c:pt idx="294">
                  <c:v>21.08.25</c:v>
                </c:pt>
                <c:pt idx="295">
                  <c:v>22.08.25</c:v>
                </c:pt>
                <c:pt idx="296">
                  <c:v>23.08.25</c:v>
                </c:pt>
                <c:pt idx="297">
                  <c:v>26.08.25</c:v>
                </c:pt>
                <c:pt idx="298">
                  <c:v>27.08.25</c:v>
                </c:pt>
                <c:pt idx="299">
                  <c:v>28.08.25</c:v>
                </c:pt>
                <c:pt idx="300">
                  <c:v>29.08.25</c:v>
                </c:pt>
              </c:strCache>
            </c:strRef>
          </c:cat>
          <c:val>
            <c:numRef>
              <c:f>'ECH CT PH Process'!$H$5:$H$309</c:f>
              <c:numCache>
                <c:formatCode>General</c:formatCode>
                <c:ptCount val="305"/>
                <c:pt idx="0">
                  <c:v>425</c:v>
                </c:pt>
                <c:pt idx="1">
                  <c:v>423</c:v>
                </c:pt>
                <c:pt idx="2">
                  <c:v>427</c:v>
                </c:pt>
                <c:pt idx="3">
                  <c:v>438</c:v>
                </c:pt>
                <c:pt idx="4">
                  <c:v>350</c:v>
                </c:pt>
                <c:pt idx="5">
                  <c:v>348</c:v>
                </c:pt>
                <c:pt idx="6">
                  <c:v>353</c:v>
                </c:pt>
                <c:pt idx="7" formatCode="0">
                  <c:v>368</c:v>
                </c:pt>
                <c:pt idx="8">
                  <c:v>364</c:v>
                </c:pt>
                <c:pt idx="9">
                  <c:v>356</c:v>
                </c:pt>
                <c:pt idx="10">
                  <c:v>360</c:v>
                </c:pt>
                <c:pt idx="11">
                  <c:v>365</c:v>
                </c:pt>
                <c:pt idx="12">
                  <c:v>344</c:v>
                </c:pt>
                <c:pt idx="13">
                  <c:v>369</c:v>
                </c:pt>
                <c:pt idx="14">
                  <c:v>359</c:v>
                </c:pt>
                <c:pt idx="15">
                  <c:v>346</c:v>
                </c:pt>
                <c:pt idx="16">
                  <c:v>366</c:v>
                </c:pt>
                <c:pt idx="17">
                  <c:v>354</c:v>
                </c:pt>
                <c:pt idx="18">
                  <c:v>358</c:v>
                </c:pt>
                <c:pt idx="19">
                  <c:v>369</c:v>
                </c:pt>
                <c:pt idx="20">
                  <c:v>357</c:v>
                </c:pt>
                <c:pt idx="21">
                  <c:v>398</c:v>
                </c:pt>
                <c:pt idx="22">
                  <c:v>409</c:v>
                </c:pt>
                <c:pt idx="23">
                  <c:v>456</c:v>
                </c:pt>
                <c:pt idx="24">
                  <c:v>444</c:v>
                </c:pt>
                <c:pt idx="25">
                  <c:v>475</c:v>
                </c:pt>
                <c:pt idx="26">
                  <c:v>488</c:v>
                </c:pt>
                <c:pt idx="27">
                  <c:v>533</c:v>
                </c:pt>
                <c:pt idx="28">
                  <c:v>545</c:v>
                </c:pt>
                <c:pt idx="29">
                  <c:v>542</c:v>
                </c:pt>
                <c:pt idx="30">
                  <c:v>473</c:v>
                </c:pt>
                <c:pt idx="31">
                  <c:v>470</c:v>
                </c:pt>
                <c:pt idx="32" formatCode="0">
                  <c:v>502</c:v>
                </c:pt>
                <c:pt idx="33">
                  <c:v>509</c:v>
                </c:pt>
                <c:pt idx="34">
                  <c:v>513</c:v>
                </c:pt>
                <c:pt idx="35">
                  <c:v>507</c:v>
                </c:pt>
                <c:pt idx="36">
                  <c:v>540</c:v>
                </c:pt>
                <c:pt idx="37">
                  <c:v>523</c:v>
                </c:pt>
                <c:pt idx="38">
                  <c:v>430</c:v>
                </c:pt>
                <c:pt idx="39">
                  <c:v>380</c:v>
                </c:pt>
                <c:pt idx="40">
                  <c:v>354</c:v>
                </c:pt>
                <c:pt idx="41">
                  <c:v>360</c:v>
                </c:pt>
                <c:pt idx="42">
                  <c:v>400</c:v>
                </c:pt>
                <c:pt idx="43">
                  <c:v>422</c:v>
                </c:pt>
                <c:pt idx="44">
                  <c:v>413</c:v>
                </c:pt>
                <c:pt idx="45">
                  <c:v>420</c:v>
                </c:pt>
                <c:pt idx="46">
                  <c:v>412</c:v>
                </c:pt>
                <c:pt idx="47">
                  <c:v>423</c:v>
                </c:pt>
                <c:pt idx="48">
                  <c:v>403</c:v>
                </c:pt>
                <c:pt idx="49">
                  <c:v>410</c:v>
                </c:pt>
                <c:pt idx="50">
                  <c:v>395</c:v>
                </c:pt>
                <c:pt idx="51">
                  <c:v>410</c:v>
                </c:pt>
                <c:pt idx="52">
                  <c:v>415</c:v>
                </c:pt>
                <c:pt idx="53">
                  <c:v>422</c:v>
                </c:pt>
                <c:pt idx="54">
                  <c:v>433</c:v>
                </c:pt>
                <c:pt idx="55">
                  <c:v>440</c:v>
                </c:pt>
                <c:pt idx="56">
                  <c:v>398</c:v>
                </c:pt>
                <c:pt idx="57">
                  <c:v>350</c:v>
                </c:pt>
                <c:pt idx="58">
                  <c:v>343</c:v>
                </c:pt>
                <c:pt idx="59" formatCode="0">
                  <c:v>350</c:v>
                </c:pt>
                <c:pt idx="60">
                  <c:v>357</c:v>
                </c:pt>
                <c:pt idx="61">
                  <c:v>330</c:v>
                </c:pt>
                <c:pt idx="62">
                  <c:v>337</c:v>
                </c:pt>
                <c:pt idx="63">
                  <c:v>345</c:v>
                </c:pt>
                <c:pt idx="64">
                  <c:v>357</c:v>
                </c:pt>
                <c:pt idx="65">
                  <c:v>240</c:v>
                </c:pt>
                <c:pt idx="66">
                  <c:v>250</c:v>
                </c:pt>
                <c:pt idx="67">
                  <c:v>210</c:v>
                </c:pt>
                <c:pt idx="68">
                  <c:v>200</c:v>
                </c:pt>
                <c:pt idx="69">
                  <c:v>220</c:v>
                </c:pt>
                <c:pt idx="70">
                  <c:v>240</c:v>
                </c:pt>
                <c:pt idx="71">
                  <c:v>248</c:v>
                </c:pt>
                <c:pt idx="72">
                  <c:v>200</c:v>
                </c:pt>
                <c:pt idx="73">
                  <c:v>215</c:v>
                </c:pt>
                <c:pt idx="74">
                  <c:v>212</c:v>
                </c:pt>
                <c:pt idx="75">
                  <c:v>200</c:v>
                </c:pt>
                <c:pt idx="76">
                  <c:v>192</c:v>
                </c:pt>
                <c:pt idx="77">
                  <c:v>160</c:v>
                </c:pt>
                <c:pt idx="78">
                  <c:v>200</c:v>
                </c:pt>
                <c:pt idx="79">
                  <c:v>196</c:v>
                </c:pt>
                <c:pt idx="80">
                  <c:v>210</c:v>
                </c:pt>
                <c:pt idx="81">
                  <c:v>220</c:v>
                </c:pt>
                <c:pt idx="82">
                  <c:v>200</c:v>
                </c:pt>
                <c:pt idx="83" formatCode="0">
                  <c:v>218</c:v>
                </c:pt>
                <c:pt idx="84">
                  <c:v>226</c:v>
                </c:pt>
                <c:pt idx="85">
                  <c:v>180</c:v>
                </c:pt>
                <c:pt idx="86">
                  <c:v>192</c:v>
                </c:pt>
                <c:pt idx="87">
                  <c:v>230</c:v>
                </c:pt>
                <c:pt idx="88">
                  <c:v>215</c:v>
                </c:pt>
                <c:pt idx="89">
                  <c:v>180</c:v>
                </c:pt>
                <c:pt idx="90">
                  <c:v>195</c:v>
                </c:pt>
                <c:pt idx="91">
                  <c:v>210</c:v>
                </c:pt>
                <c:pt idx="92">
                  <c:v>200</c:v>
                </c:pt>
                <c:pt idx="93">
                  <c:v>215</c:v>
                </c:pt>
                <c:pt idx="94">
                  <c:v>240</c:v>
                </c:pt>
                <c:pt idx="95">
                  <c:v>248</c:v>
                </c:pt>
                <c:pt idx="96">
                  <c:v>240</c:v>
                </c:pt>
                <c:pt idx="97">
                  <c:v>250</c:v>
                </c:pt>
                <c:pt idx="98">
                  <c:v>254</c:v>
                </c:pt>
                <c:pt idx="99">
                  <c:v>260</c:v>
                </c:pt>
                <c:pt idx="100">
                  <c:v>245</c:v>
                </c:pt>
                <c:pt idx="101">
                  <c:v>210</c:v>
                </c:pt>
                <c:pt idx="102">
                  <c:v>217</c:v>
                </c:pt>
                <c:pt idx="103">
                  <c:v>227</c:v>
                </c:pt>
                <c:pt idx="104">
                  <c:v>236</c:v>
                </c:pt>
                <c:pt idx="105">
                  <c:v>240</c:v>
                </c:pt>
                <c:pt idx="106">
                  <c:v>250</c:v>
                </c:pt>
                <c:pt idx="107">
                  <c:v>258</c:v>
                </c:pt>
                <c:pt idx="108">
                  <c:v>264</c:v>
                </c:pt>
                <c:pt idx="109" formatCode="0">
                  <c:v>240</c:v>
                </c:pt>
                <c:pt idx="110">
                  <c:v>310</c:v>
                </c:pt>
                <c:pt idx="111">
                  <c:v>320</c:v>
                </c:pt>
                <c:pt idx="112">
                  <c:v>327</c:v>
                </c:pt>
                <c:pt idx="113">
                  <c:v>320</c:v>
                </c:pt>
                <c:pt idx="114">
                  <c:v>300</c:v>
                </c:pt>
                <c:pt idx="115">
                  <c:v>317</c:v>
                </c:pt>
                <c:pt idx="116">
                  <c:v>320</c:v>
                </c:pt>
                <c:pt idx="117">
                  <c:v>329</c:v>
                </c:pt>
                <c:pt idx="118">
                  <c:v>341</c:v>
                </c:pt>
                <c:pt idx="119">
                  <c:v>330</c:v>
                </c:pt>
                <c:pt idx="120">
                  <c:v>290</c:v>
                </c:pt>
                <c:pt idx="121">
                  <c:v>315</c:v>
                </c:pt>
                <c:pt idx="122">
                  <c:v>329</c:v>
                </c:pt>
                <c:pt idx="123">
                  <c:v>342</c:v>
                </c:pt>
                <c:pt idx="124">
                  <c:v>325</c:v>
                </c:pt>
                <c:pt idx="125">
                  <c:v>337</c:v>
                </c:pt>
                <c:pt idx="126">
                  <c:v>350</c:v>
                </c:pt>
                <c:pt idx="127">
                  <c:v>308</c:v>
                </c:pt>
                <c:pt idx="128">
                  <c:v>260</c:v>
                </c:pt>
                <c:pt idx="129">
                  <c:v>234</c:v>
                </c:pt>
                <c:pt idx="130">
                  <c:v>264</c:v>
                </c:pt>
                <c:pt idx="131">
                  <c:v>273</c:v>
                </c:pt>
                <c:pt idx="132">
                  <c:v>293</c:v>
                </c:pt>
                <c:pt idx="133" formatCode="0">
                  <c:v>303</c:v>
                </c:pt>
                <c:pt idx="134">
                  <c:v>280</c:v>
                </c:pt>
                <c:pt idx="135">
                  <c:v>295</c:v>
                </c:pt>
                <c:pt idx="136">
                  <c:v>315</c:v>
                </c:pt>
                <c:pt idx="137">
                  <c:v>300</c:v>
                </c:pt>
                <c:pt idx="138">
                  <c:v>293</c:v>
                </c:pt>
                <c:pt idx="139">
                  <c:v>280</c:v>
                </c:pt>
                <c:pt idx="140">
                  <c:v>265</c:v>
                </c:pt>
                <c:pt idx="141">
                  <c:v>250</c:v>
                </c:pt>
                <c:pt idx="142">
                  <c:v>269</c:v>
                </c:pt>
                <c:pt idx="143">
                  <c:v>282</c:v>
                </c:pt>
                <c:pt idx="144">
                  <c:v>295</c:v>
                </c:pt>
                <c:pt idx="145">
                  <c:v>315</c:v>
                </c:pt>
                <c:pt idx="146">
                  <c:v>270</c:v>
                </c:pt>
                <c:pt idx="147">
                  <c:v>256</c:v>
                </c:pt>
                <c:pt idx="148">
                  <c:v>240</c:v>
                </c:pt>
                <c:pt idx="149">
                  <c:v>285</c:v>
                </c:pt>
                <c:pt idx="150">
                  <c:v>262</c:v>
                </c:pt>
                <c:pt idx="151">
                  <c:v>280</c:v>
                </c:pt>
                <c:pt idx="152">
                  <c:v>266</c:v>
                </c:pt>
                <c:pt idx="153">
                  <c:v>250</c:v>
                </c:pt>
                <c:pt idx="154">
                  <c:v>200</c:v>
                </c:pt>
                <c:pt idx="155">
                  <c:v>219</c:v>
                </c:pt>
                <c:pt idx="156" formatCode="0">
                  <c:v>227</c:v>
                </c:pt>
                <c:pt idx="157">
                  <c:v>210</c:v>
                </c:pt>
                <c:pt idx="158">
                  <c:v>225</c:v>
                </c:pt>
                <c:pt idx="159">
                  <c:v>215</c:v>
                </c:pt>
                <c:pt idx="160">
                  <c:v>230</c:v>
                </c:pt>
                <c:pt idx="161">
                  <c:v>195</c:v>
                </c:pt>
                <c:pt idx="162">
                  <c:v>190</c:v>
                </c:pt>
                <c:pt idx="163">
                  <c:v>198</c:v>
                </c:pt>
                <c:pt idx="164">
                  <c:v>213</c:v>
                </c:pt>
                <c:pt idx="165">
                  <c:v>205</c:v>
                </c:pt>
                <c:pt idx="166">
                  <c:v>219</c:v>
                </c:pt>
                <c:pt idx="167">
                  <c:v>200</c:v>
                </c:pt>
                <c:pt idx="168">
                  <c:v>209</c:v>
                </c:pt>
                <c:pt idx="169">
                  <c:v>200</c:v>
                </c:pt>
                <c:pt idx="170">
                  <c:v>204</c:v>
                </c:pt>
                <c:pt idx="171">
                  <c:v>210</c:v>
                </c:pt>
                <c:pt idx="172">
                  <c:v>205</c:v>
                </c:pt>
                <c:pt idx="173">
                  <c:v>200</c:v>
                </c:pt>
                <c:pt idx="174">
                  <c:v>3</c:v>
                </c:pt>
                <c:pt idx="175">
                  <c:v>215</c:v>
                </c:pt>
                <c:pt idx="176">
                  <c:v>220</c:v>
                </c:pt>
                <c:pt idx="177">
                  <c:v>220</c:v>
                </c:pt>
                <c:pt idx="178">
                  <c:v>232</c:v>
                </c:pt>
                <c:pt idx="179">
                  <c:v>200</c:v>
                </c:pt>
                <c:pt idx="180">
                  <c:v>210</c:v>
                </c:pt>
                <c:pt idx="181" formatCode="0">
                  <c:v>207</c:v>
                </c:pt>
                <c:pt idx="182">
                  <c:v>221</c:v>
                </c:pt>
                <c:pt idx="183">
                  <c:v>214</c:v>
                </c:pt>
                <c:pt idx="184">
                  <c:v>200</c:v>
                </c:pt>
                <c:pt idx="185">
                  <c:v>207</c:v>
                </c:pt>
                <c:pt idx="186">
                  <c:v>195</c:v>
                </c:pt>
                <c:pt idx="187">
                  <c:v>203</c:v>
                </c:pt>
                <c:pt idx="188">
                  <c:v>205</c:v>
                </c:pt>
                <c:pt idx="189">
                  <c:v>213</c:v>
                </c:pt>
                <c:pt idx="190">
                  <c:v>218</c:v>
                </c:pt>
                <c:pt idx="191">
                  <c:v>200</c:v>
                </c:pt>
                <c:pt idx="192">
                  <c:v>195</c:v>
                </c:pt>
                <c:pt idx="193">
                  <c:v>209</c:v>
                </c:pt>
                <c:pt idx="194">
                  <c:v>240</c:v>
                </c:pt>
                <c:pt idx="195">
                  <c:v>225</c:v>
                </c:pt>
                <c:pt idx="196">
                  <c:v>240</c:v>
                </c:pt>
                <c:pt idx="197">
                  <c:v>253</c:v>
                </c:pt>
                <c:pt idx="198">
                  <c:v>240</c:v>
                </c:pt>
                <c:pt idx="199">
                  <c:v>228</c:v>
                </c:pt>
                <c:pt idx="200">
                  <c:v>235</c:v>
                </c:pt>
                <c:pt idx="201">
                  <c:v>210</c:v>
                </c:pt>
                <c:pt idx="202">
                  <c:v>215</c:v>
                </c:pt>
                <c:pt idx="203">
                  <c:v>200</c:v>
                </c:pt>
                <c:pt idx="204">
                  <c:v>190</c:v>
                </c:pt>
                <c:pt idx="205">
                  <c:v>196</c:v>
                </c:pt>
                <c:pt idx="206">
                  <c:v>200</c:v>
                </c:pt>
                <c:pt idx="207" formatCode="0">
                  <c:v>210</c:v>
                </c:pt>
                <c:pt idx="208">
                  <c:v>210</c:v>
                </c:pt>
                <c:pt idx="209">
                  <c:v>200</c:v>
                </c:pt>
                <c:pt idx="210">
                  <c:v>205</c:v>
                </c:pt>
                <c:pt idx="211">
                  <c:v>190</c:v>
                </c:pt>
                <c:pt idx="212">
                  <c:v>196</c:v>
                </c:pt>
                <c:pt idx="213">
                  <c:v>200</c:v>
                </c:pt>
                <c:pt idx="214">
                  <c:v>207</c:v>
                </c:pt>
                <c:pt idx="215">
                  <c:v>200</c:v>
                </c:pt>
                <c:pt idx="216">
                  <c:v>209</c:v>
                </c:pt>
                <c:pt idx="217">
                  <c:v>169</c:v>
                </c:pt>
                <c:pt idx="218">
                  <c:v>160</c:v>
                </c:pt>
                <c:pt idx="219">
                  <c:v>152</c:v>
                </c:pt>
                <c:pt idx="220">
                  <c:v>145</c:v>
                </c:pt>
                <c:pt idx="221">
                  <c:v>120</c:v>
                </c:pt>
                <c:pt idx="222">
                  <c:v>120</c:v>
                </c:pt>
                <c:pt idx="223">
                  <c:v>127</c:v>
                </c:pt>
                <c:pt idx="224">
                  <c:v>100</c:v>
                </c:pt>
                <c:pt idx="225">
                  <c:v>110</c:v>
                </c:pt>
                <c:pt idx="226">
                  <c:v>160</c:v>
                </c:pt>
                <c:pt idx="227">
                  <c:v>210</c:v>
                </c:pt>
                <c:pt idx="228">
                  <c:v>200</c:v>
                </c:pt>
                <c:pt idx="229">
                  <c:v>180</c:v>
                </c:pt>
                <c:pt idx="230">
                  <c:v>169</c:v>
                </c:pt>
                <c:pt idx="231">
                  <c:v>193</c:v>
                </c:pt>
                <c:pt idx="232">
                  <c:v>165</c:v>
                </c:pt>
                <c:pt idx="233">
                  <c:v>173</c:v>
                </c:pt>
                <c:pt idx="234" formatCode="0">
                  <c:v>165</c:v>
                </c:pt>
                <c:pt idx="235">
                  <c:v>153</c:v>
                </c:pt>
                <c:pt idx="236">
                  <c:v>200</c:v>
                </c:pt>
                <c:pt idx="237">
                  <c:v>210</c:v>
                </c:pt>
                <c:pt idx="238">
                  <c:v>220</c:v>
                </c:pt>
                <c:pt idx="239">
                  <c:v>200</c:v>
                </c:pt>
                <c:pt idx="240">
                  <c:v>180</c:v>
                </c:pt>
                <c:pt idx="241">
                  <c:v>195</c:v>
                </c:pt>
                <c:pt idx="242">
                  <c:v>200</c:v>
                </c:pt>
                <c:pt idx="243">
                  <c:v>193</c:v>
                </c:pt>
                <c:pt idx="244">
                  <c:v>160</c:v>
                </c:pt>
                <c:pt idx="245">
                  <c:v>135</c:v>
                </c:pt>
                <c:pt idx="246">
                  <c:v>115</c:v>
                </c:pt>
                <c:pt idx="247">
                  <c:v>120</c:v>
                </c:pt>
                <c:pt idx="248">
                  <c:v>110</c:v>
                </c:pt>
                <c:pt idx="249">
                  <c:v>119</c:v>
                </c:pt>
                <c:pt idx="250">
                  <c:v>120</c:v>
                </c:pt>
                <c:pt idx="251">
                  <c:v>110</c:v>
                </c:pt>
                <c:pt idx="252">
                  <c:v>121</c:v>
                </c:pt>
                <c:pt idx="253">
                  <c:v>115</c:v>
                </c:pt>
                <c:pt idx="254">
                  <c:v>110</c:v>
                </c:pt>
                <c:pt idx="255">
                  <c:v>100</c:v>
                </c:pt>
                <c:pt idx="256">
                  <c:v>110</c:v>
                </c:pt>
                <c:pt idx="257">
                  <c:v>120</c:v>
                </c:pt>
                <c:pt idx="258">
                  <c:v>112</c:v>
                </c:pt>
                <c:pt idx="259" formatCode="0">
                  <c:v>120</c:v>
                </c:pt>
                <c:pt idx="260">
                  <c:v>127</c:v>
                </c:pt>
                <c:pt idx="261">
                  <c:v>120</c:v>
                </c:pt>
                <c:pt idx="262">
                  <c:v>112</c:v>
                </c:pt>
                <c:pt idx="263">
                  <c:v>120</c:v>
                </c:pt>
                <c:pt idx="264">
                  <c:v>110</c:v>
                </c:pt>
                <c:pt idx="265">
                  <c:v>116</c:v>
                </c:pt>
                <c:pt idx="266">
                  <c:v>100</c:v>
                </c:pt>
                <c:pt idx="267">
                  <c:v>114</c:v>
                </c:pt>
                <c:pt idx="268">
                  <c:v>122</c:v>
                </c:pt>
                <c:pt idx="269">
                  <c:v>118</c:v>
                </c:pt>
                <c:pt idx="270">
                  <c:v>140</c:v>
                </c:pt>
                <c:pt idx="271">
                  <c:v>125</c:v>
                </c:pt>
                <c:pt idx="272">
                  <c:v>160</c:v>
                </c:pt>
                <c:pt idx="273">
                  <c:v>148</c:v>
                </c:pt>
                <c:pt idx="274">
                  <c:v>140</c:v>
                </c:pt>
                <c:pt idx="275">
                  <c:v>120</c:v>
                </c:pt>
                <c:pt idx="276">
                  <c:v>132</c:v>
                </c:pt>
                <c:pt idx="277">
                  <c:v>146</c:v>
                </c:pt>
                <c:pt idx="285">
                  <c:v>110</c:v>
                </c:pt>
                <c:pt idx="286" formatCode="0">
                  <c:v>100</c:v>
                </c:pt>
                <c:pt idx="287">
                  <c:v>119</c:v>
                </c:pt>
                <c:pt idx="288">
                  <c:v>116</c:v>
                </c:pt>
                <c:pt idx="289">
                  <c:v>190</c:v>
                </c:pt>
                <c:pt idx="290">
                  <c:v>200</c:v>
                </c:pt>
                <c:pt idx="291">
                  <c:v>190</c:v>
                </c:pt>
                <c:pt idx="292">
                  <c:v>215</c:v>
                </c:pt>
                <c:pt idx="293">
                  <c:v>200</c:v>
                </c:pt>
                <c:pt idx="294">
                  <c:v>205</c:v>
                </c:pt>
                <c:pt idx="295">
                  <c:v>200</c:v>
                </c:pt>
                <c:pt idx="296">
                  <c:v>210</c:v>
                </c:pt>
                <c:pt idx="297">
                  <c:v>190</c:v>
                </c:pt>
                <c:pt idx="298">
                  <c:v>162</c:v>
                </c:pt>
                <c:pt idx="299">
                  <c:v>174</c:v>
                </c:pt>
                <c:pt idx="300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13-4AB6-A100-B4AC24CE4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292607"/>
        <c:axId val="1"/>
      </c:lineChart>
      <c:catAx>
        <c:axId val="840292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909124933423537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0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400"/>
          <c:min val="20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TH ppm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3501945590134566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0292607"/>
        <c:crosses val="autoZero"/>
        <c:crossBetween val="between"/>
        <c:majorUnit val="2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CaH</a:t>
            </a:r>
          </a:p>
        </c:rich>
      </c:tx>
      <c:layout>
        <c:manualLayout>
          <c:xMode val="edge"/>
          <c:yMode val="edge"/>
          <c:x val="0.46727317220630787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90416058016742"/>
          <c:y val="0.19879561928391631"/>
          <c:w val="0.83988519326860001"/>
          <c:h val="0.4873000236506288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'ECH CT PH Process'!$A$5:$A$309</c:f>
              <c:strCache>
                <c:ptCount val="301"/>
                <c:pt idx="0">
                  <c:v>02.09.24</c:v>
                </c:pt>
                <c:pt idx="1">
                  <c:v>03.09.24</c:v>
                </c:pt>
                <c:pt idx="2">
                  <c:v>04.09.24</c:v>
                </c:pt>
                <c:pt idx="3">
                  <c:v>05.09.24</c:v>
                </c:pt>
                <c:pt idx="4">
                  <c:v>06.09.24</c:v>
                </c:pt>
                <c:pt idx="5">
                  <c:v>07.09.24</c:v>
                </c:pt>
                <c:pt idx="6">
                  <c:v>09.09.24</c:v>
                </c:pt>
                <c:pt idx="7">
                  <c:v>10.09.24</c:v>
                </c:pt>
                <c:pt idx="8">
                  <c:v>11.09.24</c:v>
                </c:pt>
                <c:pt idx="9">
                  <c:v>12.09.24</c:v>
                </c:pt>
                <c:pt idx="10">
                  <c:v>13.09.24</c:v>
                </c:pt>
                <c:pt idx="11">
                  <c:v>14.09.24</c:v>
                </c:pt>
                <c:pt idx="12">
                  <c:v>16.09.24</c:v>
                </c:pt>
                <c:pt idx="13">
                  <c:v>17.09.24</c:v>
                </c:pt>
                <c:pt idx="14">
                  <c:v>18.09.24</c:v>
                </c:pt>
                <c:pt idx="15">
                  <c:v>19.09.24</c:v>
                </c:pt>
                <c:pt idx="16">
                  <c:v>20.09.24</c:v>
                </c:pt>
                <c:pt idx="17">
                  <c:v>21.09.24</c:v>
                </c:pt>
                <c:pt idx="18">
                  <c:v>23.09.24</c:v>
                </c:pt>
                <c:pt idx="19">
                  <c:v>24.09.24</c:v>
                </c:pt>
                <c:pt idx="20">
                  <c:v>25.09.24</c:v>
                </c:pt>
                <c:pt idx="21">
                  <c:v>26.09.24</c:v>
                </c:pt>
                <c:pt idx="22">
                  <c:v>27.09.24</c:v>
                </c:pt>
                <c:pt idx="23">
                  <c:v>28.09.24</c:v>
                </c:pt>
                <c:pt idx="24">
                  <c:v>30.09.24</c:v>
                </c:pt>
                <c:pt idx="25">
                  <c:v>01.10.24</c:v>
                </c:pt>
                <c:pt idx="26">
                  <c:v>02.10.24</c:v>
                </c:pt>
                <c:pt idx="27">
                  <c:v>03.10.24</c:v>
                </c:pt>
                <c:pt idx="28">
                  <c:v>04.10.24</c:v>
                </c:pt>
                <c:pt idx="29">
                  <c:v>05.10.24</c:v>
                </c:pt>
                <c:pt idx="30">
                  <c:v>07.10.24</c:v>
                </c:pt>
                <c:pt idx="31">
                  <c:v>08.10.24</c:v>
                </c:pt>
                <c:pt idx="32">
                  <c:v>09.10.24</c:v>
                </c:pt>
                <c:pt idx="33">
                  <c:v>10.10.24</c:v>
                </c:pt>
                <c:pt idx="34">
                  <c:v>11.10.24</c:v>
                </c:pt>
                <c:pt idx="35">
                  <c:v>12.10.24</c:v>
                </c:pt>
                <c:pt idx="36">
                  <c:v>14.10.24</c:v>
                </c:pt>
                <c:pt idx="37">
                  <c:v>15.10.24</c:v>
                </c:pt>
                <c:pt idx="38">
                  <c:v>16.10.24</c:v>
                </c:pt>
                <c:pt idx="39">
                  <c:v>17.10.24</c:v>
                </c:pt>
                <c:pt idx="40">
                  <c:v>18.10.24</c:v>
                </c:pt>
                <c:pt idx="41">
                  <c:v>19.10.24</c:v>
                </c:pt>
                <c:pt idx="42">
                  <c:v>21.10.24</c:v>
                </c:pt>
                <c:pt idx="43">
                  <c:v>22.10.24</c:v>
                </c:pt>
                <c:pt idx="44">
                  <c:v>23.10.24</c:v>
                </c:pt>
                <c:pt idx="45">
                  <c:v>24.10.24</c:v>
                </c:pt>
                <c:pt idx="46">
                  <c:v>25.10.24</c:v>
                </c:pt>
                <c:pt idx="47">
                  <c:v>26.10.24</c:v>
                </c:pt>
                <c:pt idx="48">
                  <c:v>28.10.24</c:v>
                </c:pt>
                <c:pt idx="49">
                  <c:v>29.10.24</c:v>
                </c:pt>
                <c:pt idx="50">
                  <c:v>30.10.24</c:v>
                </c:pt>
                <c:pt idx="51">
                  <c:v>31.10.24</c:v>
                </c:pt>
                <c:pt idx="52">
                  <c:v>04.11.24</c:v>
                </c:pt>
                <c:pt idx="53">
                  <c:v>05.11.24</c:v>
                </c:pt>
                <c:pt idx="54">
                  <c:v>06.11.24</c:v>
                </c:pt>
                <c:pt idx="55">
                  <c:v>07.11.24</c:v>
                </c:pt>
                <c:pt idx="56">
                  <c:v>08.11.24</c:v>
                </c:pt>
                <c:pt idx="57">
                  <c:v>09.11.24</c:v>
                </c:pt>
                <c:pt idx="58">
                  <c:v>11.11.24</c:v>
                </c:pt>
                <c:pt idx="59">
                  <c:v>12.11.24</c:v>
                </c:pt>
                <c:pt idx="60">
                  <c:v>13.11.24</c:v>
                </c:pt>
                <c:pt idx="61">
                  <c:v>14.11.24</c:v>
                </c:pt>
                <c:pt idx="62">
                  <c:v>15.11.24</c:v>
                </c:pt>
                <c:pt idx="63">
                  <c:v>16.11.24</c:v>
                </c:pt>
                <c:pt idx="64">
                  <c:v>18.11.24</c:v>
                </c:pt>
                <c:pt idx="65">
                  <c:v>19.11.24</c:v>
                </c:pt>
                <c:pt idx="66">
                  <c:v>20.11.24</c:v>
                </c:pt>
                <c:pt idx="67">
                  <c:v>21.11.24</c:v>
                </c:pt>
                <c:pt idx="68">
                  <c:v>22.11.24</c:v>
                </c:pt>
                <c:pt idx="69">
                  <c:v>23.11.24</c:v>
                </c:pt>
                <c:pt idx="70">
                  <c:v>25.11.24</c:v>
                </c:pt>
                <c:pt idx="71">
                  <c:v>26.11.24</c:v>
                </c:pt>
                <c:pt idx="72">
                  <c:v>27.11.24</c:v>
                </c:pt>
                <c:pt idx="73">
                  <c:v>28.11.24</c:v>
                </c:pt>
                <c:pt idx="74">
                  <c:v>29.11.24</c:v>
                </c:pt>
                <c:pt idx="75">
                  <c:v>30.11.24</c:v>
                </c:pt>
                <c:pt idx="76">
                  <c:v>02.12.24</c:v>
                </c:pt>
                <c:pt idx="77">
                  <c:v>03.12.24</c:v>
                </c:pt>
                <c:pt idx="78">
                  <c:v>04.12.24</c:v>
                </c:pt>
                <c:pt idx="79">
                  <c:v>05.12.24</c:v>
                </c:pt>
                <c:pt idx="80">
                  <c:v>06.12.24</c:v>
                </c:pt>
                <c:pt idx="81">
                  <c:v>07.12.24</c:v>
                </c:pt>
                <c:pt idx="82">
                  <c:v>09.12.24</c:v>
                </c:pt>
                <c:pt idx="83">
                  <c:v>10.12.24</c:v>
                </c:pt>
                <c:pt idx="84">
                  <c:v>11.12.24</c:v>
                </c:pt>
                <c:pt idx="85">
                  <c:v>12.12.24</c:v>
                </c:pt>
                <c:pt idx="86">
                  <c:v>13.12.24</c:v>
                </c:pt>
                <c:pt idx="87">
                  <c:v>14.12.24</c:v>
                </c:pt>
                <c:pt idx="88">
                  <c:v>16.12.24</c:v>
                </c:pt>
                <c:pt idx="89">
                  <c:v>17.12.24</c:v>
                </c:pt>
                <c:pt idx="90">
                  <c:v>18.12.24</c:v>
                </c:pt>
                <c:pt idx="91">
                  <c:v>19.12.24</c:v>
                </c:pt>
                <c:pt idx="92">
                  <c:v>20.12.24</c:v>
                </c:pt>
                <c:pt idx="93">
                  <c:v>21.12.24</c:v>
                </c:pt>
                <c:pt idx="94">
                  <c:v>23.12.24</c:v>
                </c:pt>
                <c:pt idx="95">
                  <c:v>24.12.24</c:v>
                </c:pt>
                <c:pt idx="96">
                  <c:v>25.12.24</c:v>
                </c:pt>
                <c:pt idx="97">
                  <c:v>26.12.24</c:v>
                </c:pt>
                <c:pt idx="98">
                  <c:v>27.12.24</c:v>
                </c:pt>
                <c:pt idx="99">
                  <c:v>28.12.24</c:v>
                </c:pt>
                <c:pt idx="100">
                  <c:v>30.12.24</c:v>
                </c:pt>
                <c:pt idx="101">
                  <c:v>31.12.24</c:v>
                </c:pt>
                <c:pt idx="102">
                  <c:v>01.01.25</c:v>
                </c:pt>
                <c:pt idx="103">
                  <c:v>02.01.25</c:v>
                </c:pt>
                <c:pt idx="104">
                  <c:v>03.01.25</c:v>
                </c:pt>
                <c:pt idx="105">
                  <c:v>04.01.25</c:v>
                </c:pt>
                <c:pt idx="106">
                  <c:v>08.01.25</c:v>
                </c:pt>
                <c:pt idx="107">
                  <c:v>09.01.25</c:v>
                </c:pt>
                <c:pt idx="108">
                  <c:v>10.01.25</c:v>
                </c:pt>
                <c:pt idx="109">
                  <c:v>11.01.25</c:v>
                </c:pt>
                <c:pt idx="110">
                  <c:v>13.01.25</c:v>
                </c:pt>
                <c:pt idx="111">
                  <c:v>15.01.25</c:v>
                </c:pt>
                <c:pt idx="112">
                  <c:v>16.01.25</c:v>
                </c:pt>
                <c:pt idx="113">
                  <c:v>17.01.25</c:v>
                </c:pt>
                <c:pt idx="114">
                  <c:v>18.01.25</c:v>
                </c:pt>
                <c:pt idx="115">
                  <c:v>20.01.25</c:v>
                </c:pt>
                <c:pt idx="116">
                  <c:v>21.01.25</c:v>
                </c:pt>
                <c:pt idx="117">
                  <c:v>22.01.25</c:v>
                </c:pt>
                <c:pt idx="118">
                  <c:v>23.01.25</c:v>
                </c:pt>
                <c:pt idx="119">
                  <c:v>24.01.25</c:v>
                </c:pt>
                <c:pt idx="120">
                  <c:v>25.01.25</c:v>
                </c:pt>
                <c:pt idx="121">
                  <c:v>27.01.25</c:v>
                </c:pt>
                <c:pt idx="122">
                  <c:v>28.01.25</c:v>
                </c:pt>
                <c:pt idx="123">
                  <c:v>29.01.25</c:v>
                </c:pt>
                <c:pt idx="124">
                  <c:v>30.01.25</c:v>
                </c:pt>
                <c:pt idx="125">
                  <c:v>31.01.25</c:v>
                </c:pt>
                <c:pt idx="126">
                  <c:v>01.02.25</c:v>
                </c:pt>
                <c:pt idx="127">
                  <c:v>03.02.25</c:v>
                </c:pt>
                <c:pt idx="128">
                  <c:v>04.02.25</c:v>
                </c:pt>
                <c:pt idx="129">
                  <c:v>05.02.25</c:v>
                </c:pt>
                <c:pt idx="130">
                  <c:v>06.02.25</c:v>
                </c:pt>
                <c:pt idx="131">
                  <c:v>07.02.25</c:v>
                </c:pt>
                <c:pt idx="132">
                  <c:v>08.02.25</c:v>
                </c:pt>
                <c:pt idx="133">
                  <c:v>10.02.25</c:v>
                </c:pt>
                <c:pt idx="134">
                  <c:v>11.02.25</c:v>
                </c:pt>
                <c:pt idx="135">
                  <c:v>12.02.25</c:v>
                </c:pt>
                <c:pt idx="136">
                  <c:v>13.02.25</c:v>
                </c:pt>
                <c:pt idx="137">
                  <c:v>14.02.25</c:v>
                </c:pt>
                <c:pt idx="138">
                  <c:v>15.02.25</c:v>
                </c:pt>
                <c:pt idx="139">
                  <c:v>17.02.25</c:v>
                </c:pt>
                <c:pt idx="140">
                  <c:v>18.02.25</c:v>
                </c:pt>
                <c:pt idx="141">
                  <c:v>19.02.25</c:v>
                </c:pt>
                <c:pt idx="142">
                  <c:v>20.02.25</c:v>
                </c:pt>
                <c:pt idx="143">
                  <c:v>21.02.25</c:v>
                </c:pt>
                <c:pt idx="144">
                  <c:v>22.02.25</c:v>
                </c:pt>
                <c:pt idx="145">
                  <c:v>24.02.25</c:v>
                </c:pt>
                <c:pt idx="146">
                  <c:v>25.02.25</c:v>
                </c:pt>
                <c:pt idx="147">
                  <c:v>27.02.25</c:v>
                </c:pt>
                <c:pt idx="148">
                  <c:v>28.02.25</c:v>
                </c:pt>
                <c:pt idx="149">
                  <c:v>01.03.25</c:v>
                </c:pt>
                <c:pt idx="150">
                  <c:v>03.03.25</c:v>
                </c:pt>
                <c:pt idx="151">
                  <c:v>04.03.25</c:v>
                </c:pt>
                <c:pt idx="152">
                  <c:v>05.03.25</c:v>
                </c:pt>
                <c:pt idx="153">
                  <c:v>06.03.25</c:v>
                </c:pt>
                <c:pt idx="154">
                  <c:v>07.03.25</c:v>
                </c:pt>
                <c:pt idx="155">
                  <c:v>08.03.25</c:v>
                </c:pt>
                <c:pt idx="156">
                  <c:v>10.03.25</c:v>
                </c:pt>
                <c:pt idx="157">
                  <c:v>11.03.25</c:v>
                </c:pt>
                <c:pt idx="158">
                  <c:v>12.03.25</c:v>
                </c:pt>
                <c:pt idx="159">
                  <c:v>13.03.25</c:v>
                </c:pt>
                <c:pt idx="160">
                  <c:v>15.03.25</c:v>
                </c:pt>
                <c:pt idx="161">
                  <c:v>17.03.25</c:v>
                </c:pt>
                <c:pt idx="162">
                  <c:v>18.03.25</c:v>
                </c:pt>
                <c:pt idx="163">
                  <c:v>19.03.25</c:v>
                </c:pt>
                <c:pt idx="164">
                  <c:v>20.03.25</c:v>
                </c:pt>
                <c:pt idx="165">
                  <c:v>21.03.25</c:v>
                </c:pt>
                <c:pt idx="166">
                  <c:v>22.03.25</c:v>
                </c:pt>
                <c:pt idx="167">
                  <c:v>24.03.25</c:v>
                </c:pt>
                <c:pt idx="168">
                  <c:v>25.03.25</c:v>
                </c:pt>
                <c:pt idx="169">
                  <c:v>26.03.25</c:v>
                </c:pt>
                <c:pt idx="170">
                  <c:v>27.03.25</c:v>
                </c:pt>
                <c:pt idx="171">
                  <c:v>28.03.25</c:v>
                </c:pt>
                <c:pt idx="172">
                  <c:v>29.03.25</c:v>
                </c:pt>
                <c:pt idx="173">
                  <c:v>31.03.25</c:v>
                </c:pt>
                <c:pt idx="174">
                  <c:v>01.04.25</c:v>
                </c:pt>
                <c:pt idx="175">
                  <c:v>02.04.25</c:v>
                </c:pt>
                <c:pt idx="176">
                  <c:v>03.04.25</c:v>
                </c:pt>
                <c:pt idx="177">
                  <c:v>04.04.25</c:v>
                </c:pt>
                <c:pt idx="178">
                  <c:v>05.04.25</c:v>
                </c:pt>
                <c:pt idx="179">
                  <c:v>07.04.25</c:v>
                </c:pt>
                <c:pt idx="180">
                  <c:v>08.04.25</c:v>
                </c:pt>
                <c:pt idx="181">
                  <c:v>09.04.25</c:v>
                </c:pt>
                <c:pt idx="182">
                  <c:v>10.04.25</c:v>
                </c:pt>
                <c:pt idx="183">
                  <c:v>11.04.25</c:v>
                </c:pt>
                <c:pt idx="184">
                  <c:v>12.04.25</c:v>
                </c:pt>
                <c:pt idx="185">
                  <c:v>14.04.25</c:v>
                </c:pt>
                <c:pt idx="186">
                  <c:v>15.04.25</c:v>
                </c:pt>
                <c:pt idx="187">
                  <c:v>16.04.25</c:v>
                </c:pt>
                <c:pt idx="188">
                  <c:v>17.04.25</c:v>
                </c:pt>
                <c:pt idx="189">
                  <c:v>18.04.25</c:v>
                </c:pt>
                <c:pt idx="190">
                  <c:v>19.04.25</c:v>
                </c:pt>
                <c:pt idx="191">
                  <c:v>21.04.25</c:v>
                </c:pt>
                <c:pt idx="192">
                  <c:v>22.04.25</c:v>
                </c:pt>
                <c:pt idx="193">
                  <c:v>23.04.25</c:v>
                </c:pt>
                <c:pt idx="194">
                  <c:v>24.04.25</c:v>
                </c:pt>
                <c:pt idx="195">
                  <c:v>25.04.25</c:v>
                </c:pt>
                <c:pt idx="196">
                  <c:v>26.04.25</c:v>
                </c:pt>
                <c:pt idx="197">
                  <c:v>28.04.25</c:v>
                </c:pt>
                <c:pt idx="198">
                  <c:v>29.04.25</c:v>
                </c:pt>
                <c:pt idx="199">
                  <c:v>30.04.25</c:v>
                </c:pt>
                <c:pt idx="200">
                  <c:v>01.05.25</c:v>
                </c:pt>
                <c:pt idx="201">
                  <c:v>02.05.25</c:v>
                </c:pt>
                <c:pt idx="202">
                  <c:v>03.05.25</c:v>
                </c:pt>
                <c:pt idx="203">
                  <c:v>05.05.25</c:v>
                </c:pt>
                <c:pt idx="204">
                  <c:v>06.05.25</c:v>
                </c:pt>
                <c:pt idx="205">
                  <c:v>07.05.25</c:v>
                </c:pt>
                <c:pt idx="206">
                  <c:v>08.05.25</c:v>
                </c:pt>
                <c:pt idx="207">
                  <c:v>09.05.25</c:v>
                </c:pt>
                <c:pt idx="208">
                  <c:v>10.05.25</c:v>
                </c:pt>
                <c:pt idx="209">
                  <c:v>12.05.25</c:v>
                </c:pt>
                <c:pt idx="210">
                  <c:v>13.05.25</c:v>
                </c:pt>
                <c:pt idx="211">
                  <c:v>14.05.25</c:v>
                </c:pt>
                <c:pt idx="212">
                  <c:v>15.05.25</c:v>
                </c:pt>
                <c:pt idx="213">
                  <c:v>16.05.25</c:v>
                </c:pt>
                <c:pt idx="214">
                  <c:v>17.05.25</c:v>
                </c:pt>
                <c:pt idx="215">
                  <c:v>19.05.25</c:v>
                </c:pt>
                <c:pt idx="216">
                  <c:v>20.05.25</c:v>
                </c:pt>
                <c:pt idx="217">
                  <c:v>21.05.25</c:v>
                </c:pt>
                <c:pt idx="218">
                  <c:v>22.05.25</c:v>
                </c:pt>
                <c:pt idx="219">
                  <c:v>23.05.25</c:v>
                </c:pt>
                <c:pt idx="220">
                  <c:v>24.05.25</c:v>
                </c:pt>
                <c:pt idx="221">
                  <c:v>26.05.25</c:v>
                </c:pt>
                <c:pt idx="222">
                  <c:v>27.05.25</c:v>
                </c:pt>
                <c:pt idx="223">
                  <c:v>28.05.25</c:v>
                </c:pt>
                <c:pt idx="224">
                  <c:v>29.05.25</c:v>
                </c:pt>
                <c:pt idx="225">
                  <c:v>30.05.25</c:v>
                </c:pt>
                <c:pt idx="226">
                  <c:v>31.05.25</c:v>
                </c:pt>
                <c:pt idx="227">
                  <c:v>02.06.25</c:v>
                </c:pt>
                <c:pt idx="228">
                  <c:v>03.06.25</c:v>
                </c:pt>
                <c:pt idx="229">
                  <c:v>04.06.25</c:v>
                </c:pt>
                <c:pt idx="230">
                  <c:v>05.06.25</c:v>
                </c:pt>
                <c:pt idx="231">
                  <c:v>06.06.25</c:v>
                </c:pt>
                <c:pt idx="232">
                  <c:v>07.06.25</c:v>
                </c:pt>
                <c:pt idx="233">
                  <c:v>09.06.25</c:v>
                </c:pt>
                <c:pt idx="234">
                  <c:v>10.06.25</c:v>
                </c:pt>
                <c:pt idx="235">
                  <c:v>11.06.25</c:v>
                </c:pt>
                <c:pt idx="236">
                  <c:v>12.06.25</c:v>
                </c:pt>
                <c:pt idx="237">
                  <c:v>13.06.25</c:v>
                </c:pt>
                <c:pt idx="238">
                  <c:v>14.06.25</c:v>
                </c:pt>
                <c:pt idx="239">
                  <c:v>16.06.25</c:v>
                </c:pt>
                <c:pt idx="240">
                  <c:v>17.06.25</c:v>
                </c:pt>
                <c:pt idx="241">
                  <c:v>18.06.25</c:v>
                </c:pt>
                <c:pt idx="242">
                  <c:v>19.06.25</c:v>
                </c:pt>
                <c:pt idx="243">
                  <c:v>20.06.25</c:v>
                </c:pt>
                <c:pt idx="244">
                  <c:v>21.06.25</c:v>
                </c:pt>
                <c:pt idx="245">
                  <c:v>23.06.25</c:v>
                </c:pt>
                <c:pt idx="246">
                  <c:v>24.06.25</c:v>
                </c:pt>
                <c:pt idx="247">
                  <c:v>25.06.25</c:v>
                </c:pt>
                <c:pt idx="248">
                  <c:v>26.06.25</c:v>
                </c:pt>
                <c:pt idx="249">
                  <c:v>27.06.25</c:v>
                </c:pt>
                <c:pt idx="250">
                  <c:v>28.06.25</c:v>
                </c:pt>
                <c:pt idx="251">
                  <c:v>30.06.25</c:v>
                </c:pt>
                <c:pt idx="252">
                  <c:v>01.07.25</c:v>
                </c:pt>
                <c:pt idx="253">
                  <c:v>02.07.25</c:v>
                </c:pt>
                <c:pt idx="254">
                  <c:v>03.07.25</c:v>
                </c:pt>
                <c:pt idx="255">
                  <c:v>04.07.25</c:v>
                </c:pt>
                <c:pt idx="256">
                  <c:v>05.07.25</c:v>
                </c:pt>
                <c:pt idx="257">
                  <c:v>07.07.25</c:v>
                </c:pt>
                <c:pt idx="258">
                  <c:v>08.07.25</c:v>
                </c:pt>
                <c:pt idx="259">
                  <c:v>09.07.25</c:v>
                </c:pt>
                <c:pt idx="260">
                  <c:v>10.07.25</c:v>
                </c:pt>
                <c:pt idx="261">
                  <c:v>11.07.25</c:v>
                </c:pt>
                <c:pt idx="262">
                  <c:v>12.07.25</c:v>
                </c:pt>
                <c:pt idx="263">
                  <c:v>14.07.25</c:v>
                </c:pt>
                <c:pt idx="264">
                  <c:v>15.07.25</c:v>
                </c:pt>
                <c:pt idx="265">
                  <c:v>16.07.25</c:v>
                </c:pt>
                <c:pt idx="266">
                  <c:v>17.07.25</c:v>
                </c:pt>
                <c:pt idx="267">
                  <c:v>18.07.25</c:v>
                </c:pt>
                <c:pt idx="268">
                  <c:v>19.07.25</c:v>
                </c:pt>
                <c:pt idx="269">
                  <c:v>21.07.25</c:v>
                </c:pt>
                <c:pt idx="270">
                  <c:v>22.07.25</c:v>
                </c:pt>
                <c:pt idx="271">
                  <c:v>23.07.25</c:v>
                </c:pt>
                <c:pt idx="272">
                  <c:v>24.07.25</c:v>
                </c:pt>
                <c:pt idx="273">
                  <c:v>25.07.25</c:v>
                </c:pt>
                <c:pt idx="274">
                  <c:v>26.07.25</c:v>
                </c:pt>
                <c:pt idx="275">
                  <c:v>28.07.25</c:v>
                </c:pt>
                <c:pt idx="276">
                  <c:v>29.07.25</c:v>
                </c:pt>
                <c:pt idx="277">
                  <c:v>30.07.25</c:v>
                </c:pt>
                <c:pt idx="278">
                  <c:v>31.07.25</c:v>
                </c:pt>
                <c:pt idx="279">
                  <c:v>01.08.25</c:v>
                </c:pt>
                <c:pt idx="280">
                  <c:v>02.08.25</c:v>
                </c:pt>
                <c:pt idx="281">
                  <c:v>04.08.25</c:v>
                </c:pt>
                <c:pt idx="282">
                  <c:v>05.08.25</c:v>
                </c:pt>
                <c:pt idx="283">
                  <c:v>06.08.25</c:v>
                </c:pt>
                <c:pt idx="284">
                  <c:v>07.08.25</c:v>
                </c:pt>
                <c:pt idx="285">
                  <c:v>08.08.25</c:v>
                </c:pt>
                <c:pt idx="286">
                  <c:v>11.08.25</c:v>
                </c:pt>
                <c:pt idx="287">
                  <c:v>12.08.25</c:v>
                </c:pt>
                <c:pt idx="288">
                  <c:v>13.08.25</c:v>
                </c:pt>
                <c:pt idx="289">
                  <c:v>14.08.25</c:v>
                </c:pt>
                <c:pt idx="290">
                  <c:v>15.08.25</c:v>
                </c:pt>
                <c:pt idx="291">
                  <c:v>18.08.25</c:v>
                </c:pt>
                <c:pt idx="292">
                  <c:v>19.08.25</c:v>
                </c:pt>
                <c:pt idx="293">
                  <c:v>20.08.25</c:v>
                </c:pt>
                <c:pt idx="294">
                  <c:v>21.08.25</c:v>
                </c:pt>
                <c:pt idx="295">
                  <c:v>22.08.25</c:v>
                </c:pt>
                <c:pt idx="296">
                  <c:v>23.08.25</c:v>
                </c:pt>
                <c:pt idx="297">
                  <c:v>26.08.25</c:v>
                </c:pt>
                <c:pt idx="298">
                  <c:v>27.08.25</c:v>
                </c:pt>
                <c:pt idx="299">
                  <c:v>28.08.25</c:v>
                </c:pt>
                <c:pt idx="300">
                  <c:v>29.08.25</c:v>
                </c:pt>
              </c:strCache>
            </c:strRef>
          </c:cat>
          <c:val>
            <c:numRef>
              <c:f>'ECH CT PH Process'!$I$5:$I$309</c:f>
              <c:numCache>
                <c:formatCode>General</c:formatCode>
                <c:ptCount val="305"/>
                <c:pt idx="0">
                  <c:v>262</c:v>
                </c:pt>
                <c:pt idx="1">
                  <c:v>260</c:v>
                </c:pt>
                <c:pt idx="2">
                  <c:v>263</c:v>
                </c:pt>
                <c:pt idx="3">
                  <c:v>274</c:v>
                </c:pt>
                <c:pt idx="4">
                  <c:v>224</c:v>
                </c:pt>
                <c:pt idx="5">
                  <c:v>219</c:v>
                </c:pt>
                <c:pt idx="6">
                  <c:v>229</c:v>
                </c:pt>
                <c:pt idx="7" formatCode="0">
                  <c:v>238</c:v>
                </c:pt>
                <c:pt idx="8">
                  <c:v>233</c:v>
                </c:pt>
                <c:pt idx="9">
                  <c:v>224</c:v>
                </c:pt>
                <c:pt idx="10">
                  <c:v>229</c:v>
                </c:pt>
                <c:pt idx="11">
                  <c:v>232</c:v>
                </c:pt>
                <c:pt idx="12">
                  <c:v>213</c:v>
                </c:pt>
                <c:pt idx="13">
                  <c:v>233</c:v>
                </c:pt>
                <c:pt idx="14">
                  <c:v>230</c:v>
                </c:pt>
                <c:pt idx="15">
                  <c:v>213</c:v>
                </c:pt>
                <c:pt idx="16">
                  <c:v>208</c:v>
                </c:pt>
                <c:pt idx="17">
                  <c:v>200</c:v>
                </c:pt>
                <c:pt idx="18">
                  <c:v>208</c:v>
                </c:pt>
                <c:pt idx="19">
                  <c:v>212</c:v>
                </c:pt>
                <c:pt idx="20">
                  <c:v>200</c:v>
                </c:pt>
                <c:pt idx="21">
                  <c:v>264</c:v>
                </c:pt>
                <c:pt idx="22">
                  <c:v>254</c:v>
                </c:pt>
                <c:pt idx="23">
                  <c:v>293</c:v>
                </c:pt>
                <c:pt idx="24">
                  <c:v>290</c:v>
                </c:pt>
                <c:pt idx="25">
                  <c:v>296</c:v>
                </c:pt>
                <c:pt idx="26">
                  <c:v>293</c:v>
                </c:pt>
                <c:pt idx="27">
                  <c:v>330</c:v>
                </c:pt>
                <c:pt idx="28">
                  <c:v>337</c:v>
                </c:pt>
                <c:pt idx="29">
                  <c:v>336</c:v>
                </c:pt>
                <c:pt idx="31">
                  <c:v>291</c:v>
                </c:pt>
                <c:pt idx="32" formatCode="0">
                  <c:v>309</c:v>
                </c:pt>
                <c:pt idx="33">
                  <c:v>310</c:v>
                </c:pt>
                <c:pt idx="35">
                  <c:v>314</c:v>
                </c:pt>
                <c:pt idx="36">
                  <c:v>335</c:v>
                </c:pt>
                <c:pt idx="37">
                  <c:v>324</c:v>
                </c:pt>
                <c:pt idx="38">
                  <c:v>266</c:v>
                </c:pt>
                <c:pt idx="39">
                  <c:v>235</c:v>
                </c:pt>
                <c:pt idx="40">
                  <c:v>226</c:v>
                </c:pt>
                <c:pt idx="41">
                  <c:v>227</c:v>
                </c:pt>
                <c:pt idx="42">
                  <c:v>248</c:v>
                </c:pt>
                <c:pt idx="43">
                  <c:v>259</c:v>
                </c:pt>
                <c:pt idx="44">
                  <c:v>256</c:v>
                </c:pt>
                <c:pt idx="45">
                  <c:v>273</c:v>
                </c:pt>
                <c:pt idx="46">
                  <c:v>268</c:v>
                </c:pt>
                <c:pt idx="47">
                  <c:v>274</c:v>
                </c:pt>
                <c:pt idx="48">
                  <c:v>264</c:v>
                </c:pt>
                <c:pt idx="49">
                  <c:v>264</c:v>
                </c:pt>
                <c:pt idx="50">
                  <c:v>254</c:v>
                </c:pt>
                <c:pt idx="51">
                  <c:v>269</c:v>
                </c:pt>
                <c:pt idx="52">
                  <c:v>273</c:v>
                </c:pt>
                <c:pt idx="53">
                  <c:v>280</c:v>
                </c:pt>
                <c:pt idx="54">
                  <c:v>282</c:v>
                </c:pt>
                <c:pt idx="55">
                  <c:v>284</c:v>
                </c:pt>
                <c:pt idx="56">
                  <c:v>246</c:v>
                </c:pt>
                <c:pt idx="57">
                  <c:v>233</c:v>
                </c:pt>
                <c:pt idx="58">
                  <c:v>224</c:v>
                </c:pt>
                <c:pt idx="59" formatCode="0">
                  <c:v>239</c:v>
                </c:pt>
                <c:pt idx="60">
                  <c:v>221</c:v>
                </c:pt>
                <c:pt idx="61">
                  <c:v>214</c:v>
                </c:pt>
                <c:pt idx="62">
                  <c:v>208</c:v>
                </c:pt>
                <c:pt idx="63">
                  <c:v>213</c:v>
                </c:pt>
                <c:pt idx="64">
                  <c:v>221</c:v>
                </c:pt>
                <c:pt idx="65">
                  <c:v>148</c:v>
                </c:pt>
                <c:pt idx="66">
                  <c:v>155</c:v>
                </c:pt>
                <c:pt idx="67">
                  <c:v>130</c:v>
                </c:pt>
                <c:pt idx="68">
                  <c:v>124</c:v>
                </c:pt>
                <c:pt idx="69">
                  <c:v>136</c:v>
                </c:pt>
                <c:pt idx="70">
                  <c:v>150</c:v>
                </c:pt>
                <c:pt idx="71">
                  <c:v>159</c:v>
                </c:pt>
                <c:pt idx="72">
                  <c:v>126</c:v>
                </c:pt>
                <c:pt idx="73">
                  <c:v>133</c:v>
                </c:pt>
                <c:pt idx="74">
                  <c:v>131</c:v>
                </c:pt>
                <c:pt idx="75">
                  <c:v>124</c:v>
                </c:pt>
                <c:pt idx="76">
                  <c:v>119</c:v>
                </c:pt>
                <c:pt idx="77">
                  <c:v>99</c:v>
                </c:pt>
                <c:pt idx="78">
                  <c:v>125</c:v>
                </c:pt>
                <c:pt idx="79">
                  <c:v>121</c:v>
                </c:pt>
                <c:pt idx="80">
                  <c:v>130</c:v>
                </c:pt>
                <c:pt idx="81">
                  <c:v>136</c:v>
                </c:pt>
                <c:pt idx="82">
                  <c:v>124</c:v>
                </c:pt>
                <c:pt idx="83" formatCode="0">
                  <c:v>135</c:v>
                </c:pt>
                <c:pt idx="84">
                  <c:v>140</c:v>
                </c:pt>
                <c:pt idx="85">
                  <c:v>112</c:v>
                </c:pt>
                <c:pt idx="86">
                  <c:v>119</c:v>
                </c:pt>
                <c:pt idx="87">
                  <c:v>142</c:v>
                </c:pt>
                <c:pt idx="88">
                  <c:v>133</c:v>
                </c:pt>
                <c:pt idx="89">
                  <c:v>111</c:v>
                </c:pt>
                <c:pt idx="90">
                  <c:v>120</c:v>
                </c:pt>
                <c:pt idx="91">
                  <c:v>130</c:v>
                </c:pt>
                <c:pt idx="92">
                  <c:v>122</c:v>
                </c:pt>
                <c:pt idx="93">
                  <c:v>133</c:v>
                </c:pt>
                <c:pt idx="94">
                  <c:v>148</c:v>
                </c:pt>
                <c:pt idx="95">
                  <c:v>153</c:v>
                </c:pt>
                <c:pt idx="96">
                  <c:v>148</c:v>
                </c:pt>
                <c:pt idx="97">
                  <c:v>161</c:v>
                </c:pt>
                <c:pt idx="98">
                  <c:v>160</c:v>
                </c:pt>
                <c:pt idx="99">
                  <c:v>161</c:v>
                </c:pt>
                <c:pt idx="100">
                  <c:v>151</c:v>
                </c:pt>
                <c:pt idx="101">
                  <c:v>130</c:v>
                </c:pt>
                <c:pt idx="102">
                  <c:v>137</c:v>
                </c:pt>
                <c:pt idx="103">
                  <c:v>140</c:v>
                </c:pt>
                <c:pt idx="104">
                  <c:v>146</c:v>
                </c:pt>
                <c:pt idx="105">
                  <c:v>150</c:v>
                </c:pt>
                <c:pt idx="106">
                  <c:v>155</c:v>
                </c:pt>
                <c:pt idx="107">
                  <c:v>163</c:v>
                </c:pt>
                <c:pt idx="108">
                  <c:v>170</c:v>
                </c:pt>
                <c:pt idx="109" formatCode="0">
                  <c:v>140</c:v>
                </c:pt>
                <c:pt idx="110">
                  <c:v>190</c:v>
                </c:pt>
                <c:pt idx="111">
                  <c:v>190</c:v>
                </c:pt>
                <c:pt idx="112">
                  <c:v>202</c:v>
                </c:pt>
                <c:pt idx="113">
                  <c:v>190</c:v>
                </c:pt>
                <c:pt idx="114">
                  <c:v>186</c:v>
                </c:pt>
                <c:pt idx="115">
                  <c:v>196</c:v>
                </c:pt>
                <c:pt idx="116">
                  <c:v>198</c:v>
                </c:pt>
                <c:pt idx="117">
                  <c:v>203</c:v>
                </c:pt>
                <c:pt idx="118">
                  <c:v>211</c:v>
                </c:pt>
                <c:pt idx="119">
                  <c:v>202</c:v>
                </c:pt>
                <c:pt idx="120">
                  <c:v>166</c:v>
                </c:pt>
                <c:pt idx="121">
                  <c:v>195</c:v>
                </c:pt>
                <c:pt idx="122">
                  <c:v>203</c:v>
                </c:pt>
                <c:pt idx="123">
                  <c:v>212</c:v>
                </c:pt>
                <c:pt idx="124">
                  <c:v>201</c:v>
                </c:pt>
                <c:pt idx="125">
                  <c:v>208</c:v>
                </c:pt>
                <c:pt idx="126">
                  <c:v>217</c:v>
                </c:pt>
                <c:pt idx="127">
                  <c:v>200</c:v>
                </c:pt>
                <c:pt idx="128">
                  <c:v>152</c:v>
                </c:pt>
                <c:pt idx="129">
                  <c:v>140</c:v>
                </c:pt>
                <c:pt idx="130">
                  <c:v>153</c:v>
                </c:pt>
                <c:pt idx="131">
                  <c:v>159</c:v>
                </c:pt>
                <c:pt idx="132">
                  <c:v>170</c:v>
                </c:pt>
                <c:pt idx="133" formatCode="0">
                  <c:v>178</c:v>
                </c:pt>
                <c:pt idx="134">
                  <c:v>170</c:v>
                </c:pt>
                <c:pt idx="135">
                  <c:v>182</c:v>
                </c:pt>
                <c:pt idx="136">
                  <c:v>195</c:v>
                </c:pt>
                <c:pt idx="137">
                  <c:v>180</c:v>
                </c:pt>
                <c:pt idx="138">
                  <c:v>173</c:v>
                </c:pt>
                <c:pt idx="139">
                  <c:v>173</c:v>
                </c:pt>
                <c:pt idx="140">
                  <c:v>164</c:v>
                </c:pt>
                <c:pt idx="141">
                  <c:v>155</c:v>
                </c:pt>
                <c:pt idx="142">
                  <c:v>166</c:v>
                </c:pt>
                <c:pt idx="143">
                  <c:v>174</c:v>
                </c:pt>
                <c:pt idx="144">
                  <c:v>182</c:v>
                </c:pt>
                <c:pt idx="145">
                  <c:v>195</c:v>
                </c:pt>
                <c:pt idx="146">
                  <c:v>180</c:v>
                </c:pt>
                <c:pt idx="147">
                  <c:v>158</c:v>
                </c:pt>
                <c:pt idx="148">
                  <c:v>148</c:v>
                </c:pt>
                <c:pt idx="149">
                  <c:v>176</c:v>
                </c:pt>
                <c:pt idx="150">
                  <c:v>162</c:v>
                </c:pt>
                <c:pt idx="151">
                  <c:v>173</c:v>
                </c:pt>
                <c:pt idx="152">
                  <c:v>164</c:v>
                </c:pt>
                <c:pt idx="153">
                  <c:v>155</c:v>
                </c:pt>
                <c:pt idx="154">
                  <c:v>120</c:v>
                </c:pt>
                <c:pt idx="155">
                  <c:v>135</c:v>
                </c:pt>
                <c:pt idx="156" formatCode="0">
                  <c:v>140</c:v>
                </c:pt>
                <c:pt idx="157">
                  <c:v>128</c:v>
                </c:pt>
                <c:pt idx="158">
                  <c:v>139</c:v>
                </c:pt>
                <c:pt idx="159">
                  <c:v>133</c:v>
                </c:pt>
                <c:pt idx="160">
                  <c:v>142</c:v>
                </c:pt>
                <c:pt idx="161">
                  <c:v>120</c:v>
                </c:pt>
                <c:pt idx="162">
                  <c:v>113</c:v>
                </c:pt>
                <c:pt idx="163">
                  <c:v>121</c:v>
                </c:pt>
                <c:pt idx="164">
                  <c:v>132</c:v>
                </c:pt>
                <c:pt idx="165">
                  <c:v>127</c:v>
                </c:pt>
                <c:pt idx="166">
                  <c:v>135</c:v>
                </c:pt>
                <c:pt idx="167">
                  <c:v>122</c:v>
                </c:pt>
                <c:pt idx="168">
                  <c:v>129</c:v>
                </c:pt>
                <c:pt idx="169">
                  <c:v>124</c:v>
                </c:pt>
                <c:pt idx="170">
                  <c:v>126</c:v>
                </c:pt>
                <c:pt idx="171">
                  <c:v>126</c:v>
                </c:pt>
                <c:pt idx="172">
                  <c:v>123</c:v>
                </c:pt>
                <c:pt idx="173">
                  <c:v>120</c:v>
                </c:pt>
                <c:pt idx="174">
                  <c:v>2</c:v>
                </c:pt>
                <c:pt idx="175">
                  <c:v>133</c:v>
                </c:pt>
                <c:pt idx="176">
                  <c:v>146</c:v>
                </c:pt>
                <c:pt idx="177">
                  <c:v>134</c:v>
                </c:pt>
                <c:pt idx="178">
                  <c:v>143</c:v>
                </c:pt>
                <c:pt idx="179">
                  <c:v>120</c:v>
                </c:pt>
                <c:pt idx="180">
                  <c:v>130</c:v>
                </c:pt>
                <c:pt idx="181" formatCode="0">
                  <c:v>128</c:v>
                </c:pt>
                <c:pt idx="182">
                  <c:v>137</c:v>
                </c:pt>
                <c:pt idx="183">
                  <c:v>132</c:v>
                </c:pt>
                <c:pt idx="184">
                  <c:v>124</c:v>
                </c:pt>
                <c:pt idx="185">
                  <c:v>128</c:v>
                </c:pt>
                <c:pt idx="186">
                  <c:v>120</c:v>
                </c:pt>
                <c:pt idx="187">
                  <c:v>124</c:v>
                </c:pt>
                <c:pt idx="188">
                  <c:v>127</c:v>
                </c:pt>
                <c:pt idx="189">
                  <c:v>132</c:v>
                </c:pt>
                <c:pt idx="190">
                  <c:v>139</c:v>
                </c:pt>
                <c:pt idx="191">
                  <c:v>124</c:v>
                </c:pt>
                <c:pt idx="192">
                  <c:v>120</c:v>
                </c:pt>
                <c:pt idx="193">
                  <c:v>124</c:v>
                </c:pt>
                <c:pt idx="194">
                  <c:v>148</c:v>
                </c:pt>
                <c:pt idx="195">
                  <c:v>139</c:v>
                </c:pt>
                <c:pt idx="196">
                  <c:v>148</c:v>
                </c:pt>
                <c:pt idx="197">
                  <c:v>156</c:v>
                </c:pt>
                <c:pt idx="198">
                  <c:v>148</c:v>
                </c:pt>
                <c:pt idx="199">
                  <c:v>141</c:v>
                </c:pt>
                <c:pt idx="200">
                  <c:v>145</c:v>
                </c:pt>
                <c:pt idx="201">
                  <c:v>130</c:v>
                </c:pt>
                <c:pt idx="202">
                  <c:v>139</c:v>
                </c:pt>
                <c:pt idx="203">
                  <c:v>124</c:v>
                </c:pt>
                <c:pt idx="204">
                  <c:v>117</c:v>
                </c:pt>
                <c:pt idx="205">
                  <c:v>121</c:v>
                </c:pt>
                <c:pt idx="206">
                  <c:v>125</c:v>
                </c:pt>
                <c:pt idx="207" formatCode="0">
                  <c:v>130</c:v>
                </c:pt>
                <c:pt idx="208">
                  <c:v>130</c:v>
                </c:pt>
                <c:pt idx="209">
                  <c:v>124</c:v>
                </c:pt>
                <c:pt idx="210">
                  <c:v>133</c:v>
                </c:pt>
                <c:pt idx="211">
                  <c:v>117</c:v>
                </c:pt>
                <c:pt idx="212">
                  <c:v>121</c:v>
                </c:pt>
                <c:pt idx="213">
                  <c:v>133</c:v>
                </c:pt>
                <c:pt idx="214">
                  <c:v>128</c:v>
                </c:pt>
                <c:pt idx="215">
                  <c:v>124</c:v>
                </c:pt>
                <c:pt idx="216">
                  <c:v>129</c:v>
                </c:pt>
                <c:pt idx="217">
                  <c:v>99</c:v>
                </c:pt>
                <c:pt idx="218">
                  <c:v>99</c:v>
                </c:pt>
                <c:pt idx="219">
                  <c:v>83</c:v>
                </c:pt>
                <c:pt idx="220">
                  <c:v>89</c:v>
                </c:pt>
                <c:pt idx="221">
                  <c:v>74</c:v>
                </c:pt>
                <c:pt idx="222">
                  <c:v>74</c:v>
                </c:pt>
                <c:pt idx="223">
                  <c:v>78</c:v>
                </c:pt>
                <c:pt idx="224">
                  <c:v>62</c:v>
                </c:pt>
                <c:pt idx="225">
                  <c:v>68</c:v>
                </c:pt>
                <c:pt idx="226">
                  <c:v>99</c:v>
                </c:pt>
                <c:pt idx="227">
                  <c:v>130</c:v>
                </c:pt>
                <c:pt idx="228">
                  <c:v>124</c:v>
                </c:pt>
                <c:pt idx="229">
                  <c:v>111</c:v>
                </c:pt>
                <c:pt idx="230">
                  <c:v>104</c:v>
                </c:pt>
                <c:pt idx="231">
                  <c:v>119</c:v>
                </c:pt>
                <c:pt idx="232">
                  <c:v>102</c:v>
                </c:pt>
                <c:pt idx="233">
                  <c:v>110</c:v>
                </c:pt>
                <c:pt idx="234" formatCode="0">
                  <c:v>102</c:v>
                </c:pt>
                <c:pt idx="235">
                  <c:v>94</c:v>
                </c:pt>
                <c:pt idx="236">
                  <c:v>124</c:v>
                </c:pt>
                <c:pt idx="237">
                  <c:v>130</c:v>
                </c:pt>
                <c:pt idx="238">
                  <c:v>134</c:v>
                </c:pt>
                <c:pt idx="239">
                  <c:v>124</c:v>
                </c:pt>
                <c:pt idx="240">
                  <c:v>111</c:v>
                </c:pt>
                <c:pt idx="241">
                  <c:v>120</c:v>
                </c:pt>
                <c:pt idx="242">
                  <c:v>124</c:v>
                </c:pt>
                <c:pt idx="243">
                  <c:v>119</c:v>
                </c:pt>
                <c:pt idx="244">
                  <c:v>99</c:v>
                </c:pt>
                <c:pt idx="245">
                  <c:v>72</c:v>
                </c:pt>
                <c:pt idx="246">
                  <c:v>71</c:v>
                </c:pt>
                <c:pt idx="247">
                  <c:v>75</c:v>
                </c:pt>
                <c:pt idx="248">
                  <c:v>68</c:v>
                </c:pt>
                <c:pt idx="249">
                  <c:v>73</c:v>
                </c:pt>
                <c:pt idx="250">
                  <c:v>74</c:v>
                </c:pt>
                <c:pt idx="251">
                  <c:v>68</c:v>
                </c:pt>
                <c:pt idx="252">
                  <c:v>75</c:v>
                </c:pt>
                <c:pt idx="253">
                  <c:v>71</c:v>
                </c:pt>
                <c:pt idx="254">
                  <c:v>68</c:v>
                </c:pt>
                <c:pt idx="255">
                  <c:v>62</c:v>
                </c:pt>
                <c:pt idx="256">
                  <c:v>65</c:v>
                </c:pt>
                <c:pt idx="257">
                  <c:v>74</c:v>
                </c:pt>
                <c:pt idx="258">
                  <c:v>70</c:v>
                </c:pt>
                <c:pt idx="259" formatCode="0">
                  <c:v>74</c:v>
                </c:pt>
                <c:pt idx="260">
                  <c:v>78</c:v>
                </c:pt>
                <c:pt idx="261">
                  <c:v>74</c:v>
                </c:pt>
                <c:pt idx="262">
                  <c:v>70</c:v>
                </c:pt>
                <c:pt idx="263">
                  <c:v>78</c:v>
                </c:pt>
                <c:pt idx="264">
                  <c:v>68</c:v>
                </c:pt>
                <c:pt idx="265">
                  <c:v>70</c:v>
                </c:pt>
                <c:pt idx="266">
                  <c:v>62</c:v>
                </c:pt>
                <c:pt idx="267">
                  <c:v>71</c:v>
                </c:pt>
                <c:pt idx="268">
                  <c:v>75</c:v>
                </c:pt>
                <c:pt idx="269">
                  <c:v>70</c:v>
                </c:pt>
                <c:pt idx="270">
                  <c:v>66</c:v>
                </c:pt>
                <c:pt idx="271">
                  <c:v>77</c:v>
                </c:pt>
                <c:pt idx="272">
                  <c:v>99</c:v>
                </c:pt>
                <c:pt idx="273">
                  <c:v>91</c:v>
                </c:pt>
                <c:pt idx="274">
                  <c:v>86</c:v>
                </c:pt>
                <c:pt idx="275">
                  <c:v>74</c:v>
                </c:pt>
                <c:pt idx="276">
                  <c:v>82</c:v>
                </c:pt>
                <c:pt idx="277">
                  <c:v>90</c:v>
                </c:pt>
                <c:pt idx="285">
                  <c:v>62</c:v>
                </c:pt>
                <c:pt idx="286" formatCode="0">
                  <c:v>62</c:v>
                </c:pt>
                <c:pt idx="287">
                  <c:v>74</c:v>
                </c:pt>
                <c:pt idx="288">
                  <c:v>70</c:v>
                </c:pt>
                <c:pt idx="289">
                  <c:v>117</c:v>
                </c:pt>
                <c:pt idx="290">
                  <c:v>124</c:v>
                </c:pt>
                <c:pt idx="291">
                  <c:v>116</c:v>
                </c:pt>
                <c:pt idx="292">
                  <c:v>133</c:v>
                </c:pt>
                <c:pt idx="293">
                  <c:v>128</c:v>
                </c:pt>
                <c:pt idx="294">
                  <c:v>127</c:v>
                </c:pt>
                <c:pt idx="295">
                  <c:v>125</c:v>
                </c:pt>
                <c:pt idx="296">
                  <c:v>130</c:v>
                </c:pt>
                <c:pt idx="297">
                  <c:v>118</c:v>
                </c:pt>
                <c:pt idx="298">
                  <c:v>100</c:v>
                </c:pt>
                <c:pt idx="299">
                  <c:v>108</c:v>
                </c:pt>
                <c:pt idx="30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AE-4DA0-8258-F2099FE39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304127"/>
        <c:axId val="1"/>
      </c:lineChart>
      <c:catAx>
        <c:axId val="840304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181855695825954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10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800"/>
          <c:min val="10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CaH ppm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3307394908969712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0304127"/>
        <c:crosses val="autoZero"/>
        <c:crossBetween val="between"/>
        <c:maj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Chlorides</a:t>
            </a:r>
          </a:p>
        </c:rich>
      </c:tx>
      <c:layout>
        <c:manualLayout>
          <c:xMode val="edge"/>
          <c:yMode val="edge"/>
          <c:x val="0.43454586458228367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90416058016742"/>
          <c:y val="0.19819877943992656"/>
          <c:w val="0.83988519326860001"/>
          <c:h val="0.50422852677148355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'ECH CT PH Process'!$A$5:$A$309</c:f>
              <c:strCache>
                <c:ptCount val="301"/>
                <c:pt idx="0">
                  <c:v>02.09.24</c:v>
                </c:pt>
                <c:pt idx="1">
                  <c:v>03.09.24</c:v>
                </c:pt>
                <c:pt idx="2">
                  <c:v>04.09.24</c:v>
                </c:pt>
                <c:pt idx="3">
                  <c:v>05.09.24</c:v>
                </c:pt>
                <c:pt idx="4">
                  <c:v>06.09.24</c:v>
                </c:pt>
                <c:pt idx="5">
                  <c:v>07.09.24</c:v>
                </c:pt>
                <c:pt idx="6">
                  <c:v>09.09.24</c:v>
                </c:pt>
                <c:pt idx="7">
                  <c:v>10.09.24</c:v>
                </c:pt>
                <c:pt idx="8">
                  <c:v>11.09.24</c:v>
                </c:pt>
                <c:pt idx="9">
                  <c:v>12.09.24</c:v>
                </c:pt>
                <c:pt idx="10">
                  <c:v>13.09.24</c:v>
                </c:pt>
                <c:pt idx="11">
                  <c:v>14.09.24</c:v>
                </c:pt>
                <c:pt idx="12">
                  <c:v>16.09.24</c:v>
                </c:pt>
                <c:pt idx="13">
                  <c:v>17.09.24</c:v>
                </c:pt>
                <c:pt idx="14">
                  <c:v>18.09.24</c:v>
                </c:pt>
                <c:pt idx="15">
                  <c:v>19.09.24</c:v>
                </c:pt>
                <c:pt idx="16">
                  <c:v>20.09.24</c:v>
                </c:pt>
                <c:pt idx="17">
                  <c:v>21.09.24</c:v>
                </c:pt>
                <c:pt idx="18">
                  <c:v>23.09.24</c:v>
                </c:pt>
                <c:pt idx="19">
                  <c:v>24.09.24</c:v>
                </c:pt>
                <c:pt idx="20">
                  <c:v>25.09.24</c:v>
                </c:pt>
                <c:pt idx="21">
                  <c:v>26.09.24</c:v>
                </c:pt>
                <c:pt idx="22">
                  <c:v>27.09.24</c:v>
                </c:pt>
                <c:pt idx="23">
                  <c:v>28.09.24</c:v>
                </c:pt>
                <c:pt idx="24">
                  <c:v>30.09.24</c:v>
                </c:pt>
                <c:pt idx="25">
                  <c:v>01.10.24</c:v>
                </c:pt>
                <c:pt idx="26">
                  <c:v>02.10.24</c:v>
                </c:pt>
                <c:pt idx="27">
                  <c:v>03.10.24</c:v>
                </c:pt>
                <c:pt idx="28">
                  <c:v>04.10.24</c:v>
                </c:pt>
                <c:pt idx="29">
                  <c:v>05.10.24</c:v>
                </c:pt>
                <c:pt idx="30">
                  <c:v>07.10.24</c:v>
                </c:pt>
                <c:pt idx="31">
                  <c:v>08.10.24</c:v>
                </c:pt>
                <c:pt idx="32">
                  <c:v>09.10.24</c:v>
                </c:pt>
                <c:pt idx="33">
                  <c:v>10.10.24</c:v>
                </c:pt>
                <c:pt idx="34">
                  <c:v>11.10.24</c:v>
                </c:pt>
                <c:pt idx="35">
                  <c:v>12.10.24</c:v>
                </c:pt>
                <c:pt idx="36">
                  <c:v>14.10.24</c:v>
                </c:pt>
                <c:pt idx="37">
                  <c:v>15.10.24</c:v>
                </c:pt>
                <c:pt idx="38">
                  <c:v>16.10.24</c:v>
                </c:pt>
                <c:pt idx="39">
                  <c:v>17.10.24</c:v>
                </c:pt>
                <c:pt idx="40">
                  <c:v>18.10.24</c:v>
                </c:pt>
                <c:pt idx="41">
                  <c:v>19.10.24</c:v>
                </c:pt>
                <c:pt idx="42">
                  <c:v>21.10.24</c:v>
                </c:pt>
                <c:pt idx="43">
                  <c:v>22.10.24</c:v>
                </c:pt>
                <c:pt idx="44">
                  <c:v>23.10.24</c:v>
                </c:pt>
                <c:pt idx="45">
                  <c:v>24.10.24</c:v>
                </c:pt>
                <c:pt idx="46">
                  <c:v>25.10.24</c:v>
                </c:pt>
                <c:pt idx="47">
                  <c:v>26.10.24</c:v>
                </c:pt>
                <c:pt idx="48">
                  <c:v>28.10.24</c:v>
                </c:pt>
                <c:pt idx="49">
                  <c:v>29.10.24</c:v>
                </c:pt>
                <c:pt idx="50">
                  <c:v>30.10.24</c:v>
                </c:pt>
                <c:pt idx="51">
                  <c:v>31.10.24</c:v>
                </c:pt>
                <c:pt idx="52">
                  <c:v>04.11.24</c:v>
                </c:pt>
                <c:pt idx="53">
                  <c:v>05.11.24</c:v>
                </c:pt>
                <c:pt idx="54">
                  <c:v>06.11.24</c:v>
                </c:pt>
                <c:pt idx="55">
                  <c:v>07.11.24</c:v>
                </c:pt>
                <c:pt idx="56">
                  <c:v>08.11.24</c:v>
                </c:pt>
                <c:pt idx="57">
                  <c:v>09.11.24</c:v>
                </c:pt>
                <c:pt idx="58">
                  <c:v>11.11.24</c:v>
                </c:pt>
                <c:pt idx="59">
                  <c:v>12.11.24</c:v>
                </c:pt>
                <c:pt idx="60">
                  <c:v>13.11.24</c:v>
                </c:pt>
                <c:pt idx="61">
                  <c:v>14.11.24</c:v>
                </c:pt>
                <c:pt idx="62">
                  <c:v>15.11.24</c:v>
                </c:pt>
                <c:pt idx="63">
                  <c:v>16.11.24</c:v>
                </c:pt>
                <c:pt idx="64">
                  <c:v>18.11.24</c:v>
                </c:pt>
                <c:pt idx="65">
                  <c:v>19.11.24</c:v>
                </c:pt>
                <c:pt idx="66">
                  <c:v>20.11.24</c:v>
                </c:pt>
                <c:pt idx="67">
                  <c:v>21.11.24</c:v>
                </c:pt>
                <c:pt idx="68">
                  <c:v>22.11.24</c:v>
                </c:pt>
                <c:pt idx="69">
                  <c:v>23.11.24</c:v>
                </c:pt>
                <c:pt idx="70">
                  <c:v>25.11.24</c:v>
                </c:pt>
                <c:pt idx="71">
                  <c:v>26.11.24</c:v>
                </c:pt>
                <c:pt idx="72">
                  <c:v>27.11.24</c:v>
                </c:pt>
                <c:pt idx="73">
                  <c:v>28.11.24</c:v>
                </c:pt>
                <c:pt idx="74">
                  <c:v>29.11.24</c:v>
                </c:pt>
                <c:pt idx="75">
                  <c:v>30.11.24</c:v>
                </c:pt>
                <c:pt idx="76">
                  <c:v>02.12.24</c:v>
                </c:pt>
                <c:pt idx="77">
                  <c:v>03.12.24</c:v>
                </c:pt>
                <c:pt idx="78">
                  <c:v>04.12.24</c:v>
                </c:pt>
                <c:pt idx="79">
                  <c:v>05.12.24</c:v>
                </c:pt>
                <c:pt idx="80">
                  <c:v>06.12.24</c:v>
                </c:pt>
                <c:pt idx="81">
                  <c:v>07.12.24</c:v>
                </c:pt>
                <c:pt idx="82">
                  <c:v>09.12.24</c:v>
                </c:pt>
                <c:pt idx="83">
                  <c:v>10.12.24</c:v>
                </c:pt>
                <c:pt idx="84">
                  <c:v>11.12.24</c:v>
                </c:pt>
                <c:pt idx="85">
                  <c:v>12.12.24</c:v>
                </c:pt>
                <c:pt idx="86">
                  <c:v>13.12.24</c:v>
                </c:pt>
                <c:pt idx="87">
                  <c:v>14.12.24</c:v>
                </c:pt>
                <c:pt idx="88">
                  <c:v>16.12.24</c:v>
                </c:pt>
                <c:pt idx="89">
                  <c:v>17.12.24</c:v>
                </c:pt>
                <c:pt idx="90">
                  <c:v>18.12.24</c:v>
                </c:pt>
                <c:pt idx="91">
                  <c:v>19.12.24</c:v>
                </c:pt>
                <c:pt idx="92">
                  <c:v>20.12.24</c:v>
                </c:pt>
                <c:pt idx="93">
                  <c:v>21.12.24</c:v>
                </c:pt>
                <c:pt idx="94">
                  <c:v>23.12.24</c:v>
                </c:pt>
                <c:pt idx="95">
                  <c:v>24.12.24</c:v>
                </c:pt>
                <c:pt idx="96">
                  <c:v>25.12.24</c:v>
                </c:pt>
                <c:pt idx="97">
                  <c:v>26.12.24</c:v>
                </c:pt>
                <c:pt idx="98">
                  <c:v>27.12.24</c:v>
                </c:pt>
                <c:pt idx="99">
                  <c:v>28.12.24</c:v>
                </c:pt>
                <c:pt idx="100">
                  <c:v>30.12.24</c:v>
                </c:pt>
                <c:pt idx="101">
                  <c:v>31.12.24</c:v>
                </c:pt>
                <c:pt idx="102">
                  <c:v>01.01.25</c:v>
                </c:pt>
                <c:pt idx="103">
                  <c:v>02.01.25</c:v>
                </c:pt>
                <c:pt idx="104">
                  <c:v>03.01.25</c:v>
                </c:pt>
                <c:pt idx="105">
                  <c:v>04.01.25</c:v>
                </c:pt>
                <c:pt idx="106">
                  <c:v>08.01.25</c:v>
                </c:pt>
                <c:pt idx="107">
                  <c:v>09.01.25</c:v>
                </c:pt>
                <c:pt idx="108">
                  <c:v>10.01.25</c:v>
                </c:pt>
                <c:pt idx="109">
                  <c:v>11.01.25</c:v>
                </c:pt>
                <c:pt idx="110">
                  <c:v>13.01.25</c:v>
                </c:pt>
                <c:pt idx="111">
                  <c:v>15.01.25</c:v>
                </c:pt>
                <c:pt idx="112">
                  <c:v>16.01.25</c:v>
                </c:pt>
                <c:pt idx="113">
                  <c:v>17.01.25</c:v>
                </c:pt>
                <c:pt idx="114">
                  <c:v>18.01.25</c:v>
                </c:pt>
                <c:pt idx="115">
                  <c:v>20.01.25</c:v>
                </c:pt>
                <c:pt idx="116">
                  <c:v>21.01.25</c:v>
                </c:pt>
                <c:pt idx="117">
                  <c:v>22.01.25</c:v>
                </c:pt>
                <c:pt idx="118">
                  <c:v>23.01.25</c:v>
                </c:pt>
                <c:pt idx="119">
                  <c:v>24.01.25</c:v>
                </c:pt>
                <c:pt idx="120">
                  <c:v>25.01.25</c:v>
                </c:pt>
                <c:pt idx="121">
                  <c:v>27.01.25</c:v>
                </c:pt>
                <c:pt idx="122">
                  <c:v>28.01.25</c:v>
                </c:pt>
                <c:pt idx="123">
                  <c:v>29.01.25</c:v>
                </c:pt>
                <c:pt idx="124">
                  <c:v>30.01.25</c:v>
                </c:pt>
                <c:pt idx="125">
                  <c:v>31.01.25</c:v>
                </c:pt>
                <c:pt idx="126">
                  <c:v>01.02.25</c:v>
                </c:pt>
                <c:pt idx="127">
                  <c:v>03.02.25</c:v>
                </c:pt>
                <c:pt idx="128">
                  <c:v>04.02.25</c:v>
                </c:pt>
                <c:pt idx="129">
                  <c:v>05.02.25</c:v>
                </c:pt>
                <c:pt idx="130">
                  <c:v>06.02.25</c:v>
                </c:pt>
                <c:pt idx="131">
                  <c:v>07.02.25</c:v>
                </c:pt>
                <c:pt idx="132">
                  <c:v>08.02.25</c:v>
                </c:pt>
                <c:pt idx="133">
                  <c:v>10.02.25</c:v>
                </c:pt>
                <c:pt idx="134">
                  <c:v>11.02.25</c:v>
                </c:pt>
                <c:pt idx="135">
                  <c:v>12.02.25</c:v>
                </c:pt>
                <c:pt idx="136">
                  <c:v>13.02.25</c:v>
                </c:pt>
                <c:pt idx="137">
                  <c:v>14.02.25</c:v>
                </c:pt>
                <c:pt idx="138">
                  <c:v>15.02.25</c:v>
                </c:pt>
                <c:pt idx="139">
                  <c:v>17.02.25</c:v>
                </c:pt>
                <c:pt idx="140">
                  <c:v>18.02.25</c:v>
                </c:pt>
                <c:pt idx="141">
                  <c:v>19.02.25</c:v>
                </c:pt>
                <c:pt idx="142">
                  <c:v>20.02.25</c:v>
                </c:pt>
                <c:pt idx="143">
                  <c:v>21.02.25</c:v>
                </c:pt>
                <c:pt idx="144">
                  <c:v>22.02.25</c:v>
                </c:pt>
                <c:pt idx="145">
                  <c:v>24.02.25</c:v>
                </c:pt>
                <c:pt idx="146">
                  <c:v>25.02.25</c:v>
                </c:pt>
                <c:pt idx="147">
                  <c:v>27.02.25</c:v>
                </c:pt>
                <c:pt idx="148">
                  <c:v>28.02.25</c:v>
                </c:pt>
                <c:pt idx="149">
                  <c:v>01.03.25</c:v>
                </c:pt>
                <c:pt idx="150">
                  <c:v>03.03.25</c:v>
                </c:pt>
                <c:pt idx="151">
                  <c:v>04.03.25</c:v>
                </c:pt>
                <c:pt idx="152">
                  <c:v>05.03.25</c:v>
                </c:pt>
                <c:pt idx="153">
                  <c:v>06.03.25</c:v>
                </c:pt>
                <c:pt idx="154">
                  <c:v>07.03.25</c:v>
                </c:pt>
                <c:pt idx="155">
                  <c:v>08.03.25</c:v>
                </c:pt>
                <c:pt idx="156">
                  <c:v>10.03.25</c:v>
                </c:pt>
                <c:pt idx="157">
                  <c:v>11.03.25</c:v>
                </c:pt>
                <c:pt idx="158">
                  <c:v>12.03.25</c:v>
                </c:pt>
                <c:pt idx="159">
                  <c:v>13.03.25</c:v>
                </c:pt>
                <c:pt idx="160">
                  <c:v>15.03.25</c:v>
                </c:pt>
                <c:pt idx="161">
                  <c:v>17.03.25</c:v>
                </c:pt>
                <c:pt idx="162">
                  <c:v>18.03.25</c:v>
                </c:pt>
                <c:pt idx="163">
                  <c:v>19.03.25</c:v>
                </c:pt>
                <c:pt idx="164">
                  <c:v>20.03.25</c:v>
                </c:pt>
                <c:pt idx="165">
                  <c:v>21.03.25</c:v>
                </c:pt>
                <c:pt idx="166">
                  <c:v>22.03.25</c:v>
                </c:pt>
                <c:pt idx="167">
                  <c:v>24.03.25</c:v>
                </c:pt>
                <c:pt idx="168">
                  <c:v>25.03.25</c:v>
                </c:pt>
                <c:pt idx="169">
                  <c:v>26.03.25</c:v>
                </c:pt>
                <c:pt idx="170">
                  <c:v>27.03.25</c:v>
                </c:pt>
                <c:pt idx="171">
                  <c:v>28.03.25</c:v>
                </c:pt>
                <c:pt idx="172">
                  <c:v>29.03.25</c:v>
                </c:pt>
                <c:pt idx="173">
                  <c:v>31.03.25</c:v>
                </c:pt>
                <c:pt idx="174">
                  <c:v>01.04.25</c:v>
                </c:pt>
                <c:pt idx="175">
                  <c:v>02.04.25</c:v>
                </c:pt>
                <c:pt idx="176">
                  <c:v>03.04.25</c:v>
                </c:pt>
                <c:pt idx="177">
                  <c:v>04.04.25</c:v>
                </c:pt>
                <c:pt idx="178">
                  <c:v>05.04.25</c:v>
                </c:pt>
                <c:pt idx="179">
                  <c:v>07.04.25</c:v>
                </c:pt>
                <c:pt idx="180">
                  <c:v>08.04.25</c:v>
                </c:pt>
                <c:pt idx="181">
                  <c:v>09.04.25</c:v>
                </c:pt>
                <c:pt idx="182">
                  <c:v>10.04.25</c:v>
                </c:pt>
                <c:pt idx="183">
                  <c:v>11.04.25</c:v>
                </c:pt>
                <c:pt idx="184">
                  <c:v>12.04.25</c:v>
                </c:pt>
                <c:pt idx="185">
                  <c:v>14.04.25</c:v>
                </c:pt>
                <c:pt idx="186">
                  <c:v>15.04.25</c:v>
                </c:pt>
                <c:pt idx="187">
                  <c:v>16.04.25</c:v>
                </c:pt>
                <c:pt idx="188">
                  <c:v>17.04.25</c:v>
                </c:pt>
                <c:pt idx="189">
                  <c:v>18.04.25</c:v>
                </c:pt>
                <c:pt idx="190">
                  <c:v>19.04.25</c:v>
                </c:pt>
                <c:pt idx="191">
                  <c:v>21.04.25</c:v>
                </c:pt>
                <c:pt idx="192">
                  <c:v>22.04.25</c:v>
                </c:pt>
                <c:pt idx="193">
                  <c:v>23.04.25</c:v>
                </c:pt>
                <c:pt idx="194">
                  <c:v>24.04.25</c:v>
                </c:pt>
                <c:pt idx="195">
                  <c:v>25.04.25</c:v>
                </c:pt>
                <c:pt idx="196">
                  <c:v>26.04.25</c:v>
                </c:pt>
                <c:pt idx="197">
                  <c:v>28.04.25</c:v>
                </c:pt>
                <c:pt idx="198">
                  <c:v>29.04.25</c:v>
                </c:pt>
                <c:pt idx="199">
                  <c:v>30.04.25</c:v>
                </c:pt>
                <c:pt idx="200">
                  <c:v>01.05.25</c:v>
                </c:pt>
                <c:pt idx="201">
                  <c:v>02.05.25</c:v>
                </c:pt>
                <c:pt idx="202">
                  <c:v>03.05.25</c:v>
                </c:pt>
                <c:pt idx="203">
                  <c:v>05.05.25</c:v>
                </c:pt>
                <c:pt idx="204">
                  <c:v>06.05.25</c:v>
                </c:pt>
                <c:pt idx="205">
                  <c:v>07.05.25</c:v>
                </c:pt>
                <c:pt idx="206">
                  <c:v>08.05.25</c:v>
                </c:pt>
                <c:pt idx="207">
                  <c:v>09.05.25</c:v>
                </c:pt>
                <c:pt idx="208">
                  <c:v>10.05.25</c:v>
                </c:pt>
                <c:pt idx="209">
                  <c:v>12.05.25</c:v>
                </c:pt>
                <c:pt idx="210">
                  <c:v>13.05.25</c:v>
                </c:pt>
                <c:pt idx="211">
                  <c:v>14.05.25</c:v>
                </c:pt>
                <c:pt idx="212">
                  <c:v>15.05.25</c:v>
                </c:pt>
                <c:pt idx="213">
                  <c:v>16.05.25</c:v>
                </c:pt>
                <c:pt idx="214">
                  <c:v>17.05.25</c:v>
                </c:pt>
                <c:pt idx="215">
                  <c:v>19.05.25</c:v>
                </c:pt>
                <c:pt idx="216">
                  <c:v>20.05.25</c:v>
                </c:pt>
                <c:pt idx="217">
                  <c:v>21.05.25</c:v>
                </c:pt>
                <c:pt idx="218">
                  <c:v>22.05.25</c:v>
                </c:pt>
                <c:pt idx="219">
                  <c:v>23.05.25</c:v>
                </c:pt>
                <c:pt idx="220">
                  <c:v>24.05.25</c:v>
                </c:pt>
                <c:pt idx="221">
                  <c:v>26.05.25</c:v>
                </c:pt>
                <c:pt idx="222">
                  <c:v>27.05.25</c:v>
                </c:pt>
                <c:pt idx="223">
                  <c:v>28.05.25</c:v>
                </c:pt>
                <c:pt idx="224">
                  <c:v>29.05.25</c:v>
                </c:pt>
                <c:pt idx="225">
                  <c:v>30.05.25</c:v>
                </c:pt>
                <c:pt idx="226">
                  <c:v>31.05.25</c:v>
                </c:pt>
                <c:pt idx="227">
                  <c:v>02.06.25</c:v>
                </c:pt>
                <c:pt idx="228">
                  <c:v>03.06.25</c:v>
                </c:pt>
                <c:pt idx="229">
                  <c:v>04.06.25</c:v>
                </c:pt>
                <c:pt idx="230">
                  <c:v>05.06.25</c:v>
                </c:pt>
                <c:pt idx="231">
                  <c:v>06.06.25</c:v>
                </c:pt>
                <c:pt idx="232">
                  <c:v>07.06.25</c:v>
                </c:pt>
                <c:pt idx="233">
                  <c:v>09.06.25</c:v>
                </c:pt>
                <c:pt idx="234">
                  <c:v>10.06.25</c:v>
                </c:pt>
                <c:pt idx="235">
                  <c:v>11.06.25</c:v>
                </c:pt>
                <c:pt idx="236">
                  <c:v>12.06.25</c:v>
                </c:pt>
                <c:pt idx="237">
                  <c:v>13.06.25</c:v>
                </c:pt>
                <c:pt idx="238">
                  <c:v>14.06.25</c:v>
                </c:pt>
                <c:pt idx="239">
                  <c:v>16.06.25</c:v>
                </c:pt>
                <c:pt idx="240">
                  <c:v>17.06.25</c:v>
                </c:pt>
                <c:pt idx="241">
                  <c:v>18.06.25</c:v>
                </c:pt>
                <c:pt idx="242">
                  <c:v>19.06.25</c:v>
                </c:pt>
                <c:pt idx="243">
                  <c:v>20.06.25</c:v>
                </c:pt>
                <c:pt idx="244">
                  <c:v>21.06.25</c:v>
                </c:pt>
                <c:pt idx="245">
                  <c:v>23.06.25</c:v>
                </c:pt>
                <c:pt idx="246">
                  <c:v>24.06.25</c:v>
                </c:pt>
                <c:pt idx="247">
                  <c:v>25.06.25</c:v>
                </c:pt>
                <c:pt idx="248">
                  <c:v>26.06.25</c:v>
                </c:pt>
                <c:pt idx="249">
                  <c:v>27.06.25</c:v>
                </c:pt>
                <c:pt idx="250">
                  <c:v>28.06.25</c:v>
                </c:pt>
                <c:pt idx="251">
                  <c:v>30.06.25</c:v>
                </c:pt>
                <c:pt idx="252">
                  <c:v>01.07.25</c:v>
                </c:pt>
                <c:pt idx="253">
                  <c:v>02.07.25</c:v>
                </c:pt>
                <c:pt idx="254">
                  <c:v>03.07.25</c:v>
                </c:pt>
                <c:pt idx="255">
                  <c:v>04.07.25</c:v>
                </c:pt>
                <c:pt idx="256">
                  <c:v>05.07.25</c:v>
                </c:pt>
                <c:pt idx="257">
                  <c:v>07.07.25</c:v>
                </c:pt>
                <c:pt idx="258">
                  <c:v>08.07.25</c:v>
                </c:pt>
                <c:pt idx="259">
                  <c:v>09.07.25</c:v>
                </c:pt>
                <c:pt idx="260">
                  <c:v>10.07.25</c:v>
                </c:pt>
                <c:pt idx="261">
                  <c:v>11.07.25</c:v>
                </c:pt>
                <c:pt idx="262">
                  <c:v>12.07.25</c:v>
                </c:pt>
                <c:pt idx="263">
                  <c:v>14.07.25</c:v>
                </c:pt>
                <c:pt idx="264">
                  <c:v>15.07.25</c:v>
                </c:pt>
                <c:pt idx="265">
                  <c:v>16.07.25</c:v>
                </c:pt>
                <c:pt idx="266">
                  <c:v>17.07.25</c:v>
                </c:pt>
                <c:pt idx="267">
                  <c:v>18.07.25</c:v>
                </c:pt>
                <c:pt idx="268">
                  <c:v>19.07.25</c:v>
                </c:pt>
                <c:pt idx="269">
                  <c:v>21.07.25</c:v>
                </c:pt>
                <c:pt idx="270">
                  <c:v>22.07.25</c:v>
                </c:pt>
                <c:pt idx="271">
                  <c:v>23.07.25</c:v>
                </c:pt>
                <c:pt idx="272">
                  <c:v>24.07.25</c:v>
                </c:pt>
                <c:pt idx="273">
                  <c:v>25.07.25</c:v>
                </c:pt>
                <c:pt idx="274">
                  <c:v>26.07.25</c:v>
                </c:pt>
                <c:pt idx="275">
                  <c:v>28.07.25</c:v>
                </c:pt>
                <c:pt idx="276">
                  <c:v>29.07.25</c:v>
                </c:pt>
                <c:pt idx="277">
                  <c:v>30.07.25</c:v>
                </c:pt>
                <c:pt idx="278">
                  <c:v>31.07.25</c:v>
                </c:pt>
                <c:pt idx="279">
                  <c:v>01.08.25</c:v>
                </c:pt>
                <c:pt idx="280">
                  <c:v>02.08.25</c:v>
                </c:pt>
                <c:pt idx="281">
                  <c:v>04.08.25</c:v>
                </c:pt>
                <c:pt idx="282">
                  <c:v>05.08.25</c:v>
                </c:pt>
                <c:pt idx="283">
                  <c:v>06.08.25</c:v>
                </c:pt>
                <c:pt idx="284">
                  <c:v>07.08.25</c:v>
                </c:pt>
                <c:pt idx="285">
                  <c:v>08.08.25</c:v>
                </c:pt>
                <c:pt idx="286">
                  <c:v>11.08.25</c:v>
                </c:pt>
                <c:pt idx="287">
                  <c:v>12.08.25</c:v>
                </c:pt>
                <c:pt idx="288">
                  <c:v>13.08.25</c:v>
                </c:pt>
                <c:pt idx="289">
                  <c:v>14.08.25</c:v>
                </c:pt>
                <c:pt idx="290">
                  <c:v>15.08.25</c:v>
                </c:pt>
                <c:pt idx="291">
                  <c:v>18.08.25</c:v>
                </c:pt>
                <c:pt idx="292">
                  <c:v>19.08.25</c:v>
                </c:pt>
                <c:pt idx="293">
                  <c:v>20.08.25</c:v>
                </c:pt>
                <c:pt idx="294">
                  <c:v>21.08.25</c:v>
                </c:pt>
                <c:pt idx="295">
                  <c:v>22.08.25</c:v>
                </c:pt>
                <c:pt idx="296">
                  <c:v>23.08.25</c:v>
                </c:pt>
                <c:pt idx="297">
                  <c:v>26.08.25</c:v>
                </c:pt>
                <c:pt idx="298">
                  <c:v>27.08.25</c:v>
                </c:pt>
                <c:pt idx="299">
                  <c:v>28.08.25</c:v>
                </c:pt>
                <c:pt idx="300">
                  <c:v>29.08.25</c:v>
                </c:pt>
              </c:strCache>
            </c:strRef>
          </c:cat>
          <c:val>
            <c:numRef>
              <c:f>'ECH CT PH Process'!$K$5:$K$309</c:f>
              <c:numCache>
                <c:formatCode>General</c:formatCode>
                <c:ptCount val="305"/>
                <c:pt idx="0">
                  <c:v>130</c:v>
                </c:pt>
                <c:pt idx="1">
                  <c:v>127</c:v>
                </c:pt>
                <c:pt idx="2">
                  <c:v>130</c:v>
                </c:pt>
                <c:pt idx="3">
                  <c:v>139</c:v>
                </c:pt>
                <c:pt idx="4">
                  <c:v>142</c:v>
                </c:pt>
                <c:pt idx="5">
                  <c:v>144</c:v>
                </c:pt>
                <c:pt idx="6">
                  <c:v>146</c:v>
                </c:pt>
                <c:pt idx="7" formatCode="0">
                  <c:v>133</c:v>
                </c:pt>
                <c:pt idx="8">
                  <c:v>130</c:v>
                </c:pt>
                <c:pt idx="9">
                  <c:v>134</c:v>
                </c:pt>
                <c:pt idx="10">
                  <c:v>140</c:v>
                </c:pt>
                <c:pt idx="11">
                  <c:v>145</c:v>
                </c:pt>
                <c:pt idx="12">
                  <c:v>122</c:v>
                </c:pt>
                <c:pt idx="13">
                  <c:v>128</c:v>
                </c:pt>
                <c:pt idx="14">
                  <c:v>130</c:v>
                </c:pt>
                <c:pt idx="15">
                  <c:v>124</c:v>
                </c:pt>
                <c:pt idx="16">
                  <c:v>142</c:v>
                </c:pt>
                <c:pt idx="17">
                  <c:v>140</c:v>
                </c:pt>
                <c:pt idx="18">
                  <c:v>137</c:v>
                </c:pt>
                <c:pt idx="19">
                  <c:v>129</c:v>
                </c:pt>
                <c:pt idx="20">
                  <c:v>132</c:v>
                </c:pt>
                <c:pt idx="21">
                  <c:v>140</c:v>
                </c:pt>
                <c:pt idx="22">
                  <c:v>122</c:v>
                </c:pt>
                <c:pt idx="23">
                  <c:v>120</c:v>
                </c:pt>
                <c:pt idx="24">
                  <c:v>127</c:v>
                </c:pt>
                <c:pt idx="25">
                  <c:v>122</c:v>
                </c:pt>
                <c:pt idx="26">
                  <c:v>130</c:v>
                </c:pt>
                <c:pt idx="27">
                  <c:v>138</c:v>
                </c:pt>
                <c:pt idx="28">
                  <c:v>132</c:v>
                </c:pt>
                <c:pt idx="29">
                  <c:v>137</c:v>
                </c:pt>
                <c:pt idx="30">
                  <c:v>120</c:v>
                </c:pt>
                <c:pt idx="31">
                  <c:v>126</c:v>
                </c:pt>
                <c:pt idx="32" formatCode="0">
                  <c:v>125</c:v>
                </c:pt>
                <c:pt idx="33">
                  <c:v>121</c:v>
                </c:pt>
                <c:pt idx="34">
                  <c:v>124</c:v>
                </c:pt>
                <c:pt idx="35">
                  <c:v>130</c:v>
                </c:pt>
                <c:pt idx="36">
                  <c:v>128</c:v>
                </c:pt>
                <c:pt idx="37">
                  <c:v>135</c:v>
                </c:pt>
                <c:pt idx="38">
                  <c:v>135</c:v>
                </c:pt>
                <c:pt idx="39">
                  <c:v>170</c:v>
                </c:pt>
                <c:pt idx="40">
                  <c:v>168</c:v>
                </c:pt>
                <c:pt idx="41">
                  <c:v>175</c:v>
                </c:pt>
                <c:pt idx="42">
                  <c:v>159</c:v>
                </c:pt>
                <c:pt idx="43">
                  <c:v>162</c:v>
                </c:pt>
                <c:pt idx="44">
                  <c:v>168</c:v>
                </c:pt>
                <c:pt idx="45">
                  <c:v>170</c:v>
                </c:pt>
                <c:pt idx="46">
                  <c:v>164</c:v>
                </c:pt>
                <c:pt idx="47">
                  <c:v>159</c:v>
                </c:pt>
                <c:pt idx="48">
                  <c:v>142</c:v>
                </c:pt>
                <c:pt idx="49">
                  <c:v>148</c:v>
                </c:pt>
                <c:pt idx="50">
                  <c:v>140</c:v>
                </c:pt>
                <c:pt idx="51">
                  <c:v>140</c:v>
                </c:pt>
                <c:pt idx="52">
                  <c:v>144</c:v>
                </c:pt>
                <c:pt idx="53">
                  <c:v>140</c:v>
                </c:pt>
                <c:pt idx="54">
                  <c:v>152</c:v>
                </c:pt>
                <c:pt idx="55">
                  <c:v>160</c:v>
                </c:pt>
                <c:pt idx="56">
                  <c:v>130</c:v>
                </c:pt>
                <c:pt idx="57">
                  <c:v>120</c:v>
                </c:pt>
                <c:pt idx="58">
                  <c:v>129</c:v>
                </c:pt>
                <c:pt idx="59" formatCode="0">
                  <c:v>132</c:v>
                </c:pt>
                <c:pt idx="60">
                  <c:v>137</c:v>
                </c:pt>
                <c:pt idx="61">
                  <c:v>133</c:v>
                </c:pt>
                <c:pt idx="62">
                  <c:v>137</c:v>
                </c:pt>
                <c:pt idx="63">
                  <c:v>142</c:v>
                </c:pt>
                <c:pt idx="64">
                  <c:v>155</c:v>
                </c:pt>
                <c:pt idx="65">
                  <c:v>142</c:v>
                </c:pt>
                <c:pt idx="66">
                  <c:v>139</c:v>
                </c:pt>
                <c:pt idx="67">
                  <c:v>106</c:v>
                </c:pt>
                <c:pt idx="68">
                  <c:v>94</c:v>
                </c:pt>
                <c:pt idx="69">
                  <c:v>115</c:v>
                </c:pt>
                <c:pt idx="70">
                  <c:v>118</c:v>
                </c:pt>
                <c:pt idx="71">
                  <c:v>122</c:v>
                </c:pt>
                <c:pt idx="72">
                  <c:v>95</c:v>
                </c:pt>
                <c:pt idx="73">
                  <c:v>90</c:v>
                </c:pt>
                <c:pt idx="74">
                  <c:v>124</c:v>
                </c:pt>
                <c:pt idx="75">
                  <c:v>118</c:v>
                </c:pt>
                <c:pt idx="76">
                  <c:v>107</c:v>
                </c:pt>
                <c:pt idx="77">
                  <c:v>94</c:v>
                </c:pt>
                <c:pt idx="78">
                  <c:v>96</c:v>
                </c:pt>
                <c:pt idx="79">
                  <c:v>94</c:v>
                </c:pt>
                <c:pt idx="80">
                  <c:v>100</c:v>
                </c:pt>
                <c:pt idx="81">
                  <c:v>93</c:v>
                </c:pt>
                <c:pt idx="82">
                  <c:v>106</c:v>
                </c:pt>
                <c:pt idx="83" formatCode="0">
                  <c:v>110</c:v>
                </c:pt>
                <c:pt idx="84">
                  <c:v>117</c:v>
                </c:pt>
                <c:pt idx="85">
                  <c:v>94</c:v>
                </c:pt>
                <c:pt idx="86">
                  <c:v>99</c:v>
                </c:pt>
                <c:pt idx="87">
                  <c:v>118</c:v>
                </c:pt>
                <c:pt idx="88">
                  <c:v>112</c:v>
                </c:pt>
                <c:pt idx="89">
                  <c:v>95</c:v>
                </c:pt>
                <c:pt idx="90">
                  <c:v>107</c:v>
                </c:pt>
                <c:pt idx="91">
                  <c:v>95</c:v>
                </c:pt>
                <c:pt idx="92">
                  <c:v>110</c:v>
                </c:pt>
                <c:pt idx="93">
                  <c:v>117</c:v>
                </c:pt>
                <c:pt idx="94">
                  <c:v>142</c:v>
                </c:pt>
                <c:pt idx="95">
                  <c:v>146</c:v>
                </c:pt>
                <c:pt idx="96">
                  <c:v>150</c:v>
                </c:pt>
                <c:pt idx="97">
                  <c:v>140</c:v>
                </c:pt>
                <c:pt idx="98">
                  <c:v>142</c:v>
                </c:pt>
                <c:pt idx="99">
                  <c:v>118</c:v>
                </c:pt>
                <c:pt idx="100">
                  <c:v>125</c:v>
                </c:pt>
                <c:pt idx="101">
                  <c:v>127</c:v>
                </c:pt>
                <c:pt idx="102">
                  <c:v>136</c:v>
                </c:pt>
                <c:pt idx="103">
                  <c:v>145</c:v>
                </c:pt>
                <c:pt idx="104">
                  <c:v>150</c:v>
                </c:pt>
                <c:pt idx="105">
                  <c:v>156</c:v>
                </c:pt>
                <c:pt idx="106">
                  <c:v>110</c:v>
                </c:pt>
                <c:pt idx="107">
                  <c:v>118</c:v>
                </c:pt>
                <c:pt idx="108">
                  <c:v>120</c:v>
                </c:pt>
                <c:pt idx="109" formatCode="0">
                  <c:v>109</c:v>
                </c:pt>
                <c:pt idx="110">
                  <c:v>140</c:v>
                </c:pt>
                <c:pt idx="111">
                  <c:v>90</c:v>
                </c:pt>
                <c:pt idx="112">
                  <c:v>98</c:v>
                </c:pt>
                <c:pt idx="113">
                  <c:v>107</c:v>
                </c:pt>
                <c:pt idx="114">
                  <c:v>90</c:v>
                </c:pt>
                <c:pt idx="115">
                  <c:v>97</c:v>
                </c:pt>
                <c:pt idx="116">
                  <c:v>107</c:v>
                </c:pt>
                <c:pt idx="117">
                  <c:v>115</c:v>
                </c:pt>
                <c:pt idx="118">
                  <c:v>110</c:v>
                </c:pt>
                <c:pt idx="119">
                  <c:v>109</c:v>
                </c:pt>
                <c:pt idx="120">
                  <c:v>95</c:v>
                </c:pt>
                <c:pt idx="121">
                  <c:v>106</c:v>
                </c:pt>
                <c:pt idx="122">
                  <c:v>110</c:v>
                </c:pt>
                <c:pt idx="123">
                  <c:v>122</c:v>
                </c:pt>
                <c:pt idx="124">
                  <c:v>110</c:v>
                </c:pt>
                <c:pt idx="125">
                  <c:v>99</c:v>
                </c:pt>
                <c:pt idx="126">
                  <c:v>118</c:v>
                </c:pt>
                <c:pt idx="127">
                  <c:v>112</c:v>
                </c:pt>
                <c:pt idx="128">
                  <c:v>100</c:v>
                </c:pt>
                <c:pt idx="129">
                  <c:v>119</c:v>
                </c:pt>
                <c:pt idx="130">
                  <c:v>102</c:v>
                </c:pt>
                <c:pt idx="131">
                  <c:v>100</c:v>
                </c:pt>
                <c:pt idx="132">
                  <c:v>103</c:v>
                </c:pt>
                <c:pt idx="133" formatCode="0">
                  <c:v>100</c:v>
                </c:pt>
                <c:pt idx="134">
                  <c:v>118</c:v>
                </c:pt>
                <c:pt idx="135">
                  <c:v>118</c:v>
                </c:pt>
                <c:pt idx="136">
                  <c:v>127</c:v>
                </c:pt>
                <c:pt idx="137">
                  <c:v>95</c:v>
                </c:pt>
                <c:pt idx="138">
                  <c:v>92</c:v>
                </c:pt>
                <c:pt idx="139">
                  <c:v>86</c:v>
                </c:pt>
                <c:pt idx="140">
                  <c:v>80</c:v>
                </c:pt>
                <c:pt idx="141">
                  <c:v>92</c:v>
                </c:pt>
                <c:pt idx="142">
                  <c:v>99</c:v>
                </c:pt>
                <c:pt idx="143">
                  <c:v>106</c:v>
                </c:pt>
                <c:pt idx="144">
                  <c:v>110</c:v>
                </c:pt>
                <c:pt idx="145">
                  <c:v>119</c:v>
                </c:pt>
                <c:pt idx="146">
                  <c:v>100</c:v>
                </c:pt>
                <c:pt idx="147">
                  <c:v>106</c:v>
                </c:pt>
                <c:pt idx="148">
                  <c:v>119</c:v>
                </c:pt>
                <c:pt idx="149">
                  <c:v>125</c:v>
                </c:pt>
                <c:pt idx="150">
                  <c:v>108</c:v>
                </c:pt>
                <c:pt idx="151">
                  <c:v>100</c:v>
                </c:pt>
                <c:pt idx="152">
                  <c:v>108</c:v>
                </c:pt>
                <c:pt idx="153">
                  <c:v>80</c:v>
                </c:pt>
                <c:pt idx="154">
                  <c:v>116</c:v>
                </c:pt>
                <c:pt idx="155">
                  <c:v>127</c:v>
                </c:pt>
                <c:pt idx="156" formatCode="0">
                  <c:v>110</c:v>
                </c:pt>
                <c:pt idx="157">
                  <c:v>112</c:v>
                </c:pt>
                <c:pt idx="158">
                  <c:v>96</c:v>
                </c:pt>
                <c:pt idx="159">
                  <c:v>99</c:v>
                </c:pt>
                <c:pt idx="160">
                  <c:v>101</c:v>
                </c:pt>
                <c:pt idx="161">
                  <c:v>110</c:v>
                </c:pt>
                <c:pt idx="162">
                  <c:v>104</c:v>
                </c:pt>
                <c:pt idx="163">
                  <c:v>109</c:v>
                </c:pt>
                <c:pt idx="164">
                  <c:v>117</c:v>
                </c:pt>
                <c:pt idx="165">
                  <c:v>102</c:v>
                </c:pt>
                <c:pt idx="166">
                  <c:v>110</c:v>
                </c:pt>
                <c:pt idx="167">
                  <c:v>107</c:v>
                </c:pt>
                <c:pt idx="168">
                  <c:v>100</c:v>
                </c:pt>
                <c:pt idx="169">
                  <c:v>106</c:v>
                </c:pt>
                <c:pt idx="170">
                  <c:v>118</c:v>
                </c:pt>
                <c:pt idx="171">
                  <c:v>110</c:v>
                </c:pt>
                <c:pt idx="172">
                  <c:v>106</c:v>
                </c:pt>
                <c:pt idx="173">
                  <c:v>104</c:v>
                </c:pt>
                <c:pt idx="174">
                  <c:v>4</c:v>
                </c:pt>
                <c:pt idx="175">
                  <c:v>109</c:v>
                </c:pt>
                <c:pt idx="176">
                  <c:v>110</c:v>
                </c:pt>
                <c:pt idx="177">
                  <c:v>112</c:v>
                </c:pt>
                <c:pt idx="178">
                  <c:v>109</c:v>
                </c:pt>
                <c:pt idx="179">
                  <c:v>120</c:v>
                </c:pt>
                <c:pt idx="180">
                  <c:v>109</c:v>
                </c:pt>
                <c:pt idx="181" formatCode="0">
                  <c:v>119</c:v>
                </c:pt>
                <c:pt idx="182">
                  <c:v>112</c:v>
                </c:pt>
                <c:pt idx="183">
                  <c:v>107</c:v>
                </c:pt>
                <c:pt idx="184">
                  <c:v>102</c:v>
                </c:pt>
                <c:pt idx="185">
                  <c:v>97</c:v>
                </c:pt>
                <c:pt idx="186">
                  <c:v>94</c:v>
                </c:pt>
                <c:pt idx="187">
                  <c:v>90</c:v>
                </c:pt>
                <c:pt idx="188">
                  <c:v>115</c:v>
                </c:pt>
                <c:pt idx="189">
                  <c:v>109</c:v>
                </c:pt>
                <c:pt idx="190">
                  <c:v>118</c:v>
                </c:pt>
                <c:pt idx="191">
                  <c:v>102</c:v>
                </c:pt>
                <c:pt idx="192">
                  <c:v>98</c:v>
                </c:pt>
                <c:pt idx="193">
                  <c:v>106</c:v>
                </c:pt>
                <c:pt idx="194">
                  <c:v>185</c:v>
                </c:pt>
                <c:pt idx="195">
                  <c:v>194</c:v>
                </c:pt>
                <c:pt idx="196">
                  <c:v>213</c:v>
                </c:pt>
                <c:pt idx="197">
                  <c:v>205</c:v>
                </c:pt>
                <c:pt idx="198">
                  <c:v>230</c:v>
                </c:pt>
                <c:pt idx="199">
                  <c:v>242</c:v>
                </c:pt>
                <c:pt idx="200">
                  <c:v>234</c:v>
                </c:pt>
                <c:pt idx="201">
                  <c:v>210</c:v>
                </c:pt>
                <c:pt idx="202">
                  <c:v>212</c:v>
                </c:pt>
                <c:pt idx="203">
                  <c:v>220</c:v>
                </c:pt>
                <c:pt idx="204">
                  <c:v>198</c:v>
                </c:pt>
                <c:pt idx="205">
                  <c:v>190</c:v>
                </c:pt>
                <c:pt idx="206">
                  <c:v>220</c:v>
                </c:pt>
                <c:pt idx="207" formatCode="0">
                  <c:v>226</c:v>
                </c:pt>
                <c:pt idx="208">
                  <c:v>218</c:v>
                </c:pt>
                <c:pt idx="209">
                  <c:v>210</c:v>
                </c:pt>
                <c:pt idx="210">
                  <c:v>214</c:v>
                </c:pt>
                <c:pt idx="211">
                  <c:v>205</c:v>
                </c:pt>
                <c:pt idx="212">
                  <c:v>212</c:v>
                </c:pt>
                <c:pt idx="213">
                  <c:v>216</c:v>
                </c:pt>
                <c:pt idx="214">
                  <c:v>223</c:v>
                </c:pt>
                <c:pt idx="215">
                  <c:v>220</c:v>
                </c:pt>
                <c:pt idx="216">
                  <c:v>213</c:v>
                </c:pt>
                <c:pt idx="217">
                  <c:v>235</c:v>
                </c:pt>
                <c:pt idx="218">
                  <c:v>227</c:v>
                </c:pt>
                <c:pt idx="219">
                  <c:v>225</c:v>
                </c:pt>
                <c:pt idx="220">
                  <c:v>213</c:v>
                </c:pt>
                <c:pt idx="221">
                  <c:v>177</c:v>
                </c:pt>
                <c:pt idx="222">
                  <c:v>180</c:v>
                </c:pt>
                <c:pt idx="223">
                  <c:v>205</c:v>
                </c:pt>
                <c:pt idx="224">
                  <c:v>275</c:v>
                </c:pt>
                <c:pt idx="225">
                  <c:v>228</c:v>
                </c:pt>
                <c:pt idx="226">
                  <c:v>260</c:v>
                </c:pt>
                <c:pt idx="227">
                  <c:v>293</c:v>
                </c:pt>
                <c:pt idx="228">
                  <c:v>275</c:v>
                </c:pt>
                <c:pt idx="229">
                  <c:v>270</c:v>
                </c:pt>
                <c:pt idx="230">
                  <c:v>265</c:v>
                </c:pt>
                <c:pt idx="231">
                  <c:v>284</c:v>
                </c:pt>
                <c:pt idx="232">
                  <c:v>248</c:v>
                </c:pt>
                <c:pt idx="233">
                  <c:v>258</c:v>
                </c:pt>
                <c:pt idx="234" formatCode="0">
                  <c:v>247</c:v>
                </c:pt>
                <c:pt idx="235">
                  <c:v>248</c:v>
                </c:pt>
                <c:pt idx="236">
                  <c:v>284</c:v>
                </c:pt>
                <c:pt idx="237">
                  <c:v>286</c:v>
                </c:pt>
                <c:pt idx="238">
                  <c:v>270</c:v>
                </c:pt>
                <c:pt idx="239">
                  <c:v>262</c:v>
                </c:pt>
                <c:pt idx="240">
                  <c:v>248</c:v>
                </c:pt>
                <c:pt idx="241">
                  <c:v>260</c:v>
                </c:pt>
                <c:pt idx="242">
                  <c:v>240</c:v>
                </c:pt>
                <c:pt idx="243">
                  <c:v>236</c:v>
                </c:pt>
                <c:pt idx="244">
                  <c:v>236</c:v>
                </c:pt>
                <c:pt idx="245">
                  <c:v>229</c:v>
                </c:pt>
                <c:pt idx="246">
                  <c:v>213</c:v>
                </c:pt>
                <c:pt idx="247">
                  <c:v>216</c:v>
                </c:pt>
                <c:pt idx="248">
                  <c:v>220</c:v>
                </c:pt>
                <c:pt idx="249">
                  <c:v>207</c:v>
                </c:pt>
                <c:pt idx="250">
                  <c:v>213</c:v>
                </c:pt>
                <c:pt idx="251">
                  <c:v>177</c:v>
                </c:pt>
                <c:pt idx="252">
                  <c:v>185</c:v>
                </c:pt>
                <c:pt idx="253">
                  <c:v>220</c:v>
                </c:pt>
                <c:pt idx="254">
                  <c:v>200</c:v>
                </c:pt>
                <c:pt idx="255">
                  <c:v>213</c:v>
                </c:pt>
                <c:pt idx="256">
                  <c:v>225</c:v>
                </c:pt>
                <c:pt idx="257">
                  <c:v>213</c:v>
                </c:pt>
                <c:pt idx="258">
                  <c:v>190</c:v>
                </c:pt>
                <c:pt idx="259" formatCode="0">
                  <c:v>210</c:v>
                </c:pt>
                <c:pt idx="260">
                  <c:v>205</c:v>
                </c:pt>
                <c:pt idx="261">
                  <c:v>216</c:v>
                </c:pt>
                <c:pt idx="262">
                  <c:v>202</c:v>
                </c:pt>
                <c:pt idx="263">
                  <c:v>213</c:v>
                </c:pt>
                <c:pt idx="264">
                  <c:v>220</c:v>
                </c:pt>
                <c:pt idx="265">
                  <c:v>218</c:v>
                </c:pt>
                <c:pt idx="266">
                  <c:v>210</c:v>
                </c:pt>
                <c:pt idx="267">
                  <c:v>243</c:v>
                </c:pt>
                <c:pt idx="268">
                  <c:v>231</c:v>
                </c:pt>
                <c:pt idx="269">
                  <c:v>224</c:v>
                </c:pt>
                <c:pt idx="270">
                  <c:v>250</c:v>
                </c:pt>
                <c:pt idx="271">
                  <c:v>225</c:v>
                </c:pt>
                <c:pt idx="272">
                  <c:v>248</c:v>
                </c:pt>
                <c:pt idx="273">
                  <c:v>238</c:v>
                </c:pt>
                <c:pt idx="274">
                  <c:v>230</c:v>
                </c:pt>
                <c:pt idx="275">
                  <c:v>284</c:v>
                </c:pt>
                <c:pt idx="276">
                  <c:v>269</c:v>
                </c:pt>
                <c:pt idx="277">
                  <c:v>270</c:v>
                </c:pt>
                <c:pt idx="285">
                  <c:v>388</c:v>
                </c:pt>
                <c:pt idx="286" formatCode="0">
                  <c:v>340</c:v>
                </c:pt>
                <c:pt idx="287">
                  <c:v>290</c:v>
                </c:pt>
                <c:pt idx="288">
                  <c:v>283</c:v>
                </c:pt>
                <c:pt idx="289">
                  <c:v>400</c:v>
                </c:pt>
                <c:pt idx="290">
                  <c:v>396</c:v>
                </c:pt>
                <c:pt idx="291">
                  <c:v>388</c:v>
                </c:pt>
                <c:pt idx="292">
                  <c:v>380</c:v>
                </c:pt>
                <c:pt idx="293">
                  <c:v>355</c:v>
                </c:pt>
                <c:pt idx="294">
                  <c:v>284</c:v>
                </c:pt>
                <c:pt idx="295">
                  <c:v>275</c:v>
                </c:pt>
                <c:pt idx="296">
                  <c:v>260</c:v>
                </c:pt>
                <c:pt idx="297">
                  <c:v>248</c:v>
                </c:pt>
                <c:pt idx="298">
                  <c:v>182</c:v>
                </c:pt>
                <c:pt idx="299">
                  <c:v>177</c:v>
                </c:pt>
                <c:pt idx="300">
                  <c:v>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5D-4172-951A-ED913F985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305567"/>
        <c:axId val="1"/>
      </c:lineChart>
      <c:catAx>
        <c:axId val="840305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181855695825954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600"/>
          <c:min val="10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Chlorides ppm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249027204932716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0305567"/>
        <c:crosses val="autoZero"/>
        <c:crossBetween val="between"/>
        <c:maj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1325" b="1" i="0" u="none" strike="noStrike" baseline="0">
                <a:solidFill>
                  <a:srgbClr val="0000FF"/>
                </a:solidFill>
                <a:latin typeface="Arial"/>
                <a:cs typeface="Arial"/>
              </a:rPr>
              <a:t>Ortho PO</a:t>
            </a:r>
            <a:r>
              <a:rPr lang="en-IN" sz="1325" b="1" i="0" u="none" strike="noStrike" baseline="-25000">
                <a:solidFill>
                  <a:srgbClr val="0000FF"/>
                </a:solidFill>
                <a:latin typeface="Arial"/>
                <a:cs typeface="Arial"/>
              </a:rPr>
              <a:t>4</a:t>
            </a:r>
          </a:p>
        </c:rich>
      </c:tx>
      <c:layout>
        <c:manualLayout>
          <c:xMode val="edge"/>
          <c:yMode val="edge"/>
          <c:x val="0.42124621162686154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00505302496201"/>
          <c:y val="0.1168402759925552"/>
          <c:w val="0.83162562891713221"/>
          <c:h val="0.58558730289069216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'ECH CT PH Process'!$A$5:$A$309</c:f>
              <c:strCache>
                <c:ptCount val="301"/>
                <c:pt idx="0">
                  <c:v>02.09.24</c:v>
                </c:pt>
                <c:pt idx="1">
                  <c:v>03.09.24</c:v>
                </c:pt>
                <c:pt idx="2">
                  <c:v>04.09.24</c:v>
                </c:pt>
                <c:pt idx="3">
                  <c:v>05.09.24</c:v>
                </c:pt>
                <c:pt idx="4">
                  <c:v>06.09.24</c:v>
                </c:pt>
                <c:pt idx="5">
                  <c:v>07.09.24</c:v>
                </c:pt>
                <c:pt idx="6">
                  <c:v>09.09.24</c:v>
                </c:pt>
                <c:pt idx="7">
                  <c:v>10.09.24</c:v>
                </c:pt>
                <c:pt idx="8">
                  <c:v>11.09.24</c:v>
                </c:pt>
                <c:pt idx="9">
                  <c:v>12.09.24</c:v>
                </c:pt>
                <c:pt idx="10">
                  <c:v>13.09.24</c:v>
                </c:pt>
                <c:pt idx="11">
                  <c:v>14.09.24</c:v>
                </c:pt>
                <c:pt idx="12">
                  <c:v>16.09.24</c:v>
                </c:pt>
                <c:pt idx="13">
                  <c:v>17.09.24</c:v>
                </c:pt>
                <c:pt idx="14">
                  <c:v>18.09.24</c:v>
                </c:pt>
                <c:pt idx="15">
                  <c:v>19.09.24</c:v>
                </c:pt>
                <c:pt idx="16">
                  <c:v>20.09.24</c:v>
                </c:pt>
                <c:pt idx="17">
                  <c:v>21.09.24</c:v>
                </c:pt>
                <c:pt idx="18">
                  <c:v>23.09.24</c:v>
                </c:pt>
                <c:pt idx="19">
                  <c:v>24.09.24</c:v>
                </c:pt>
                <c:pt idx="20">
                  <c:v>25.09.24</c:v>
                </c:pt>
                <c:pt idx="21">
                  <c:v>26.09.24</c:v>
                </c:pt>
                <c:pt idx="22">
                  <c:v>27.09.24</c:v>
                </c:pt>
                <c:pt idx="23">
                  <c:v>28.09.24</c:v>
                </c:pt>
                <c:pt idx="24">
                  <c:v>30.09.24</c:v>
                </c:pt>
                <c:pt idx="25">
                  <c:v>01.10.24</c:v>
                </c:pt>
                <c:pt idx="26">
                  <c:v>02.10.24</c:v>
                </c:pt>
                <c:pt idx="27">
                  <c:v>03.10.24</c:v>
                </c:pt>
                <c:pt idx="28">
                  <c:v>04.10.24</c:v>
                </c:pt>
                <c:pt idx="29">
                  <c:v>05.10.24</c:v>
                </c:pt>
                <c:pt idx="30">
                  <c:v>07.10.24</c:v>
                </c:pt>
                <c:pt idx="31">
                  <c:v>08.10.24</c:v>
                </c:pt>
                <c:pt idx="32">
                  <c:v>09.10.24</c:v>
                </c:pt>
                <c:pt idx="33">
                  <c:v>10.10.24</c:v>
                </c:pt>
                <c:pt idx="34">
                  <c:v>11.10.24</c:v>
                </c:pt>
                <c:pt idx="35">
                  <c:v>12.10.24</c:v>
                </c:pt>
                <c:pt idx="36">
                  <c:v>14.10.24</c:v>
                </c:pt>
                <c:pt idx="37">
                  <c:v>15.10.24</c:v>
                </c:pt>
                <c:pt idx="38">
                  <c:v>16.10.24</c:v>
                </c:pt>
                <c:pt idx="39">
                  <c:v>17.10.24</c:v>
                </c:pt>
                <c:pt idx="40">
                  <c:v>18.10.24</c:v>
                </c:pt>
                <c:pt idx="41">
                  <c:v>19.10.24</c:v>
                </c:pt>
                <c:pt idx="42">
                  <c:v>21.10.24</c:v>
                </c:pt>
                <c:pt idx="43">
                  <c:v>22.10.24</c:v>
                </c:pt>
                <c:pt idx="44">
                  <c:v>23.10.24</c:v>
                </c:pt>
                <c:pt idx="45">
                  <c:v>24.10.24</c:v>
                </c:pt>
                <c:pt idx="46">
                  <c:v>25.10.24</c:v>
                </c:pt>
                <c:pt idx="47">
                  <c:v>26.10.24</c:v>
                </c:pt>
                <c:pt idx="48">
                  <c:v>28.10.24</c:v>
                </c:pt>
                <c:pt idx="49">
                  <c:v>29.10.24</c:v>
                </c:pt>
                <c:pt idx="50">
                  <c:v>30.10.24</c:v>
                </c:pt>
                <c:pt idx="51">
                  <c:v>31.10.24</c:v>
                </c:pt>
                <c:pt idx="52">
                  <c:v>04.11.24</c:v>
                </c:pt>
                <c:pt idx="53">
                  <c:v>05.11.24</c:v>
                </c:pt>
                <c:pt idx="54">
                  <c:v>06.11.24</c:v>
                </c:pt>
                <c:pt idx="55">
                  <c:v>07.11.24</c:v>
                </c:pt>
                <c:pt idx="56">
                  <c:v>08.11.24</c:v>
                </c:pt>
                <c:pt idx="57">
                  <c:v>09.11.24</c:v>
                </c:pt>
                <c:pt idx="58">
                  <c:v>11.11.24</c:v>
                </c:pt>
                <c:pt idx="59">
                  <c:v>12.11.24</c:v>
                </c:pt>
                <c:pt idx="60">
                  <c:v>13.11.24</c:v>
                </c:pt>
                <c:pt idx="61">
                  <c:v>14.11.24</c:v>
                </c:pt>
                <c:pt idx="62">
                  <c:v>15.11.24</c:v>
                </c:pt>
                <c:pt idx="63">
                  <c:v>16.11.24</c:v>
                </c:pt>
                <c:pt idx="64">
                  <c:v>18.11.24</c:v>
                </c:pt>
                <c:pt idx="65">
                  <c:v>19.11.24</c:v>
                </c:pt>
                <c:pt idx="66">
                  <c:v>20.11.24</c:v>
                </c:pt>
                <c:pt idx="67">
                  <c:v>21.11.24</c:v>
                </c:pt>
                <c:pt idx="68">
                  <c:v>22.11.24</c:v>
                </c:pt>
                <c:pt idx="69">
                  <c:v>23.11.24</c:v>
                </c:pt>
                <c:pt idx="70">
                  <c:v>25.11.24</c:v>
                </c:pt>
                <c:pt idx="71">
                  <c:v>26.11.24</c:v>
                </c:pt>
                <c:pt idx="72">
                  <c:v>27.11.24</c:v>
                </c:pt>
                <c:pt idx="73">
                  <c:v>28.11.24</c:v>
                </c:pt>
                <c:pt idx="74">
                  <c:v>29.11.24</c:v>
                </c:pt>
                <c:pt idx="75">
                  <c:v>30.11.24</c:v>
                </c:pt>
                <c:pt idx="76">
                  <c:v>02.12.24</c:v>
                </c:pt>
                <c:pt idx="77">
                  <c:v>03.12.24</c:v>
                </c:pt>
                <c:pt idx="78">
                  <c:v>04.12.24</c:v>
                </c:pt>
                <c:pt idx="79">
                  <c:v>05.12.24</c:v>
                </c:pt>
                <c:pt idx="80">
                  <c:v>06.12.24</c:v>
                </c:pt>
                <c:pt idx="81">
                  <c:v>07.12.24</c:v>
                </c:pt>
                <c:pt idx="82">
                  <c:v>09.12.24</c:v>
                </c:pt>
                <c:pt idx="83">
                  <c:v>10.12.24</c:v>
                </c:pt>
                <c:pt idx="84">
                  <c:v>11.12.24</c:v>
                </c:pt>
                <c:pt idx="85">
                  <c:v>12.12.24</c:v>
                </c:pt>
                <c:pt idx="86">
                  <c:v>13.12.24</c:v>
                </c:pt>
                <c:pt idx="87">
                  <c:v>14.12.24</c:v>
                </c:pt>
                <c:pt idx="88">
                  <c:v>16.12.24</c:v>
                </c:pt>
                <c:pt idx="89">
                  <c:v>17.12.24</c:v>
                </c:pt>
                <c:pt idx="90">
                  <c:v>18.12.24</c:v>
                </c:pt>
                <c:pt idx="91">
                  <c:v>19.12.24</c:v>
                </c:pt>
                <c:pt idx="92">
                  <c:v>20.12.24</c:v>
                </c:pt>
                <c:pt idx="93">
                  <c:v>21.12.24</c:v>
                </c:pt>
                <c:pt idx="94">
                  <c:v>23.12.24</c:v>
                </c:pt>
                <c:pt idx="95">
                  <c:v>24.12.24</c:v>
                </c:pt>
                <c:pt idx="96">
                  <c:v>25.12.24</c:v>
                </c:pt>
                <c:pt idx="97">
                  <c:v>26.12.24</c:v>
                </c:pt>
                <c:pt idx="98">
                  <c:v>27.12.24</c:v>
                </c:pt>
                <c:pt idx="99">
                  <c:v>28.12.24</c:v>
                </c:pt>
                <c:pt idx="100">
                  <c:v>30.12.24</c:v>
                </c:pt>
                <c:pt idx="101">
                  <c:v>31.12.24</c:v>
                </c:pt>
                <c:pt idx="102">
                  <c:v>01.01.25</c:v>
                </c:pt>
                <c:pt idx="103">
                  <c:v>02.01.25</c:v>
                </c:pt>
                <c:pt idx="104">
                  <c:v>03.01.25</c:v>
                </c:pt>
                <c:pt idx="105">
                  <c:v>04.01.25</c:v>
                </c:pt>
                <c:pt idx="106">
                  <c:v>08.01.25</c:v>
                </c:pt>
                <c:pt idx="107">
                  <c:v>09.01.25</c:v>
                </c:pt>
                <c:pt idx="108">
                  <c:v>10.01.25</c:v>
                </c:pt>
                <c:pt idx="109">
                  <c:v>11.01.25</c:v>
                </c:pt>
                <c:pt idx="110">
                  <c:v>13.01.25</c:v>
                </c:pt>
                <c:pt idx="111">
                  <c:v>15.01.25</c:v>
                </c:pt>
                <c:pt idx="112">
                  <c:v>16.01.25</c:v>
                </c:pt>
                <c:pt idx="113">
                  <c:v>17.01.25</c:v>
                </c:pt>
                <c:pt idx="114">
                  <c:v>18.01.25</c:v>
                </c:pt>
                <c:pt idx="115">
                  <c:v>20.01.25</c:v>
                </c:pt>
                <c:pt idx="116">
                  <c:v>21.01.25</c:v>
                </c:pt>
                <c:pt idx="117">
                  <c:v>22.01.25</c:v>
                </c:pt>
                <c:pt idx="118">
                  <c:v>23.01.25</c:v>
                </c:pt>
                <c:pt idx="119">
                  <c:v>24.01.25</c:v>
                </c:pt>
                <c:pt idx="120">
                  <c:v>25.01.25</c:v>
                </c:pt>
                <c:pt idx="121">
                  <c:v>27.01.25</c:v>
                </c:pt>
                <c:pt idx="122">
                  <c:v>28.01.25</c:v>
                </c:pt>
                <c:pt idx="123">
                  <c:v>29.01.25</c:v>
                </c:pt>
                <c:pt idx="124">
                  <c:v>30.01.25</c:v>
                </c:pt>
                <c:pt idx="125">
                  <c:v>31.01.25</c:v>
                </c:pt>
                <c:pt idx="126">
                  <c:v>01.02.25</c:v>
                </c:pt>
                <c:pt idx="127">
                  <c:v>03.02.25</c:v>
                </c:pt>
                <c:pt idx="128">
                  <c:v>04.02.25</c:v>
                </c:pt>
                <c:pt idx="129">
                  <c:v>05.02.25</c:v>
                </c:pt>
                <c:pt idx="130">
                  <c:v>06.02.25</c:v>
                </c:pt>
                <c:pt idx="131">
                  <c:v>07.02.25</c:v>
                </c:pt>
                <c:pt idx="132">
                  <c:v>08.02.25</c:v>
                </c:pt>
                <c:pt idx="133">
                  <c:v>10.02.25</c:v>
                </c:pt>
                <c:pt idx="134">
                  <c:v>11.02.25</c:v>
                </c:pt>
                <c:pt idx="135">
                  <c:v>12.02.25</c:v>
                </c:pt>
                <c:pt idx="136">
                  <c:v>13.02.25</c:v>
                </c:pt>
                <c:pt idx="137">
                  <c:v>14.02.25</c:v>
                </c:pt>
                <c:pt idx="138">
                  <c:v>15.02.25</c:v>
                </c:pt>
                <c:pt idx="139">
                  <c:v>17.02.25</c:v>
                </c:pt>
                <c:pt idx="140">
                  <c:v>18.02.25</c:v>
                </c:pt>
                <c:pt idx="141">
                  <c:v>19.02.25</c:v>
                </c:pt>
                <c:pt idx="142">
                  <c:v>20.02.25</c:v>
                </c:pt>
                <c:pt idx="143">
                  <c:v>21.02.25</c:v>
                </c:pt>
                <c:pt idx="144">
                  <c:v>22.02.25</c:v>
                </c:pt>
                <c:pt idx="145">
                  <c:v>24.02.25</c:v>
                </c:pt>
                <c:pt idx="146">
                  <c:v>25.02.25</c:v>
                </c:pt>
                <c:pt idx="147">
                  <c:v>27.02.25</c:v>
                </c:pt>
                <c:pt idx="148">
                  <c:v>28.02.25</c:v>
                </c:pt>
                <c:pt idx="149">
                  <c:v>01.03.25</c:v>
                </c:pt>
                <c:pt idx="150">
                  <c:v>03.03.25</c:v>
                </c:pt>
                <c:pt idx="151">
                  <c:v>04.03.25</c:v>
                </c:pt>
                <c:pt idx="152">
                  <c:v>05.03.25</c:v>
                </c:pt>
                <c:pt idx="153">
                  <c:v>06.03.25</c:v>
                </c:pt>
                <c:pt idx="154">
                  <c:v>07.03.25</c:v>
                </c:pt>
                <c:pt idx="155">
                  <c:v>08.03.25</c:v>
                </c:pt>
                <c:pt idx="156">
                  <c:v>10.03.25</c:v>
                </c:pt>
                <c:pt idx="157">
                  <c:v>11.03.25</c:v>
                </c:pt>
                <c:pt idx="158">
                  <c:v>12.03.25</c:v>
                </c:pt>
                <c:pt idx="159">
                  <c:v>13.03.25</c:v>
                </c:pt>
                <c:pt idx="160">
                  <c:v>15.03.25</c:v>
                </c:pt>
                <c:pt idx="161">
                  <c:v>17.03.25</c:v>
                </c:pt>
                <c:pt idx="162">
                  <c:v>18.03.25</c:v>
                </c:pt>
                <c:pt idx="163">
                  <c:v>19.03.25</c:v>
                </c:pt>
                <c:pt idx="164">
                  <c:v>20.03.25</c:v>
                </c:pt>
                <c:pt idx="165">
                  <c:v>21.03.25</c:v>
                </c:pt>
                <c:pt idx="166">
                  <c:v>22.03.25</c:v>
                </c:pt>
                <c:pt idx="167">
                  <c:v>24.03.25</c:v>
                </c:pt>
                <c:pt idx="168">
                  <c:v>25.03.25</c:v>
                </c:pt>
                <c:pt idx="169">
                  <c:v>26.03.25</c:v>
                </c:pt>
                <c:pt idx="170">
                  <c:v>27.03.25</c:v>
                </c:pt>
                <c:pt idx="171">
                  <c:v>28.03.25</c:v>
                </c:pt>
                <c:pt idx="172">
                  <c:v>29.03.25</c:v>
                </c:pt>
                <c:pt idx="173">
                  <c:v>31.03.25</c:v>
                </c:pt>
                <c:pt idx="174">
                  <c:v>01.04.25</c:v>
                </c:pt>
                <c:pt idx="175">
                  <c:v>02.04.25</c:v>
                </c:pt>
                <c:pt idx="176">
                  <c:v>03.04.25</c:v>
                </c:pt>
                <c:pt idx="177">
                  <c:v>04.04.25</c:v>
                </c:pt>
                <c:pt idx="178">
                  <c:v>05.04.25</c:v>
                </c:pt>
                <c:pt idx="179">
                  <c:v>07.04.25</c:v>
                </c:pt>
                <c:pt idx="180">
                  <c:v>08.04.25</c:v>
                </c:pt>
                <c:pt idx="181">
                  <c:v>09.04.25</c:v>
                </c:pt>
                <c:pt idx="182">
                  <c:v>10.04.25</c:v>
                </c:pt>
                <c:pt idx="183">
                  <c:v>11.04.25</c:v>
                </c:pt>
                <c:pt idx="184">
                  <c:v>12.04.25</c:v>
                </c:pt>
                <c:pt idx="185">
                  <c:v>14.04.25</c:v>
                </c:pt>
                <c:pt idx="186">
                  <c:v>15.04.25</c:v>
                </c:pt>
                <c:pt idx="187">
                  <c:v>16.04.25</c:v>
                </c:pt>
                <c:pt idx="188">
                  <c:v>17.04.25</c:v>
                </c:pt>
                <c:pt idx="189">
                  <c:v>18.04.25</c:v>
                </c:pt>
                <c:pt idx="190">
                  <c:v>19.04.25</c:v>
                </c:pt>
                <c:pt idx="191">
                  <c:v>21.04.25</c:v>
                </c:pt>
                <c:pt idx="192">
                  <c:v>22.04.25</c:v>
                </c:pt>
                <c:pt idx="193">
                  <c:v>23.04.25</c:v>
                </c:pt>
                <c:pt idx="194">
                  <c:v>24.04.25</c:v>
                </c:pt>
                <c:pt idx="195">
                  <c:v>25.04.25</c:v>
                </c:pt>
                <c:pt idx="196">
                  <c:v>26.04.25</c:v>
                </c:pt>
                <c:pt idx="197">
                  <c:v>28.04.25</c:v>
                </c:pt>
                <c:pt idx="198">
                  <c:v>29.04.25</c:v>
                </c:pt>
                <c:pt idx="199">
                  <c:v>30.04.25</c:v>
                </c:pt>
                <c:pt idx="200">
                  <c:v>01.05.25</c:v>
                </c:pt>
                <c:pt idx="201">
                  <c:v>02.05.25</c:v>
                </c:pt>
                <c:pt idx="202">
                  <c:v>03.05.25</c:v>
                </c:pt>
                <c:pt idx="203">
                  <c:v>05.05.25</c:v>
                </c:pt>
                <c:pt idx="204">
                  <c:v>06.05.25</c:v>
                </c:pt>
                <c:pt idx="205">
                  <c:v>07.05.25</c:v>
                </c:pt>
                <c:pt idx="206">
                  <c:v>08.05.25</c:v>
                </c:pt>
                <c:pt idx="207">
                  <c:v>09.05.25</c:v>
                </c:pt>
                <c:pt idx="208">
                  <c:v>10.05.25</c:v>
                </c:pt>
                <c:pt idx="209">
                  <c:v>12.05.25</c:v>
                </c:pt>
                <c:pt idx="210">
                  <c:v>13.05.25</c:v>
                </c:pt>
                <c:pt idx="211">
                  <c:v>14.05.25</c:v>
                </c:pt>
                <c:pt idx="212">
                  <c:v>15.05.25</c:v>
                </c:pt>
                <c:pt idx="213">
                  <c:v>16.05.25</c:v>
                </c:pt>
                <c:pt idx="214">
                  <c:v>17.05.25</c:v>
                </c:pt>
                <c:pt idx="215">
                  <c:v>19.05.25</c:v>
                </c:pt>
                <c:pt idx="216">
                  <c:v>20.05.25</c:v>
                </c:pt>
                <c:pt idx="217">
                  <c:v>21.05.25</c:v>
                </c:pt>
                <c:pt idx="218">
                  <c:v>22.05.25</c:v>
                </c:pt>
                <c:pt idx="219">
                  <c:v>23.05.25</c:v>
                </c:pt>
                <c:pt idx="220">
                  <c:v>24.05.25</c:v>
                </c:pt>
                <c:pt idx="221">
                  <c:v>26.05.25</c:v>
                </c:pt>
                <c:pt idx="222">
                  <c:v>27.05.25</c:v>
                </c:pt>
                <c:pt idx="223">
                  <c:v>28.05.25</c:v>
                </c:pt>
                <c:pt idx="224">
                  <c:v>29.05.25</c:v>
                </c:pt>
                <c:pt idx="225">
                  <c:v>30.05.25</c:v>
                </c:pt>
                <c:pt idx="226">
                  <c:v>31.05.25</c:v>
                </c:pt>
                <c:pt idx="227">
                  <c:v>02.06.25</c:v>
                </c:pt>
                <c:pt idx="228">
                  <c:v>03.06.25</c:v>
                </c:pt>
                <c:pt idx="229">
                  <c:v>04.06.25</c:v>
                </c:pt>
                <c:pt idx="230">
                  <c:v>05.06.25</c:v>
                </c:pt>
                <c:pt idx="231">
                  <c:v>06.06.25</c:v>
                </c:pt>
                <c:pt idx="232">
                  <c:v>07.06.25</c:v>
                </c:pt>
                <c:pt idx="233">
                  <c:v>09.06.25</c:v>
                </c:pt>
                <c:pt idx="234">
                  <c:v>10.06.25</c:v>
                </c:pt>
                <c:pt idx="235">
                  <c:v>11.06.25</c:v>
                </c:pt>
                <c:pt idx="236">
                  <c:v>12.06.25</c:v>
                </c:pt>
                <c:pt idx="237">
                  <c:v>13.06.25</c:v>
                </c:pt>
                <c:pt idx="238">
                  <c:v>14.06.25</c:v>
                </c:pt>
                <c:pt idx="239">
                  <c:v>16.06.25</c:v>
                </c:pt>
                <c:pt idx="240">
                  <c:v>17.06.25</c:v>
                </c:pt>
                <c:pt idx="241">
                  <c:v>18.06.25</c:v>
                </c:pt>
                <c:pt idx="242">
                  <c:v>19.06.25</c:v>
                </c:pt>
                <c:pt idx="243">
                  <c:v>20.06.25</c:v>
                </c:pt>
                <c:pt idx="244">
                  <c:v>21.06.25</c:v>
                </c:pt>
                <c:pt idx="245">
                  <c:v>23.06.25</c:v>
                </c:pt>
                <c:pt idx="246">
                  <c:v>24.06.25</c:v>
                </c:pt>
                <c:pt idx="247">
                  <c:v>25.06.25</c:v>
                </c:pt>
                <c:pt idx="248">
                  <c:v>26.06.25</c:v>
                </c:pt>
                <c:pt idx="249">
                  <c:v>27.06.25</c:v>
                </c:pt>
                <c:pt idx="250">
                  <c:v>28.06.25</c:v>
                </c:pt>
                <c:pt idx="251">
                  <c:v>30.06.25</c:v>
                </c:pt>
                <c:pt idx="252">
                  <c:v>01.07.25</c:v>
                </c:pt>
                <c:pt idx="253">
                  <c:v>02.07.25</c:v>
                </c:pt>
                <c:pt idx="254">
                  <c:v>03.07.25</c:v>
                </c:pt>
                <c:pt idx="255">
                  <c:v>04.07.25</c:v>
                </c:pt>
                <c:pt idx="256">
                  <c:v>05.07.25</c:v>
                </c:pt>
                <c:pt idx="257">
                  <c:v>07.07.25</c:v>
                </c:pt>
                <c:pt idx="258">
                  <c:v>08.07.25</c:v>
                </c:pt>
                <c:pt idx="259">
                  <c:v>09.07.25</c:v>
                </c:pt>
                <c:pt idx="260">
                  <c:v>10.07.25</c:v>
                </c:pt>
                <c:pt idx="261">
                  <c:v>11.07.25</c:v>
                </c:pt>
                <c:pt idx="262">
                  <c:v>12.07.25</c:v>
                </c:pt>
                <c:pt idx="263">
                  <c:v>14.07.25</c:v>
                </c:pt>
                <c:pt idx="264">
                  <c:v>15.07.25</c:v>
                </c:pt>
                <c:pt idx="265">
                  <c:v>16.07.25</c:v>
                </c:pt>
                <c:pt idx="266">
                  <c:v>17.07.25</c:v>
                </c:pt>
                <c:pt idx="267">
                  <c:v>18.07.25</c:v>
                </c:pt>
                <c:pt idx="268">
                  <c:v>19.07.25</c:v>
                </c:pt>
                <c:pt idx="269">
                  <c:v>21.07.25</c:v>
                </c:pt>
                <c:pt idx="270">
                  <c:v>22.07.25</c:v>
                </c:pt>
                <c:pt idx="271">
                  <c:v>23.07.25</c:v>
                </c:pt>
                <c:pt idx="272">
                  <c:v>24.07.25</c:v>
                </c:pt>
                <c:pt idx="273">
                  <c:v>25.07.25</c:v>
                </c:pt>
                <c:pt idx="274">
                  <c:v>26.07.25</c:v>
                </c:pt>
                <c:pt idx="275">
                  <c:v>28.07.25</c:v>
                </c:pt>
                <c:pt idx="276">
                  <c:v>29.07.25</c:v>
                </c:pt>
                <c:pt idx="277">
                  <c:v>30.07.25</c:v>
                </c:pt>
                <c:pt idx="278">
                  <c:v>31.07.25</c:v>
                </c:pt>
                <c:pt idx="279">
                  <c:v>01.08.25</c:v>
                </c:pt>
                <c:pt idx="280">
                  <c:v>02.08.25</c:v>
                </c:pt>
                <c:pt idx="281">
                  <c:v>04.08.25</c:v>
                </c:pt>
                <c:pt idx="282">
                  <c:v>05.08.25</c:v>
                </c:pt>
                <c:pt idx="283">
                  <c:v>06.08.25</c:v>
                </c:pt>
                <c:pt idx="284">
                  <c:v>07.08.25</c:v>
                </c:pt>
                <c:pt idx="285">
                  <c:v>08.08.25</c:v>
                </c:pt>
                <c:pt idx="286">
                  <c:v>11.08.25</c:v>
                </c:pt>
                <c:pt idx="287">
                  <c:v>12.08.25</c:v>
                </c:pt>
                <c:pt idx="288">
                  <c:v>13.08.25</c:v>
                </c:pt>
                <c:pt idx="289">
                  <c:v>14.08.25</c:v>
                </c:pt>
                <c:pt idx="290">
                  <c:v>15.08.25</c:v>
                </c:pt>
                <c:pt idx="291">
                  <c:v>18.08.25</c:v>
                </c:pt>
                <c:pt idx="292">
                  <c:v>19.08.25</c:v>
                </c:pt>
                <c:pt idx="293">
                  <c:v>20.08.25</c:v>
                </c:pt>
                <c:pt idx="294">
                  <c:v>21.08.25</c:v>
                </c:pt>
                <c:pt idx="295">
                  <c:v>22.08.25</c:v>
                </c:pt>
                <c:pt idx="296">
                  <c:v>23.08.25</c:v>
                </c:pt>
                <c:pt idx="297">
                  <c:v>26.08.25</c:v>
                </c:pt>
                <c:pt idx="298">
                  <c:v>27.08.25</c:v>
                </c:pt>
                <c:pt idx="299">
                  <c:v>28.08.25</c:v>
                </c:pt>
                <c:pt idx="300">
                  <c:v>29.08.25</c:v>
                </c:pt>
              </c:strCache>
            </c:strRef>
          </c:cat>
          <c:val>
            <c:numRef>
              <c:f>'ECH CT PH Process'!$L$5:$L$309</c:f>
              <c:numCache>
                <c:formatCode>0.0</c:formatCode>
                <c:ptCount val="305"/>
                <c:pt idx="0">
                  <c:v>7</c:v>
                </c:pt>
                <c:pt idx="1">
                  <c:v>6.9</c:v>
                </c:pt>
                <c:pt idx="2">
                  <c:v>6.7</c:v>
                </c:pt>
                <c:pt idx="3">
                  <c:v>6.8</c:v>
                </c:pt>
                <c:pt idx="4">
                  <c:v>7</c:v>
                </c:pt>
                <c:pt idx="5">
                  <c:v>7.2</c:v>
                </c:pt>
                <c:pt idx="6">
                  <c:v>6.9</c:v>
                </c:pt>
                <c:pt idx="7">
                  <c:v>6.5</c:v>
                </c:pt>
                <c:pt idx="8">
                  <c:v>6.2</c:v>
                </c:pt>
                <c:pt idx="9">
                  <c:v>6</c:v>
                </c:pt>
                <c:pt idx="10">
                  <c:v>6.2</c:v>
                </c:pt>
                <c:pt idx="11">
                  <c:v>6.4</c:v>
                </c:pt>
                <c:pt idx="12">
                  <c:v>6</c:v>
                </c:pt>
                <c:pt idx="13">
                  <c:v>6.2</c:v>
                </c:pt>
                <c:pt idx="14">
                  <c:v>6.4</c:v>
                </c:pt>
                <c:pt idx="15">
                  <c:v>6.6</c:v>
                </c:pt>
                <c:pt idx="16">
                  <c:v>6</c:v>
                </c:pt>
                <c:pt idx="17">
                  <c:v>6.4</c:v>
                </c:pt>
                <c:pt idx="18" formatCode="General">
                  <c:v>6.5</c:v>
                </c:pt>
                <c:pt idx="19" formatCode="General">
                  <c:v>6.4</c:v>
                </c:pt>
                <c:pt idx="20">
                  <c:v>6</c:v>
                </c:pt>
                <c:pt idx="21" formatCode="General">
                  <c:v>6.5</c:v>
                </c:pt>
                <c:pt idx="22" formatCode="General">
                  <c:v>6.8</c:v>
                </c:pt>
                <c:pt idx="23">
                  <c:v>7</c:v>
                </c:pt>
                <c:pt idx="24" formatCode="General">
                  <c:v>6.9</c:v>
                </c:pt>
                <c:pt idx="25">
                  <c:v>7</c:v>
                </c:pt>
                <c:pt idx="26">
                  <c:v>6.4</c:v>
                </c:pt>
                <c:pt idx="27">
                  <c:v>7</c:v>
                </c:pt>
                <c:pt idx="28">
                  <c:v>7</c:v>
                </c:pt>
                <c:pt idx="29">
                  <c:v>6.9</c:v>
                </c:pt>
                <c:pt idx="30">
                  <c:v>7.1</c:v>
                </c:pt>
                <c:pt idx="31">
                  <c:v>6.8</c:v>
                </c:pt>
                <c:pt idx="32">
                  <c:v>6.4</c:v>
                </c:pt>
                <c:pt idx="33">
                  <c:v>6.6</c:v>
                </c:pt>
                <c:pt idx="34">
                  <c:v>6.9</c:v>
                </c:pt>
                <c:pt idx="35">
                  <c:v>6.7</c:v>
                </c:pt>
                <c:pt idx="36">
                  <c:v>7</c:v>
                </c:pt>
                <c:pt idx="37">
                  <c:v>6.8</c:v>
                </c:pt>
                <c:pt idx="38">
                  <c:v>6.4</c:v>
                </c:pt>
                <c:pt idx="39">
                  <c:v>6.8</c:v>
                </c:pt>
                <c:pt idx="40">
                  <c:v>6</c:v>
                </c:pt>
                <c:pt idx="41">
                  <c:v>6.2</c:v>
                </c:pt>
                <c:pt idx="42">
                  <c:v>6.4</c:v>
                </c:pt>
                <c:pt idx="43" formatCode="General">
                  <c:v>6.9</c:v>
                </c:pt>
                <c:pt idx="44" formatCode="General">
                  <c:v>6.7</c:v>
                </c:pt>
                <c:pt idx="45">
                  <c:v>6.5</c:v>
                </c:pt>
                <c:pt idx="46">
                  <c:v>7</c:v>
                </c:pt>
                <c:pt idx="47" formatCode="General">
                  <c:v>6.4</c:v>
                </c:pt>
                <c:pt idx="48">
                  <c:v>6</c:v>
                </c:pt>
                <c:pt idx="49">
                  <c:v>6</c:v>
                </c:pt>
                <c:pt idx="50" formatCode="General">
                  <c:v>6.8</c:v>
                </c:pt>
                <c:pt idx="51" formatCode="General">
                  <c:v>6.8</c:v>
                </c:pt>
                <c:pt idx="52">
                  <c:v>6</c:v>
                </c:pt>
                <c:pt idx="53">
                  <c:v>6.3</c:v>
                </c:pt>
                <c:pt idx="54">
                  <c:v>6.5</c:v>
                </c:pt>
                <c:pt idx="55">
                  <c:v>6.5</c:v>
                </c:pt>
                <c:pt idx="56">
                  <c:v>6.7</c:v>
                </c:pt>
                <c:pt idx="57">
                  <c:v>6.9</c:v>
                </c:pt>
                <c:pt idx="58">
                  <c:v>7.2</c:v>
                </c:pt>
                <c:pt idx="59">
                  <c:v>7.4</c:v>
                </c:pt>
                <c:pt idx="60">
                  <c:v>7.4</c:v>
                </c:pt>
                <c:pt idx="61">
                  <c:v>6.9</c:v>
                </c:pt>
                <c:pt idx="62">
                  <c:v>6.9</c:v>
                </c:pt>
                <c:pt idx="63">
                  <c:v>7</c:v>
                </c:pt>
                <c:pt idx="64">
                  <c:v>6</c:v>
                </c:pt>
                <c:pt idx="65">
                  <c:v>6.5</c:v>
                </c:pt>
                <c:pt idx="66">
                  <c:v>7</c:v>
                </c:pt>
                <c:pt idx="67">
                  <c:v>6.8</c:v>
                </c:pt>
                <c:pt idx="68">
                  <c:v>7</c:v>
                </c:pt>
                <c:pt idx="69">
                  <c:v>7.2</c:v>
                </c:pt>
                <c:pt idx="70" formatCode="General">
                  <c:v>6.9</c:v>
                </c:pt>
                <c:pt idx="71" formatCode="General">
                  <c:v>6.5</c:v>
                </c:pt>
                <c:pt idx="72">
                  <c:v>6.5</c:v>
                </c:pt>
                <c:pt idx="73">
                  <c:v>6.5</c:v>
                </c:pt>
                <c:pt idx="74" formatCode="General">
                  <c:v>6.3</c:v>
                </c:pt>
                <c:pt idx="75">
                  <c:v>6.5</c:v>
                </c:pt>
                <c:pt idx="76">
                  <c:v>6.7</c:v>
                </c:pt>
                <c:pt idx="77">
                  <c:v>6.8</c:v>
                </c:pt>
                <c:pt idx="78">
                  <c:v>7</c:v>
                </c:pt>
                <c:pt idx="79">
                  <c:v>6.9</c:v>
                </c:pt>
                <c:pt idx="80">
                  <c:v>7</c:v>
                </c:pt>
                <c:pt idx="81">
                  <c:v>7.3</c:v>
                </c:pt>
                <c:pt idx="82">
                  <c:v>7</c:v>
                </c:pt>
                <c:pt idx="83">
                  <c:v>7.5</c:v>
                </c:pt>
                <c:pt idx="84">
                  <c:v>7.3</c:v>
                </c:pt>
                <c:pt idx="85">
                  <c:v>5.9</c:v>
                </c:pt>
                <c:pt idx="86">
                  <c:v>6.2</c:v>
                </c:pt>
                <c:pt idx="87">
                  <c:v>6.2</c:v>
                </c:pt>
                <c:pt idx="88">
                  <c:v>6.5</c:v>
                </c:pt>
                <c:pt idx="89">
                  <c:v>6.8</c:v>
                </c:pt>
                <c:pt idx="90">
                  <c:v>6.6</c:v>
                </c:pt>
                <c:pt idx="91">
                  <c:v>6.8</c:v>
                </c:pt>
                <c:pt idx="92">
                  <c:v>6.4</c:v>
                </c:pt>
                <c:pt idx="93">
                  <c:v>6.6</c:v>
                </c:pt>
                <c:pt idx="94" formatCode="General">
                  <c:v>6.8</c:v>
                </c:pt>
                <c:pt idx="95" formatCode="General">
                  <c:v>6.5</c:v>
                </c:pt>
                <c:pt idx="96">
                  <c:v>6.4</c:v>
                </c:pt>
                <c:pt idx="97">
                  <c:v>6.7</c:v>
                </c:pt>
                <c:pt idx="98" formatCode="General">
                  <c:v>6.2</c:v>
                </c:pt>
                <c:pt idx="99">
                  <c:v>6.7</c:v>
                </c:pt>
                <c:pt idx="100">
                  <c:v>6.9</c:v>
                </c:pt>
                <c:pt idx="101" formatCode="General">
                  <c:v>67</c:v>
                </c:pt>
                <c:pt idx="102">
                  <c:v>6.9</c:v>
                </c:pt>
                <c:pt idx="103">
                  <c:v>6.5</c:v>
                </c:pt>
                <c:pt idx="104">
                  <c:v>6.2</c:v>
                </c:pt>
                <c:pt idx="105">
                  <c:v>6.5</c:v>
                </c:pt>
                <c:pt idx="106">
                  <c:v>5.5</c:v>
                </c:pt>
                <c:pt idx="107">
                  <c:v>5</c:v>
                </c:pt>
                <c:pt idx="108">
                  <c:v>4.5</c:v>
                </c:pt>
                <c:pt idx="109">
                  <c:v>4</c:v>
                </c:pt>
                <c:pt idx="110">
                  <c:v>3.5</c:v>
                </c:pt>
                <c:pt idx="111">
                  <c:v>2.5</c:v>
                </c:pt>
                <c:pt idx="112">
                  <c:v>2.5</c:v>
                </c:pt>
                <c:pt idx="113">
                  <c:v>2.2999999999999998</c:v>
                </c:pt>
                <c:pt idx="114">
                  <c:v>2</c:v>
                </c:pt>
                <c:pt idx="115">
                  <c:v>2</c:v>
                </c:pt>
                <c:pt idx="116">
                  <c:v>1.6</c:v>
                </c:pt>
                <c:pt idx="117">
                  <c:v>1.6</c:v>
                </c:pt>
                <c:pt idx="118">
                  <c:v>1.3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8">
                  <c:v>4</c:v>
                </c:pt>
                <c:pt idx="129">
                  <c:v>3.9</c:v>
                </c:pt>
                <c:pt idx="130">
                  <c:v>3</c:v>
                </c:pt>
                <c:pt idx="131">
                  <c:v>2.8</c:v>
                </c:pt>
                <c:pt idx="132">
                  <c:v>2</c:v>
                </c:pt>
                <c:pt idx="133">
                  <c:v>2.1</c:v>
                </c:pt>
                <c:pt idx="134">
                  <c:v>1</c:v>
                </c:pt>
                <c:pt idx="135">
                  <c:v>1.4</c:v>
                </c:pt>
                <c:pt idx="136">
                  <c:v>1.7</c:v>
                </c:pt>
                <c:pt idx="137">
                  <c:v>1</c:v>
                </c:pt>
                <c:pt idx="138">
                  <c:v>2.2999999999999998</c:v>
                </c:pt>
                <c:pt idx="139">
                  <c:v>2.6</c:v>
                </c:pt>
                <c:pt idx="140">
                  <c:v>2.8</c:v>
                </c:pt>
                <c:pt idx="141">
                  <c:v>2.6</c:v>
                </c:pt>
                <c:pt idx="142">
                  <c:v>2.6</c:v>
                </c:pt>
                <c:pt idx="143">
                  <c:v>2.9</c:v>
                </c:pt>
                <c:pt idx="144" formatCode="General">
                  <c:v>3.2</c:v>
                </c:pt>
                <c:pt idx="145">
                  <c:v>3</c:v>
                </c:pt>
                <c:pt idx="146" formatCode="General">
                  <c:v>2.7</c:v>
                </c:pt>
                <c:pt idx="147" formatCode="General">
                  <c:v>2.6</c:v>
                </c:pt>
                <c:pt idx="148" formatCode="General">
                  <c:v>2.9</c:v>
                </c:pt>
                <c:pt idx="149">
                  <c:v>2.7</c:v>
                </c:pt>
                <c:pt idx="150">
                  <c:v>2.9</c:v>
                </c:pt>
                <c:pt idx="151">
                  <c:v>2.6</c:v>
                </c:pt>
                <c:pt idx="152">
                  <c:v>2.6</c:v>
                </c:pt>
                <c:pt idx="153">
                  <c:v>2.7</c:v>
                </c:pt>
                <c:pt idx="154">
                  <c:v>2.5</c:v>
                </c:pt>
                <c:pt idx="155">
                  <c:v>2.2999999999999998</c:v>
                </c:pt>
                <c:pt idx="156">
                  <c:v>2.5</c:v>
                </c:pt>
                <c:pt idx="157">
                  <c:v>2.6</c:v>
                </c:pt>
                <c:pt idx="158">
                  <c:v>2.4</c:v>
                </c:pt>
                <c:pt idx="159">
                  <c:v>2.6</c:v>
                </c:pt>
                <c:pt idx="160">
                  <c:v>2.4</c:v>
                </c:pt>
                <c:pt idx="161">
                  <c:v>2.2000000000000002</c:v>
                </c:pt>
                <c:pt idx="162">
                  <c:v>2.5</c:v>
                </c:pt>
                <c:pt idx="163">
                  <c:v>2.5</c:v>
                </c:pt>
                <c:pt idx="164">
                  <c:v>2.7</c:v>
                </c:pt>
                <c:pt idx="165">
                  <c:v>2.4</c:v>
                </c:pt>
                <c:pt idx="166">
                  <c:v>2.4</c:v>
                </c:pt>
                <c:pt idx="167" formatCode="General">
                  <c:v>2.6</c:v>
                </c:pt>
                <c:pt idx="168">
                  <c:v>2.5</c:v>
                </c:pt>
                <c:pt idx="169" formatCode="General">
                  <c:v>2.2999999999999998</c:v>
                </c:pt>
                <c:pt idx="170" formatCode="General">
                  <c:v>2.2999999999999998</c:v>
                </c:pt>
                <c:pt idx="171" formatCode="General">
                  <c:v>2.5</c:v>
                </c:pt>
                <c:pt idx="172" formatCode="General">
                  <c:v>2.9</c:v>
                </c:pt>
                <c:pt idx="173" formatCode="General">
                  <c:v>2.7</c:v>
                </c:pt>
                <c:pt idx="174">
                  <c:v>0</c:v>
                </c:pt>
                <c:pt idx="175">
                  <c:v>2.9</c:v>
                </c:pt>
                <c:pt idx="176">
                  <c:v>2.8</c:v>
                </c:pt>
                <c:pt idx="177">
                  <c:v>2.7</c:v>
                </c:pt>
                <c:pt idx="178">
                  <c:v>2.5</c:v>
                </c:pt>
                <c:pt idx="179">
                  <c:v>2.4</c:v>
                </c:pt>
                <c:pt idx="180">
                  <c:v>2.4</c:v>
                </c:pt>
                <c:pt idx="181">
                  <c:v>2.5</c:v>
                </c:pt>
                <c:pt idx="182">
                  <c:v>2.2999999999999998</c:v>
                </c:pt>
                <c:pt idx="183">
                  <c:v>2.2999999999999998</c:v>
                </c:pt>
                <c:pt idx="184">
                  <c:v>2.5</c:v>
                </c:pt>
                <c:pt idx="185">
                  <c:v>2.2999999999999998</c:v>
                </c:pt>
                <c:pt idx="186">
                  <c:v>2.2999999999999998</c:v>
                </c:pt>
                <c:pt idx="187">
                  <c:v>2.5</c:v>
                </c:pt>
                <c:pt idx="188">
                  <c:v>2.2000000000000002</c:v>
                </c:pt>
                <c:pt idx="189">
                  <c:v>2.4</c:v>
                </c:pt>
                <c:pt idx="190">
                  <c:v>3</c:v>
                </c:pt>
                <c:pt idx="191">
                  <c:v>3.5</c:v>
                </c:pt>
                <c:pt idx="192" formatCode="General">
                  <c:v>3.5</c:v>
                </c:pt>
                <c:pt idx="193">
                  <c:v>3.2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 formatCode="General">
                  <c:v>2.5</c:v>
                </c:pt>
                <c:pt idx="199" formatCode="General">
                  <c:v>2.5</c:v>
                </c:pt>
                <c:pt idx="200">
                  <c:v>2.5</c:v>
                </c:pt>
                <c:pt idx="201">
                  <c:v>2.5</c:v>
                </c:pt>
                <c:pt idx="202">
                  <c:v>2.2999999999999998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2.2999999999999998</c:v>
                </c:pt>
                <c:pt idx="207">
                  <c:v>2.2999999999999998</c:v>
                </c:pt>
                <c:pt idx="208">
                  <c:v>2.5</c:v>
                </c:pt>
                <c:pt idx="209">
                  <c:v>2.2999999999999998</c:v>
                </c:pt>
                <c:pt idx="210">
                  <c:v>2</c:v>
                </c:pt>
                <c:pt idx="211">
                  <c:v>2</c:v>
                </c:pt>
                <c:pt idx="212">
                  <c:v>2.2999999999999998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2.2999999999999998</c:v>
                </c:pt>
                <c:pt idx="217">
                  <c:v>2.2999999999999998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2.2000000000000002</c:v>
                </c:pt>
                <c:pt idx="222">
                  <c:v>2.2999999999999998</c:v>
                </c:pt>
                <c:pt idx="223">
                  <c:v>2.5</c:v>
                </c:pt>
                <c:pt idx="224" formatCode="General">
                  <c:v>2.2999999999999998</c:v>
                </c:pt>
                <c:pt idx="225">
                  <c:v>2</c:v>
                </c:pt>
                <c:pt idx="226" formatCode="General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1.8</c:v>
                </c:pt>
                <c:pt idx="230">
                  <c:v>1.8</c:v>
                </c:pt>
                <c:pt idx="231">
                  <c:v>1.5</c:v>
                </c:pt>
                <c:pt idx="232">
                  <c:v>1.5</c:v>
                </c:pt>
                <c:pt idx="233">
                  <c:v>1.5</c:v>
                </c:pt>
                <c:pt idx="234">
                  <c:v>1.5</c:v>
                </c:pt>
                <c:pt idx="235">
                  <c:v>2</c:v>
                </c:pt>
                <c:pt idx="236">
                  <c:v>2.5</c:v>
                </c:pt>
                <c:pt idx="237">
                  <c:v>2.5</c:v>
                </c:pt>
                <c:pt idx="238">
                  <c:v>2.2999999999999998</c:v>
                </c:pt>
                <c:pt idx="239">
                  <c:v>2.1</c:v>
                </c:pt>
                <c:pt idx="240">
                  <c:v>1.8</c:v>
                </c:pt>
                <c:pt idx="241">
                  <c:v>2.1</c:v>
                </c:pt>
                <c:pt idx="242">
                  <c:v>2.5</c:v>
                </c:pt>
                <c:pt idx="243">
                  <c:v>2.1</c:v>
                </c:pt>
                <c:pt idx="244">
                  <c:v>2</c:v>
                </c:pt>
                <c:pt idx="245">
                  <c:v>2</c:v>
                </c:pt>
                <c:pt idx="246">
                  <c:v>2.2000000000000002</c:v>
                </c:pt>
                <c:pt idx="247">
                  <c:v>2</c:v>
                </c:pt>
                <c:pt idx="248">
                  <c:v>1.9</c:v>
                </c:pt>
                <c:pt idx="249">
                  <c:v>2.2000000000000002</c:v>
                </c:pt>
                <c:pt idx="250">
                  <c:v>2</c:v>
                </c:pt>
                <c:pt idx="251" formatCode="General">
                  <c:v>2.2999999999999998</c:v>
                </c:pt>
                <c:pt idx="252">
                  <c:v>2.2999999999999998</c:v>
                </c:pt>
                <c:pt idx="253">
                  <c:v>3</c:v>
                </c:pt>
                <c:pt idx="254">
                  <c:v>3</c:v>
                </c:pt>
                <c:pt idx="255">
                  <c:v>2.7</c:v>
                </c:pt>
                <c:pt idx="256">
                  <c:v>2.5</c:v>
                </c:pt>
                <c:pt idx="257">
                  <c:v>2.5</c:v>
                </c:pt>
                <c:pt idx="258">
                  <c:v>2.2999999999999998</c:v>
                </c:pt>
                <c:pt idx="259">
                  <c:v>2.2999999999999998</c:v>
                </c:pt>
                <c:pt idx="260">
                  <c:v>2</c:v>
                </c:pt>
                <c:pt idx="261">
                  <c:v>2</c:v>
                </c:pt>
                <c:pt idx="262">
                  <c:v>2.2999999999999998</c:v>
                </c:pt>
                <c:pt idx="263">
                  <c:v>2</c:v>
                </c:pt>
                <c:pt idx="264">
                  <c:v>2</c:v>
                </c:pt>
                <c:pt idx="265">
                  <c:v>2.1</c:v>
                </c:pt>
                <c:pt idx="266">
                  <c:v>2</c:v>
                </c:pt>
                <c:pt idx="267">
                  <c:v>2.2999999999999998</c:v>
                </c:pt>
                <c:pt idx="268">
                  <c:v>2.2999999999999998</c:v>
                </c:pt>
                <c:pt idx="269">
                  <c:v>2.1</c:v>
                </c:pt>
                <c:pt idx="270">
                  <c:v>2</c:v>
                </c:pt>
                <c:pt idx="271">
                  <c:v>2.2999999999999998</c:v>
                </c:pt>
                <c:pt idx="272">
                  <c:v>2.2000000000000002</c:v>
                </c:pt>
                <c:pt idx="273">
                  <c:v>2.1</c:v>
                </c:pt>
                <c:pt idx="274">
                  <c:v>2</c:v>
                </c:pt>
                <c:pt idx="275">
                  <c:v>2.2000000000000002</c:v>
                </c:pt>
                <c:pt idx="276">
                  <c:v>2</c:v>
                </c:pt>
                <c:pt idx="277">
                  <c:v>2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2.2000000000000002</c:v>
                </c:pt>
                <c:pt idx="293">
                  <c:v>2.2999999999999998</c:v>
                </c:pt>
                <c:pt idx="294">
                  <c:v>1.9</c:v>
                </c:pt>
                <c:pt idx="295">
                  <c:v>1.8</c:v>
                </c:pt>
                <c:pt idx="296">
                  <c:v>2</c:v>
                </c:pt>
                <c:pt idx="297">
                  <c:v>2.1</c:v>
                </c:pt>
                <c:pt idx="298">
                  <c:v>1.7</c:v>
                </c:pt>
                <c:pt idx="299">
                  <c:v>1.6</c:v>
                </c:pt>
                <c:pt idx="300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50-447D-80B0-E46DAAC39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311327"/>
        <c:axId val="1"/>
      </c:lineChart>
      <c:catAx>
        <c:axId val="840311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534891702073157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OPO</a:t>
                </a:r>
                <a:r>
                  <a:rPr lang="en-IN" sz="1200" b="1" i="0" u="none" strike="noStrike" baseline="-25000">
                    <a:solidFill>
                      <a:srgbClr val="0000FF"/>
                    </a:solidFill>
                    <a:latin typeface="Arial"/>
                    <a:cs typeface="Arial"/>
                  </a:rPr>
                  <a:t>4 </a:t>
                </a:r>
                <a:r>
                  <a:rPr lang="en-IN" sz="12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</a:p>
            </c:rich>
          </c:tx>
          <c:layout>
            <c:manualLayout>
              <c:xMode val="edge"/>
              <c:yMode val="edge"/>
              <c:x val="9.1574464794110678E-3"/>
              <c:y val="0.31517518643502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0311327"/>
        <c:crosses val="autoZero"/>
        <c:crossBetween val="between"/>
        <c:majorUnit val="2"/>
        <c:minorUnit val="1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Conductivity</a:t>
            </a:r>
          </a:p>
        </c:rich>
      </c:tx>
      <c:layout>
        <c:manualLayout>
          <c:xMode val="edge"/>
          <c:yMode val="edge"/>
          <c:x val="0.40000038386426556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83829715373514"/>
          <c:y val="0.16163292167528714"/>
          <c:w val="0.8214804063860669"/>
          <c:h val="0.53034704727040893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'ECH CT PH Process'!$A$5:$A$309</c:f>
              <c:strCache>
                <c:ptCount val="301"/>
                <c:pt idx="0">
                  <c:v>02.09.24</c:v>
                </c:pt>
                <c:pt idx="1">
                  <c:v>03.09.24</c:v>
                </c:pt>
                <c:pt idx="2">
                  <c:v>04.09.24</c:v>
                </c:pt>
                <c:pt idx="3">
                  <c:v>05.09.24</c:v>
                </c:pt>
                <c:pt idx="4">
                  <c:v>06.09.24</c:v>
                </c:pt>
                <c:pt idx="5">
                  <c:v>07.09.24</c:v>
                </c:pt>
                <c:pt idx="6">
                  <c:v>09.09.24</c:v>
                </c:pt>
                <c:pt idx="7">
                  <c:v>10.09.24</c:v>
                </c:pt>
                <c:pt idx="8">
                  <c:v>11.09.24</c:v>
                </c:pt>
                <c:pt idx="9">
                  <c:v>12.09.24</c:v>
                </c:pt>
                <c:pt idx="10">
                  <c:v>13.09.24</c:v>
                </c:pt>
                <c:pt idx="11">
                  <c:v>14.09.24</c:v>
                </c:pt>
                <c:pt idx="12">
                  <c:v>16.09.24</c:v>
                </c:pt>
                <c:pt idx="13">
                  <c:v>17.09.24</c:v>
                </c:pt>
                <c:pt idx="14">
                  <c:v>18.09.24</c:v>
                </c:pt>
                <c:pt idx="15">
                  <c:v>19.09.24</c:v>
                </c:pt>
                <c:pt idx="16">
                  <c:v>20.09.24</c:v>
                </c:pt>
                <c:pt idx="17">
                  <c:v>21.09.24</c:v>
                </c:pt>
                <c:pt idx="18">
                  <c:v>23.09.24</c:v>
                </c:pt>
                <c:pt idx="19">
                  <c:v>24.09.24</c:v>
                </c:pt>
                <c:pt idx="20">
                  <c:v>25.09.24</c:v>
                </c:pt>
                <c:pt idx="21">
                  <c:v>26.09.24</c:v>
                </c:pt>
                <c:pt idx="22">
                  <c:v>27.09.24</c:v>
                </c:pt>
                <c:pt idx="23">
                  <c:v>28.09.24</c:v>
                </c:pt>
                <c:pt idx="24">
                  <c:v>30.09.24</c:v>
                </c:pt>
                <c:pt idx="25">
                  <c:v>01.10.24</c:v>
                </c:pt>
                <c:pt idx="26">
                  <c:v>02.10.24</c:v>
                </c:pt>
                <c:pt idx="27">
                  <c:v>03.10.24</c:v>
                </c:pt>
                <c:pt idx="28">
                  <c:v>04.10.24</c:v>
                </c:pt>
                <c:pt idx="29">
                  <c:v>05.10.24</c:v>
                </c:pt>
                <c:pt idx="30">
                  <c:v>07.10.24</c:v>
                </c:pt>
                <c:pt idx="31">
                  <c:v>08.10.24</c:v>
                </c:pt>
                <c:pt idx="32">
                  <c:v>09.10.24</c:v>
                </c:pt>
                <c:pt idx="33">
                  <c:v>10.10.24</c:v>
                </c:pt>
                <c:pt idx="34">
                  <c:v>11.10.24</c:v>
                </c:pt>
                <c:pt idx="35">
                  <c:v>12.10.24</c:v>
                </c:pt>
                <c:pt idx="36">
                  <c:v>14.10.24</c:v>
                </c:pt>
                <c:pt idx="37">
                  <c:v>15.10.24</c:v>
                </c:pt>
                <c:pt idx="38">
                  <c:v>16.10.24</c:v>
                </c:pt>
                <c:pt idx="39">
                  <c:v>17.10.24</c:v>
                </c:pt>
                <c:pt idx="40">
                  <c:v>18.10.24</c:v>
                </c:pt>
                <c:pt idx="41">
                  <c:v>19.10.24</c:v>
                </c:pt>
                <c:pt idx="42">
                  <c:v>21.10.24</c:v>
                </c:pt>
                <c:pt idx="43">
                  <c:v>22.10.24</c:v>
                </c:pt>
                <c:pt idx="44">
                  <c:v>23.10.24</c:v>
                </c:pt>
                <c:pt idx="45">
                  <c:v>24.10.24</c:v>
                </c:pt>
                <c:pt idx="46">
                  <c:v>25.10.24</c:v>
                </c:pt>
                <c:pt idx="47">
                  <c:v>26.10.24</c:v>
                </c:pt>
                <c:pt idx="48">
                  <c:v>28.10.24</c:v>
                </c:pt>
                <c:pt idx="49">
                  <c:v>29.10.24</c:v>
                </c:pt>
                <c:pt idx="50">
                  <c:v>30.10.24</c:v>
                </c:pt>
                <c:pt idx="51">
                  <c:v>31.10.24</c:v>
                </c:pt>
                <c:pt idx="52">
                  <c:v>04.11.24</c:v>
                </c:pt>
                <c:pt idx="53">
                  <c:v>05.11.24</c:v>
                </c:pt>
                <c:pt idx="54">
                  <c:v>06.11.24</c:v>
                </c:pt>
                <c:pt idx="55">
                  <c:v>07.11.24</c:v>
                </c:pt>
                <c:pt idx="56">
                  <c:v>08.11.24</c:v>
                </c:pt>
                <c:pt idx="57">
                  <c:v>09.11.24</c:v>
                </c:pt>
                <c:pt idx="58">
                  <c:v>11.11.24</c:v>
                </c:pt>
                <c:pt idx="59">
                  <c:v>12.11.24</c:v>
                </c:pt>
                <c:pt idx="60">
                  <c:v>13.11.24</c:v>
                </c:pt>
                <c:pt idx="61">
                  <c:v>14.11.24</c:v>
                </c:pt>
                <c:pt idx="62">
                  <c:v>15.11.24</c:v>
                </c:pt>
                <c:pt idx="63">
                  <c:v>16.11.24</c:v>
                </c:pt>
                <c:pt idx="64">
                  <c:v>18.11.24</c:v>
                </c:pt>
                <c:pt idx="65">
                  <c:v>19.11.24</c:v>
                </c:pt>
                <c:pt idx="66">
                  <c:v>20.11.24</c:v>
                </c:pt>
                <c:pt idx="67">
                  <c:v>21.11.24</c:v>
                </c:pt>
                <c:pt idx="68">
                  <c:v>22.11.24</c:v>
                </c:pt>
                <c:pt idx="69">
                  <c:v>23.11.24</c:v>
                </c:pt>
                <c:pt idx="70">
                  <c:v>25.11.24</c:v>
                </c:pt>
                <c:pt idx="71">
                  <c:v>26.11.24</c:v>
                </c:pt>
                <c:pt idx="72">
                  <c:v>27.11.24</c:v>
                </c:pt>
                <c:pt idx="73">
                  <c:v>28.11.24</c:v>
                </c:pt>
                <c:pt idx="74">
                  <c:v>29.11.24</c:v>
                </c:pt>
                <c:pt idx="75">
                  <c:v>30.11.24</c:v>
                </c:pt>
                <c:pt idx="76">
                  <c:v>02.12.24</c:v>
                </c:pt>
                <c:pt idx="77">
                  <c:v>03.12.24</c:v>
                </c:pt>
                <c:pt idx="78">
                  <c:v>04.12.24</c:v>
                </c:pt>
                <c:pt idx="79">
                  <c:v>05.12.24</c:v>
                </c:pt>
                <c:pt idx="80">
                  <c:v>06.12.24</c:v>
                </c:pt>
                <c:pt idx="81">
                  <c:v>07.12.24</c:v>
                </c:pt>
                <c:pt idx="82">
                  <c:v>09.12.24</c:v>
                </c:pt>
                <c:pt idx="83">
                  <c:v>10.12.24</c:v>
                </c:pt>
                <c:pt idx="84">
                  <c:v>11.12.24</c:v>
                </c:pt>
                <c:pt idx="85">
                  <c:v>12.12.24</c:v>
                </c:pt>
                <c:pt idx="86">
                  <c:v>13.12.24</c:v>
                </c:pt>
                <c:pt idx="87">
                  <c:v>14.12.24</c:v>
                </c:pt>
                <c:pt idx="88">
                  <c:v>16.12.24</c:v>
                </c:pt>
                <c:pt idx="89">
                  <c:v>17.12.24</c:v>
                </c:pt>
                <c:pt idx="90">
                  <c:v>18.12.24</c:v>
                </c:pt>
                <c:pt idx="91">
                  <c:v>19.12.24</c:v>
                </c:pt>
                <c:pt idx="92">
                  <c:v>20.12.24</c:v>
                </c:pt>
                <c:pt idx="93">
                  <c:v>21.12.24</c:v>
                </c:pt>
                <c:pt idx="94">
                  <c:v>23.12.24</c:v>
                </c:pt>
                <c:pt idx="95">
                  <c:v>24.12.24</c:v>
                </c:pt>
                <c:pt idx="96">
                  <c:v>25.12.24</c:v>
                </c:pt>
                <c:pt idx="97">
                  <c:v>26.12.24</c:v>
                </c:pt>
                <c:pt idx="98">
                  <c:v>27.12.24</c:v>
                </c:pt>
                <c:pt idx="99">
                  <c:v>28.12.24</c:v>
                </c:pt>
                <c:pt idx="100">
                  <c:v>30.12.24</c:v>
                </c:pt>
                <c:pt idx="101">
                  <c:v>31.12.24</c:v>
                </c:pt>
                <c:pt idx="102">
                  <c:v>01.01.25</c:v>
                </c:pt>
                <c:pt idx="103">
                  <c:v>02.01.25</c:v>
                </c:pt>
                <c:pt idx="104">
                  <c:v>03.01.25</c:v>
                </c:pt>
                <c:pt idx="105">
                  <c:v>04.01.25</c:v>
                </c:pt>
                <c:pt idx="106">
                  <c:v>08.01.25</c:v>
                </c:pt>
                <c:pt idx="107">
                  <c:v>09.01.25</c:v>
                </c:pt>
                <c:pt idx="108">
                  <c:v>10.01.25</c:v>
                </c:pt>
                <c:pt idx="109">
                  <c:v>11.01.25</c:v>
                </c:pt>
                <c:pt idx="110">
                  <c:v>13.01.25</c:v>
                </c:pt>
                <c:pt idx="111">
                  <c:v>15.01.25</c:v>
                </c:pt>
                <c:pt idx="112">
                  <c:v>16.01.25</c:v>
                </c:pt>
                <c:pt idx="113">
                  <c:v>17.01.25</c:v>
                </c:pt>
                <c:pt idx="114">
                  <c:v>18.01.25</c:v>
                </c:pt>
                <c:pt idx="115">
                  <c:v>20.01.25</c:v>
                </c:pt>
                <c:pt idx="116">
                  <c:v>21.01.25</c:v>
                </c:pt>
                <c:pt idx="117">
                  <c:v>22.01.25</c:v>
                </c:pt>
                <c:pt idx="118">
                  <c:v>23.01.25</c:v>
                </c:pt>
                <c:pt idx="119">
                  <c:v>24.01.25</c:v>
                </c:pt>
                <c:pt idx="120">
                  <c:v>25.01.25</c:v>
                </c:pt>
                <c:pt idx="121">
                  <c:v>27.01.25</c:v>
                </c:pt>
                <c:pt idx="122">
                  <c:v>28.01.25</c:v>
                </c:pt>
                <c:pt idx="123">
                  <c:v>29.01.25</c:v>
                </c:pt>
                <c:pt idx="124">
                  <c:v>30.01.25</c:v>
                </c:pt>
                <c:pt idx="125">
                  <c:v>31.01.25</c:v>
                </c:pt>
                <c:pt idx="126">
                  <c:v>01.02.25</c:v>
                </c:pt>
                <c:pt idx="127">
                  <c:v>03.02.25</c:v>
                </c:pt>
                <c:pt idx="128">
                  <c:v>04.02.25</c:v>
                </c:pt>
                <c:pt idx="129">
                  <c:v>05.02.25</c:v>
                </c:pt>
                <c:pt idx="130">
                  <c:v>06.02.25</c:v>
                </c:pt>
                <c:pt idx="131">
                  <c:v>07.02.25</c:v>
                </c:pt>
                <c:pt idx="132">
                  <c:v>08.02.25</c:v>
                </c:pt>
                <c:pt idx="133">
                  <c:v>10.02.25</c:v>
                </c:pt>
                <c:pt idx="134">
                  <c:v>11.02.25</c:v>
                </c:pt>
                <c:pt idx="135">
                  <c:v>12.02.25</c:v>
                </c:pt>
                <c:pt idx="136">
                  <c:v>13.02.25</c:v>
                </c:pt>
                <c:pt idx="137">
                  <c:v>14.02.25</c:v>
                </c:pt>
                <c:pt idx="138">
                  <c:v>15.02.25</c:v>
                </c:pt>
                <c:pt idx="139">
                  <c:v>17.02.25</c:v>
                </c:pt>
                <c:pt idx="140">
                  <c:v>18.02.25</c:v>
                </c:pt>
                <c:pt idx="141">
                  <c:v>19.02.25</c:v>
                </c:pt>
                <c:pt idx="142">
                  <c:v>20.02.25</c:v>
                </c:pt>
                <c:pt idx="143">
                  <c:v>21.02.25</c:v>
                </c:pt>
                <c:pt idx="144">
                  <c:v>22.02.25</c:v>
                </c:pt>
                <c:pt idx="145">
                  <c:v>24.02.25</c:v>
                </c:pt>
                <c:pt idx="146">
                  <c:v>25.02.25</c:v>
                </c:pt>
                <c:pt idx="147">
                  <c:v>27.02.25</c:v>
                </c:pt>
                <c:pt idx="148">
                  <c:v>28.02.25</c:v>
                </c:pt>
                <c:pt idx="149">
                  <c:v>01.03.25</c:v>
                </c:pt>
                <c:pt idx="150">
                  <c:v>03.03.25</c:v>
                </c:pt>
                <c:pt idx="151">
                  <c:v>04.03.25</c:v>
                </c:pt>
                <c:pt idx="152">
                  <c:v>05.03.25</c:v>
                </c:pt>
                <c:pt idx="153">
                  <c:v>06.03.25</c:v>
                </c:pt>
                <c:pt idx="154">
                  <c:v>07.03.25</c:v>
                </c:pt>
                <c:pt idx="155">
                  <c:v>08.03.25</c:v>
                </c:pt>
                <c:pt idx="156">
                  <c:v>10.03.25</c:v>
                </c:pt>
                <c:pt idx="157">
                  <c:v>11.03.25</c:v>
                </c:pt>
                <c:pt idx="158">
                  <c:v>12.03.25</c:v>
                </c:pt>
                <c:pt idx="159">
                  <c:v>13.03.25</c:v>
                </c:pt>
                <c:pt idx="160">
                  <c:v>15.03.25</c:v>
                </c:pt>
                <c:pt idx="161">
                  <c:v>17.03.25</c:v>
                </c:pt>
                <c:pt idx="162">
                  <c:v>18.03.25</c:v>
                </c:pt>
                <c:pt idx="163">
                  <c:v>19.03.25</c:v>
                </c:pt>
                <c:pt idx="164">
                  <c:v>20.03.25</c:v>
                </c:pt>
                <c:pt idx="165">
                  <c:v>21.03.25</c:v>
                </c:pt>
                <c:pt idx="166">
                  <c:v>22.03.25</c:v>
                </c:pt>
                <c:pt idx="167">
                  <c:v>24.03.25</c:v>
                </c:pt>
                <c:pt idx="168">
                  <c:v>25.03.25</c:v>
                </c:pt>
                <c:pt idx="169">
                  <c:v>26.03.25</c:v>
                </c:pt>
                <c:pt idx="170">
                  <c:v>27.03.25</c:v>
                </c:pt>
                <c:pt idx="171">
                  <c:v>28.03.25</c:v>
                </c:pt>
                <c:pt idx="172">
                  <c:v>29.03.25</c:v>
                </c:pt>
                <c:pt idx="173">
                  <c:v>31.03.25</c:v>
                </c:pt>
                <c:pt idx="174">
                  <c:v>01.04.25</c:v>
                </c:pt>
                <c:pt idx="175">
                  <c:v>02.04.25</c:v>
                </c:pt>
                <c:pt idx="176">
                  <c:v>03.04.25</c:v>
                </c:pt>
                <c:pt idx="177">
                  <c:v>04.04.25</c:v>
                </c:pt>
                <c:pt idx="178">
                  <c:v>05.04.25</c:v>
                </c:pt>
                <c:pt idx="179">
                  <c:v>07.04.25</c:v>
                </c:pt>
                <c:pt idx="180">
                  <c:v>08.04.25</c:v>
                </c:pt>
                <c:pt idx="181">
                  <c:v>09.04.25</c:v>
                </c:pt>
                <c:pt idx="182">
                  <c:v>10.04.25</c:v>
                </c:pt>
                <c:pt idx="183">
                  <c:v>11.04.25</c:v>
                </c:pt>
                <c:pt idx="184">
                  <c:v>12.04.25</c:v>
                </c:pt>
                <c:pt idx="185">
                  <c:v>14.04.25</c:v>
                </c:pt>
                <c:pt idx="186">
                  <c:v>15.04.25</c:v>
                </c:pt>
                <c:pt idx="187">
                  <c:v>16.04.25</c:v>
                </c:pt>
                <c:pt idx="188">
                  <c:v>17.04.25</c:v>
                </c:pt>
                <c:pt idx="189">
                  <c:v>18.04.25</c:v>
                </c:pt>
                <c:pt idx="190">
                  <c:v>19.04.25</c:v>
                </c:pt>
                <c:pt idx="191">
                  <c:v>21.04.25</c:v>
                </c:pt>
                <c:pt idx="192">
                  <c:v>22.04.25</c:v>
                </c:pt>
                <c:pt idx="193">
                  <c:v>23.04.25</c:v>
                </c:pt>
                <c:pt idx="194">
                  <c:v>24.04.25</c:v>
                </c:pt>
                <c:pt idx="195">
                  <c:v>25.04.25</c:v>
                </c:pt>
                <c:pt idx="196">
                  <c:v>26.04.25</c:v>
                </c:pt>
                <c:pt idx="197">
                  <c:v>28.04.25</c:v>
                </c:pt>
                <c:pt idx="198">
                  <c:v>29.04.25</c:v>
                </c:pt>
                <c:pt idx="199">
                  <c:v>30.04.25</c:v>
                </c:pt>
                <c:pt idx="200">
                  <c:v>01.05.25</c:v>
                </c:pt>
                <c:pt idx="201">
                  <c:v>02.05.25</c:v>
                </c:pt>
                <c:pt idx="202">
                  <c:v>03.05.25</c:v>
                </c:pt>
                <c:pt idx="203">
                  <c:v>05.05.25</c:v>
                </c:pt>
                <c:pt idx="204">
                  <c:v>06.05.25</c:v>
                </c:pt>
                <c:pt idx="205">
                  <c:v>07.05.25</c:v>
                </c:pt>
                <c:pt idx="206">
                  <c:v>08.05.25</c:v>
                </c:pt>
                <c:pt idx="207">
                  <c:v>09.05.25</c:v>
                </c:pt>
                <c:pt idx="208">
                  <c:v>10.05.25</c:v>
                </c:pt>
                <c:pt idx="209">
                  <c:v>12.05.25</c:v>
                </c:pt>
                <c:pt idx="210">
                  <c:v>13.05.25</c:v>
                </c:pt>
                <c:pt idx="211">
                  <c:v>14.05.25</c:v>
                </c:pt>
                <c:pt idx="212">
                  <c:v>15.05.25</c:v>
                </c:pt>
                <c:pt idx="213">
                  <c:v>16.05.25</c:v>
                </c:pt>
                <c:pt idx="214">
                  <c:v>17.05.25</c:v>
                </c:pt>
                <c:pt idx="215">
                  <c:v>19.05.25</c:v>
                </c:pt>
                <c:pt idx="216">
                  <c:v>20.05.25</c:v>
                </c:pt>
                <c:pt idx="217">
                  <c:v>21.05.25</c:v>
                </c:pt>
                <c:pt idx="218">
                  <c:v>22.05.25</c:v>
                </c:pt>
                <c:pt idx="219">
                  <c:v>23.05.25</c:v>
                </c:pt>
                <c:pt idx="220">
                  <c:v>24.05.25</c:v>
                </c:pt>
                <c:pt idx="221">
                  <c:v>26.05.25</c:v>
                </c:pt>
                <c:pt idx="222">
                  <c:v>27.05.25</c:v>
                </c:pt>
                <c:pt idx="223">
                  <c:v>28.05.25</c:v>
                </c:pt>
                <c:pt idx="224">
                  <c:v>29.05.25</c:v>
                </c:pt>
                <c:pt idx="225">
                  <c:v>30.05.25</c:v>
                </c:pt>
                <c:pt idx="226">
                  <c:v>31.05.25</c:v>
                </c:pt>
                <c:pt idx="227">
                  <c:v>02.06.25</c:v>
                </c:pt>
                <c:pt idx="228">
                  <c:v>03.06.25</c:v>
                </c:pt>
                <c:pt idx="229">
                  <c:v>04.06.25</c:v>
                </c:pt>
                <c:pt idx="230">
                  <c:v>05.06.25</c:v>
                </c:pt>
                <c:pt idx="231">
                  <c:v>06.06.25</c:v>
                </c:pt>
                <c:pt idx="232">
                  <c:v>07.06.25</c:v>
                </c:pt>
                <c:pt idx="233">
                  <c:v>09.06.25</c:v>
                </c:pt>
                <c:pt idx="234">
                  <c:v>10.06.25</c:v>
                </c:pt>
                <c:pt idx="235">
                  <c:v>11.06.25</c:v>
                </c:pt>
                <c:pt idx="236">
                  <c:v>12.06.25</c:v>
                </c:pt>
                <c:pt idx="237">
                  <c:v>13.06.25</c:v>
                </c:pt>
                <c:pt idx="238">
                  <c:v>14.06.25</c:v>
                </c:pt>
                <c:pt idx="239">
                  <c:v>16.06.25</c:v>
                </c:pt>
                <c:pt idx="240">
                  <c:v>17.06.25</c:v>
                </c:pt>
                <c:pt idx="241">
                  <c:v>18.06.25</c:v>
                </c:pt>
                <c:pt idx="242">
                  <c:v>19.06.25</c:v>
                </c:pt>
                <c:pt idx="243">
                  <c:v>20.06.25</c:v>
                </c:pt>
                <c:pt idx="244">
                  <c:v>21.06.25</c:v>
                </c:pt>
                <c:pt idx="245">
                  <c:v>23.06.25</c:v>
                </c:pt>
                <c:pt idx="246">
                  <c:v>24.06.25</c:v>
                </c:pt>
                <c:pt idx="247">
                  <c:v>25.06.25</c:v>
                </c:pt>
                <c:pt idx="248">
                  <c:v>26.06.25</c:v>
                </c:pt>
                <c:pt idx="249">
                  <c:v>27.06.25</c:v>
                </c:pt>
                <c:pt idx="250">
                  <c:v>28.06.25</c:v>
                </c:pt>
                <c:pt idx="251">
                  <c:v>30.06.25</c:v>
                </c:pt>
                <c:pt idx="252">
                  <c:v>01.07.25</c:v>
                </c:pt>
                <c:pt idx="253">
                  <c:v>02.07.25</c:v>
                </c:pt>
                <c:pt idx="254">
                  <c:v>03.07.25</c:v>
                </c:pt>
                <c:pt idx="255">
                  <c:v>04.07.25</c:v>
                </c:pt>
                <c:pt idx="256">
                  <c:v>05.07.25</c:v>
                </c:pt>
                <c:pt idx="257">
                  <c:v>07.07.25</c:v>
                </c:pt>
                <c:pt idx="258">
                  <c:v>08.07.25</c:v>
                </c:pt>
                <c:pt idx="259">
                  <c:v>09.07.25</c:v>
                </c:pt>
                <c:pt idx="260">
                  <c:v>10.07.25</c:v>
                </c:pt>
                <c:pt idx="261">
                  <c:v>11.07.25</c:v>
                </c:pt>
                <c:pt idx="262">
                  <c:v>12.07.25</c:v>
                </c:pt>
                <c:pt idx="263">
                  <c:v>14.07.25</c:v>
                </c:pt>
                <c:pt idx="264">
                  <c:v>15.07.25</c:v>
                </c:pt>
                <c:pt idx="265">
                  <c:v>16.07.25</c:v>
                </c:pt>
                <c:pt idx="266">
                  <c:v>17.07.25</c:v>
                </c:pt>
                <c:pt idx="267">
                  <c:v>18.07.25</c:v>
                </c:pt>
                <c:pt idx="268">
                  <c:v>19.07.25</c:v>
                </c:pt>
                <c:pt idx="269">
                  <c:v>21.07.25</c:v>
                </c:pt>
                <c:pt idx="270">
                  <c:v>22.07.25</c:v>
                </c:pt>
                <c:pt idx="271">
                  <c:v>23.07.25</c:v>
                </c:pt>
                <c:pt idx="272">
                  <c:v>24.07.25</c:v>
                </c:pt>
                <c:pt idx="273">
                  <c:v>25.07.25</c:v>
                </c:pt>
                <c:pt idx="274">
                  <c:v>26.07.25</c:v>
                </c:pt>
                <c:pt idx="275">
                  <c:v>28.07.25</c:v>
                </c:pt>
                <c:pt idx="276">
                  <c:v>29.07.25</c:v>
                </c:pt>
                <c:pt idx="277">
                  <c:v>30.07.25</c:v>
                </c:pt>
                <c:pt idx="278">
                  <c:v>31.07.25</c:v>
                </c:pt>
                <c:pt idx="279">
                  <c:v>01.08.25</c:v>
                </c:pt>
                <c:pt idx="280">
                  <c:v>02.08.25</c:v>
                </c:pt>
                <c:pt idx="281">
                  <c:v>04.08.25</c:v>
                </c:pt>
                <c:pt idx="282">
                  <c:v>05.08.25</c:v>
                </c:pt>
                <c:pt idx="283">
                  <c:v>06.08.25</c:v>
                </c:pt>
                <c:pt idx="284">
                  <c:v>07.08.25</c:v>
                </c:pt>
                <c:pt idx="285">
                  <c:v>08.08.25</c:v>
                </c:pt>
                <c:pt idx="286">
                  <c:v>11.08.25</c:v>
                </c:pt>
                <c:pt idx="287">
                  <c:v>12.08.25</c:v>
                </c:pt>
                <c:pt idx="288">
                  <c:v>13.08.25</c:v>
                </c:pt>
                <c:pt idx="289">
                  <c:v>14.08.25</c:v>
                </c:pt>
                <c:pt idx="290">
                  <c:v>15.08.25</c:v>
                </c:pt>
                <c:pt idx="291">
                  <c:v>18.08.25</c:v>
                </c:pt>
                <c:pt idx="292">
                  <c:v>19.08.25</c:v>
                </c:pt>
                <c:pt idx="293">
                  <c:v>20.08.25</c:v>
                </c:pt>
                <c:pt idx="294">
                  <c:v>21.08.25</c:v>
                </c:pt>
                <c:pt idx="295">
                  <c:v>22.08.25</c:v>
                </c:pt>
                <c:pt idx="296">
                  <c:v>23.08.25</c:v>
                </c:pt>
                <c:pt idx="297">
                  <c:v>26.08.25</c:v>
                </c:pt>
                <c:pt idx="298">
                  <c:v>27.08.25</c:v>
                </c:pt>
                <c:pt idx="299">
                  <c:v>28.08.25</c:v>
                </c:pt>
                <c:pt idx="300">
                  <c:v>29.08.25</c:v>
                </c:pt>
              </c:strCache>
            </c:strRef>
          </c:cat>
          <c:val>
            <c:numRef>
              <c:f>'ECH CT PH Process'!$F$5:$F$309</c:f>
              <c:numCache>
                <c:formatCode>General</c:formatCode>
                <c:ptCount val="305"/>
                <c:pt idx="1">
                  <c:v>1313</c:v>
                </c:pt>
                <c:pt idx="2">
                  <c:v>1291</c:v>
                </c:pt>
                <c:pt idx="3">
                  <c:v>1194</c:v>
                </c:pt>
                <c:pt idx="4">
                  <c:v>1102</c:v>
                </c:pt>
                <c:pt idx="5">
                  <c:v>1044</c:v>
                </c:pt>
                <c:pt idx="6">
                  <c:v>1077</c:v>
                </c:pt>
                <c:pt idx="7" formatCode="0">
                  <c:v>1041</c:v>
                </c:pt>
                <c:pt idx="8">
                  <c:v>1020</c:v>
                </c:pt>
                <c:pt idx="9">
                  <c:v>970</c:v>
                </c:pt>
                <c:pt idx="10">
                  <c:v>1004</c:v>
                </c:pt>
                <c:pt idx="11">
                  <c:v>1014</c:v>
                </c:pt>
                <c:pt idx="12">
                  <c:v>1132</c:v>
                </c:pt>
                <c:pt idx="13">
                  <c:v>1140</c:v>
                </c:pt>
                <c:pt idx="14">
                  <c:v>1094</c:v>
                </c:pt>
                <c:pt idx="15">
                  <c:v>1073</c:v>
                </c:pt>
                <c:pt idx="16">
                  <c:v>1064</c:v>
                </c:pt>
                <c:pt idx="17">
                  <c:v>1053</c:v>
                </c:pt>
                <c:pt idx="18">
                  <c:v>1040</c:v>
                </c:pt>
                <c:pt idx="19">
                  <c:v>1014</c:v>
                </c:pt>
                <c:pt idx="20">
                  <c:v>1033</c:v>
                </c:pt>
                <c:pt idx="21">
                  <c:v>1030</c:v>
                </c:pt>
                <c:pt idx="22">
                  <c:v>1041</c:v>
                </c:pt>
                <c:pt idx="23">
                  <c:v>1164</c:v>
                </c:pt>
                <c:pt idx="24">
                  <c:v>1149</c:v>
                </c:pt>
                <c:pt idx="25">
                  <c:v>1179</c:v>
                </c:pt>
                <c:pt idx="26">
                  <c:v>1164</c:v>
                </c:pt>
                <c:pt idx="27">
                  <c:v>1088</c:v>
                </c:pt>
                <c:pt idx="28">
                  <c:v>1097</c:v>
                </c:pt>
                <c:pt idx="29">
                  <c:v>1089</c:v>
                </c:pt>
                <c:pt idx="30">
                  <c:v>1124</c:v>
                </c:pt>
                <c:pt idx="31">
                  <c:v>1119</c:v>
                </c:pt>
                <c:pt idx="32" formatCode="0">
                  <c:v>1184</c:v>
                </c:pt>
                <c:pt idx="33">
                  <c:v>1176</c:v>
                </c:pt>
                <c:pt idx="34">
                  <c:v>1208</c:v>
                </c:pt>
                <c:pt idx="35">
                  <c:v>1219</c:v>
                </c:pt>
                <c:pt idx="36">
                  <c:v>1269</c:v>
                </c:pt>
                <c:pt idx="37">
                  <c:v>1234</c:v>
                </c:pt>
                <c:pt idx="38">
                  <c:v>1104</c:v>
                </c:pt>
                <c:pt idx="39">
                  <c:v>1014</c:v>
                </c:pt>
                <c:pt idx="40">
                  <c:v>1009</c:v>
                </c:pt>
                <c:pt idx="41">
                  <c:v>1007</c:v>
                </c:pt>
                <c:pt idx="42">
                  <c:v>1074</c:v>
                </c:pt>
                <c:pt idx="43">
                  <c:v>1201</c:v>
                </c:pt>
                <c:pt idx="44">
                  <c:v>1211</c:v>
                </c:pt>
                <c:pt idx="45">
                  <c:v>1238</c:v>
                </c:pt>
                <c:pt idx="46">
                  <c:v>1185</c:v>
                </c:pt>
                <c:pt idx="47">
                  <c:v>1200</c:v>
                </c:pt>
                <c:pt idx="48">
                  <c:v>1108</c:v>
                </c:pt>
                <c:pt idx="49">
                  <c:v>1100</c:v>
                </c:pt>
                <c:pt idx="50">
                  <c:v>1119</c:v>
                </c:pt>
                <c:pt idx="51">
                  <c:v>1030</c:v>
                </c:pt>
                <c:pt idx="52">
                  <c:v>960</c:v>
                </c:pt>
                <c:pt idx="53">
                  <c:v>925</c:v>
                </c:pt>
                <c:pt idx="54">
                  <c:v>935</c:v>
                </c:pt>
                <c:pt idx="55">
                  <c:v>955</c:v>
                </c:pt>
                <c:pt idx="56">
                  <c:v>925</c:v>
                </c:pt>
                <c:pt idx="57">
                  <c:v>886</c:v>
                </c:pt>
                <c:pt idx="58">
                  <c:v>873</c:v>
                </c:pt>
                <c:pt idx="59" formatCode="0">
                  <c:v>885</c:v>
                </c:pt>
                <c:pt idx="60">
                  <c:v>910</c:v>
                </c:pt>
                <c:pt idx="61">
                  <c:v>943</c:v>
                </c:pt>
                <c:pt idx="62">
                  <c:v>958</c:v>
                </c:pt>
                <c:pt idx="63">
                  <c:v>973</c:v>
                </c:pt>
                <c:pt idx="64">
                  <c:v>1014</c:v>
                </c:pt>
                <c:pt idx="65">
                  <c:v>885</c:v>
                </c:pt>
                <c:pt idx="66">
                  <c:v>939</c:v>
                </c:pt>
                <c:pt idx="67">
                  <c:v>804</c:v>
                </c:pt>
                <c:pt idx="68">
                  <c:v>776</c:v>
                </c:pt>
                <c:pt idx="69">
                  <c:v>801</c:v>
                </c:pt>
                <c:pt idx="70">
                  <c:v>887</c:v>
                </c:pt>
                <c:pt idx="71">
                  <c:v>955</c:v>
                </c:pt>
                <c:pt idx="72">
                  <c:v>925</c:v>
                </c:pt>
                <c:pt idx="73">
                  <c:v>858</c:v>
                </c:pt>
                <c:pt idx="74">
                  <c:v>880</c:v>
                </c:pt>
                <c:pt idx="75">
                  <c:v>850</c:v>
                </c:pt>
                <c:pt idx="76">
                  <c:v>805</c:v>
                </c:pt>
                <c:pt idx="77">
                  <c:v>641</c:v>
                </c:pt>
                <c:pt idx="78">
                  <c:v>613</c:v>
                </c:pt>
                <c:pt idx="79">
                  <c:v>589</c:v>
                </c:pt>
                <c:pt idx="80">
                  <c:v>650</c:v>
                </c:pt>
                <c:pt idx="81">
                  <c:v>687</c:v>
                </c:pt>
                <c:pt idx="82">
                  <c:v>634</c:v>
                </c:pt>
                <c:pt idx="83" formatCode="0">
                  <c:v>653</c:v>
                </c:pt>
                <c:pt idx="84">
                  <c:v>650</c:v>
                </c:pt>
                <c:pt idx="85">
                  <c:v>630</c:v>
                </c:pt>
                <c:pt idx="86">
                  <c:v>671</c:v>
                </c:pt>
                <c:pt idx="87">
                  <c:v>776</c:v>
                </c:pt>
                <c:pt idx="88">
                  <c:v>850</c:v>
                </c:pt>
                <c:pt idx="89">
                  <c:v>731</c:v>
                </c:pt>
                <c:pt idx="90">
                  <c:v>643</c:v>
                </c:pt>
                <c:pt idx="91">
                  <c:v>653</c:v>
                </c:pt>
                <c:pt idx="92">
                  <c:v>668</c:v>
                </c:pt>
                <c:pt idx="93">
                  <c:v>692</c:v>
                </c:pt>
                <c:pt idx="94">
                  <c:v>731</c:v>
                </c:pt>
                <c:pt idx="95">
                  <c:v>749</c:v>
                </c:pt>
                <c:pt idx="96">
                  <c:v>768</c:v>
                </c:pt>
                <c:pt idx="97">
                  <c:v>749</c:v>
                </c:pt>
                <c:pt idx="98">
                  <c:v>764</c:v>
                </c:pt>
                <c:pt idx="99">
                  <c:v>776</c:v>
                </c:pt>
                <c:pt idx="100">
                  <c:v>813</c:v>
                </c:pt>
                <c:pt idx="101">
                  <c:v>682</c:v>
                </c:pt>
                <c:pt idx="102">
                  <c:v>701</c:v>
                </c:pt>
                <c:pt idx="103">
                  <c:v>723</c:v>
                </c:pt>
                <c:pt idx="104">
                  <c:v>701</c:v>
                </c:pt>
                <c:pt idx="105">
                  <c:v>761</c:v>
                </c:pt>
                <c:pt idx="106">
                  <c:v>850</c:v>
                </c:pt>
                <c:pt idx="107">
                  <c:v>720</c:v>
                </c:pt>
                <c:pt idx="108">
                  <c:v>731</c:v>
                </c:pt>
                <c:pt idx="109" formatCode="0">
                  <c:v>677</c:v>
                </c:pt>
                <c:pt idx="110">
                  <c:v>776</c:v>
                </c:pt>
                <c:pt idx="111">
                  <c:v>809</c:v>
                </c:pt>
                <c:pt idx="112">
                  <c:v>826</c:v>
                </c:pt>
                <c:pt idx="113">
                  <c:v>846</c:v>
                </c:pt>
                <c:pt idx="114">
                  <c:v>865</c:v>
                </c:pt>
                <c:pt idx="115">
                  <c:v>955</c:v>
                </c:pt>
                <c:pt idx="116">
                  <c:v>886</c:v>
                </c:pt>
                <c:pt idx="117">
                  <c:v>910</c:v>
                </c:pt>
                <c:pt idx="118">
                  <c:v>935</c:v>
                </c:pt>
                <c:pt idx="119">
                  <c:v>947</c:v>
                </c:pt>
                <c:pt idx="120">
                  <c:v>916</c:v>
                </c:pt>
                <c:pt idx="121">
                  <c:v>866</c:v>
                </c:pt>
                <c:pt idx="122">
                  <c:v>883</c:v>
                </c:pt>
                <c:pt idx="123">
                  <c:v>917</c:v>
                </c:pt>
                <c:pt idx="124">
                  <c:v>895</c:v>
                </c:pt>
                <c:pt idx="125">
                  <c:v>879</c:v>
                </c:pt>
                <c:pt idx="126">
                  <c:v>902</c:v>
                </c:pt>
                <c:pt idx="127">
                  <c:v>885</c:v>
                </c:pt>
                <c:pt idx="128">
                  <c:v>851</c:v>
                </c:pt>
                <c:pt idx="129">
                  <c:v>848</c:v>
                </c:pt>
                <c:pt idx="130">
                  <c:v>870</c:v>
                </c:pt>
                <c:pt idx="131">
                  <c:v>882</c:v>
                </c:pt>
                <c:pt idx="132">
                  <c:v>896</c:v>
                </c:pt>
                <c:pt idx="133" formatCode="0">
                  <c:v>909</c:v>
                </c:pt>
                <c:pt idx="134">
                  <c:v>910</c:v>
                </c:pt>
                <c:pt idx="135">
                  <c:v>880</c:v>
                </c:pt>
                <c:pt idx="136">
                  <c:v>917</c:v>
                </c:pt>
                <c:pt idx="137">
                  <c:v>790</c:v>
                </c:pt>
                <c:pt idx="138">
                  <c:v>855</c:v>
                </c:pt>
                <c:pt idx="139">
                  <c:v>874</c:v>
                </c:pt>
                <c:pt idx="140">
                  <c:v>850</c:v>
                </c:pt>
                <c:pt idx="141">
                  <c:v>879</c:v>
                </c:pt>
                <c:pt idx="142">
                  <c:v>850</c:v>
                </c:pt>
                <c:pt idx="143">
                  <c:v>879</c:v>
                </c:pt>
                <c:pt idx="144">
                  <c:v>925</c:v>
                </c:pt>
                <c:pt idx="145">
                  <c:v>970</c:v>
                </c:pt>
                <c:pt idx="146">
                  <c:v>940</c:v>
                </c:pt>
                <c:pt idx="147">
                  <c:v>943</c:v>
                </c:pt>
                <c:pt idx="148">
                  <c:v>994</c:v>
                </c:pt>
                <c:pt idx="149">
                  <c:v>955</c:v>
                </c:pt>
                <c:pt idx="150">
                  <c:v>925</c:v>
                </c:pt>
                <c:pt idx="151">
                  <c:v>962</c:v>
                </c:pt>
                <c:pt idx="152">
                  <c:v>925</c:v>
                </c:pt>
                <c:pt idx="153">
                  <c:v>960</c:v>
                </c:pt>
                <c:pt idx="154">
                  <c:v>655</c:v>
                </c:pt>
                <c:pt idx="155">
                  <c:v>671</c:v>
                </c:pt>
                <c:pt idx="156" formatCode="0">
                  <c:v>644</c:v>
                </c:pt>
                <c:pt idx="157">
                  <c:v>629</c:v>
                </c:pt>
                <c:pt idx="158">
                  <c:v>604</c:v>
                </c:pt>
                <c:pt idx="159">
                  <c:v>701</c:v>
                </c:pt>
                <c:pt idx="160">
                  <c:v>679</c:v>
                </c:pt>
                <c:pt idx="161">
                  <c:v>628</c:v>
                </c:pt>
                <c:pt idx="162">
                  <c:v>619</c:v>
                </c:pt>
                <c:pt idx="163">
                  <c:v>661</c:v>
                </c:pt>
                <c:pt idx="164">
                  <c:v>619</c:v>
                </c:pt>
                <c:pt idx="165">
                  <c:v>639</c:v>
                </c:pt>
                <c:pt idx="166">
                  <c:v>650</c:v>
                </c:pt>
                <c:pt idx="167">
                  <c:v>635</c:v>
                </c:pt>
                <c:pt idx="168">
                  <c:v>652</c:v>
                </c:pt>
                <c:pt idx="169">
                  <c:v>700</c:v>
                </c:pt>
                <c:pt idx="170">
                  <c:v>716</c:v>
                </c:pt>
                <c:pt idx="171">
                  <c:v>722</c:v>
                </c:pt>
                <c:pt idx="172">
                  <c:v>698</c:v>
                </c:pt>
                <c:pt idx="173">
                  <c:v>696</c:v>
                </c:pt>
                <c:pt idx="174">
                  <c:v>80</c:v>
                </c:pt>
                <c:pt idx="175">
                  <c:v>704</c:v>
                </c:pt>
                <c:pt idx="176">
                  <c:v>716</c:v>
                </c:pt>
                <c:pt idx="177">
                  <c:v>742</c:v>
                </c:pt>
                <c:pt idx="178">
                  <c:v>783</c:v>
                </c:pt>
                <c:pt idx="179">
                  <c:v>794</c:v>
                </c:pt>
                <c:pt idx="180">
                  <c:v>768</c:v>
                </c:pt>
                <c:pt idx="181" formatCode="0">
                  <c:v>782</c:v>
                </c:pt>
                <c:pt idx="182">
                  <c:v>837</c:v>
                </c:pt>
                <c:pt idx="183">
                  <c:v>859</c:v>
                </c:pt>
                <c:pt idx="184">
                  <c:v>822</c:v>
                </c:pt>
                <c:pt idx="185">
                  <c:v>822</c:v>
                </c:pt>
                <c:pt idx="186">
                  <c:v>838</c:v>
                </c:pt>
                <c:pt idx="187">
                  <c:v>862</c:v>
                </c:pt>
                <c:pt idx="188">
                  <c:v>952</c:v>
                </c:pt>
                <c:pt idx="189">
                  <c:v>910</c:v>
                </c:pt>
                <c:pt idx="190">
                  <c:v>1026</c:v>
                </c:pt>
                <c:pt idx="191">
                  <c:v>805</c:v>
                </c:pt>
                <c:pt idx="192">
                  <c:v>828</c:v>
                </c:pt>
                <c:pt idx="193">
                  <c:v>885</c:v>
                </c:pt>
                <c:pt idx="194">
                  <c:v>817</c:v>
                </c:pt>
                <c:pt idx="195">
                  <c:v>835</c:v>
                </c:pt>
                <c:pt idx="196">
                  <c:v>804</c:v>
                </c:pt>
                <c:pt idx="197">
                  <c:v>817</c:v>
                </c:pt>
                <c:pt idx="198">
                  <c:v>841</c:v>
                </c:pt>
                <c:pt idx="199">
                  <c:v>1014</c:v>
                </c:pt>
                <c:pt idx="200">
                  <c:v>1002</c:v>
                </c:pt>
                <c:pt idx="201">
                  <c:v>1037</c:v>
                </c:pt>
                <c:pt idx="202">
                  <c:v>1048</c:v>
                </c:pt>
                <c:pt idx="203">
                  <c:v>1080</c:v>
                </c:pt>
                <c:pt idx="204">
                  <c:v>1010</c:v>
                </c:pt>
                <c:pt idx="205">
                  <c:v>1029</c:v>
                </c:pt>
                <c:pt idx="206">
                  <c:v>940</c:v>
                </c:pt>
                <c:pt idx="207" formatCode="0">
                  <c:v>958</c:v>
                </c:pt>
                <c:pt idx="208">
                  <c:v>1028</c:v>
                </c:pt>
                <c:pt idx="209">
                  <c:v>1000</c:v>
                </c:pt>
                <c:pt idx="210">
                  <c:v>1020</c:v>
                </c:pt>
                <c:pt idx="211">
                  <c:v>1000</c:v>
                </c:pt>
                <c:pt idx="212">
                  <c:v>987</c:v>
                </c:pt>
                <c:pt idx="213">
                  <c:v>1019</c:v>
                </c:pt>
                <c:pt idx="214">
                  <c:v>1038</c:v>
                </c:pt>
                <c:pt idx="215">
                  <c:v>970</c:v>
                </c:pt>
                <c:pt idx="216">
                  <c:v>973</c:v>
                </c:pt>
                <c:pt idx="217">
                  <c:v>886</c:v>
                </c:pt>
                <c:pt idx="218">
                  <c:v>817</c:v>
                </c:pt>
                <c:pt idx="219">
                  <c:v>790</c:v>
                </c:pt>
                <c:pt idx="220">
                  <c:v>844</c:v>
                </c:pt>
                <c:pt idx="221">
                  <c:v>759</c:v>
                </c:pt>
                <c:pt idx="222">
                  <c:v>860</c:v>
                </c:pt>
                <c:pt idx="223">
                  <c:v>854</c:v>
                </c:pt>
                <c:pt idx="224">
                  <c:v>895</c:v>
                </c:pt>
                <c:pt idx="225">
                  <c:v>941</c:v>
                </c:pt>
                <c:pt idx="226">
                  <c:v>1029</c:v>
                </c:pt>
                <c:pt idx="227">
                  <c:v>1168</c:v>
                </c:pt>
                <c:pt idx="228">
                  <c:v>1182</c:v>
                </c:pt>
                <c:pt idx="229">
                  <c:v>991</c:v>
                </c:pt>
                <c:pt idx="230">
                  <c:v>988</c:v>
                </c:pt>
                <c:pt idx="231">
                  <c:v>1065</c:v>
                </c:pt>
                <c:pt idx="232">
                  <c:v>954</c:v>
                </c:pt>
                <c:pt idx="233">
                  <c:v>1151</c:v>
                </c:pt>
                <c:pt idx="234" formatCode="0">
                  <c:v>1048</c:v>
                </c:pt>
                <c:pt idx="235">
                  <c:v>1000</c:v>
                </c:pt>
                <c:pt idx="236">
                  <c:v>1097</c:v>
                </c:pt>
                <c:pt idx="237">
                  <c:v>1153</c:v>
                </c:pt>
                <c:pt idx="238">
                  <c:v>1284</c:v>
                </c:pt>
                <c:pt idx="239">
                  <c:v>1071</c:v>
                </c:pt>
                <c:pt idx="240">
                  <c:v>978</c:v>
                </c:pt>
                <c:pt idx="241">
                  <c:v>1000</c:v>
                </c:pt>
                <c:pt idx="242">
                  <c:v>953</c:v>
                </c:pt>
                <c:pt idx="243">
                  <c:v>940</c:v>
                </c:pt>
                <c:pt idx="244">
                  <c:v>900</c:v>
                </c:pt>
                <c:pt idx="245">
                  <c:v>910</c:v>
                </c:pt>
                <c:pt idx="246">
                  <c:v>815</c:v>
                </c:pt>
                <c:pt idx="247">
                  <c:v>803</c:v>
                </c:pt>
                <c:pt idx="248">
                  <c:v>889</c:v>
                </c:pt>
                <c:pt idx="249">
                  <c:v>895</c:v>
                </c:pt>
                <c:pt idx="250">
                  <c:v>830</c:v>
                </c:pt>
                <c:pt idx="251">
                  <c:v>703</c:v>
                </c:pt>
                <c:pt idx="252">
                  <c:v>668</c:v>
                </c:pt>
                <c:pt idx="253">
                  <c:v>704</c:v>
                </c:pt>
                <c:pt idx="254">
                  <c:v>725</c:v>
                </c:pt>
                <c:pt idx="255">
                  <c:v>774</c:v>
                </c:pt>
                <c:pt idx="256">
                  <c:v>747</c:v>
                </c:pt>
                <c:pt idx="257">
                  <c:v>701</c:v>
                </c:pt>
                <c:pt idx="258">
                  <c:v>646</c:v>
                </c:pt>
                <c:pt idx="259" formatCode="0">
                  <c:v>610</c:v>
                </c:pt>
                <c:pt idx="260">
                  <c:v>681</c:v>
                </c:pt>
                <c:pt idx="261">
                  <c:v>666</c:v>
                </c:pt>
                <c:pt idx="262">
                  <c:v>700</c:v>
                </c:pt>
                <c:pt idx="263">
                  <c:v>728</c:v>
                </c:pt>
                <c:pt idx="264">
                  <c:v>765</c:v>
                </c:pt>
                <c:pt idx="265">
                  <c:v>776</c:v>
                </c:pt>
                <c:pt idx="266">
                  <c:v>860</c:v>
                </c:pt>
                <c:pt idx="267">
                  <c:v>915</c:v>
                </c:pt>
                <c:pt idx="268">
                  <c:v>935</c:v>
                </c:pt>
                <c:pt idx="269">
                  <c:v>923</c:v>
                </c:pt>
                <c:pt idx="270">
                  <c:v>930</c:v>
                </c:pt>
                <c:pt idx="271">
                  <c:v>1164</c:v>
                </c:pt>
                <c:pt idx="272">
                  <c:v>1043</c:v>
                </c:pt>
                <c:pt idx="273">
                  <c:v>1067</c:v>
                </c:pt>
                <c:pt idx="274">
                  <c:v>1039</c:v>
                </c:pt>
                <c:pt idx="275">
                  <c:v>1098</c:v>
                </c:pt>
                <c:pt idx="276">
                  <c:v>1120</c:v>
                </c:pt>
                <c:pt idx="277">
                  <c:v>1192</c:v>
                </c:pt>
                <c:pt idx="285">
                  <c:v>1136</c:v>
                </c:pt>
                <c:pt idx="286" formatCode="0">
                  <c:v>1254</c:v>
                </c:pt>
                <c:pt idx="287">
                  <c:v>1270</c:v>
                </c:pt>
                <c:pt idx="288">
                  <c:v>1104</c:v>
                </c:pt>
                <c:pt idx="289">
                  <c:v>1574</c:v>
                </c:pt>
                <c:pt idx="290">
                  <c:v>1402</c:v>
                </c:pt>
                <c:pt idx="291">
                  <c:v>1138</c:v>
                </c:pt>
                <c:pt idx="292">
                  <c:v>1134</c:v>
                </c:pt>
                <c:pt idx="293">
                  <c:v>1050</c:v>
                </c:pt>
                <c:pt idx="294">
                  <c:v>1230</c:v>
                </c:pt>
                <c:pt idx="295">
                  <c:v>1214</c:v>
                </c:pt>
                <c:pt idx="296">
                  <c:v>1100</c:v>
                </c:pt>
                <c:pt idx="297">
                  <c:v>851</c:v>
                </c:pt>
                <c:pt idx="298">
                  <c:v>740</c:v>
                </c:pt>
                <c:pt idx="299">
                  <c:v>761</c:v>
                </c:pt>
                <c:pt idx="300">
                  <c:v>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72-47D5-85EB-9E9D9A431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210623"/>
        <c:axId val="1"/>
      </c:lineChart>
      <c:catAx>
        <c:axId val="1081210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9090942242822938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4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Mhos / cm</a:t>
                </a:r>
                <a:r>
                  <a:rPr lang="en-IN" sz="1200" b="1" i="0" u="none" strike="noStrike" baseline="30000">
                    <a:solidFill>
                      <a:srgbClr val="0000FF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3073928258967629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1210623"/>
        <c:crosses val="autoZero"/>
        <c:crossBetween val="between"/>
        <c:majorUnit val="100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 COC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92-43D6-9BB5-1F1384F5B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213983"/>
        <c:axId val="1"/>
      </c:lineChart>
      <c:catAx>
        <c:axId val="1081213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83"/>
        <c:tickMarkSkip val="83"/>
        <c:noMultiLvlLbl val="0"/>
      </c:catAx>
      <c:valAx>
        <c:axId val="1"/>
        <c:scaling>
          <c:orientation val="minMax"/>
          <c:max val="8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COC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1213983"/>
        <c:crosses val="autoZero"/>
        <c:crossBetween val="between"/>
        <c:majorUnit val="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Delta  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7B6-49E3-92CE-5A9C4F2F3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212543"/>
        <c:axId val="1"/>
      </c:lineChart>
      <c:catAx>
        <c:axId val="1081212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7"/>
        <c:tickMarkSkip val="1"/>
        <c:noMultiLvlLbl val="0"/>
      </c:catAx>
      <c:valAx>
        <c:axId val="1"/>
        <c:scaling>
          <c:orientation val="minMax"/>
          <c:max val="1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Delta T (Deg. C)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1212543"/>
        <c:crosses val="autoZero"/>
        <c:crossBetween val="between"/>
        <c:majorUnit val="2"/>
        <c:minorUnit val="1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300" verticalDpi="3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Condenser Vacumm vs Plant Load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Condenser Vacumm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06-40C9-AFD8-F2FAFE345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207263"/>
        <c:axId val="1"/>
      </c:lineChart>
      <c:lineChart>
        <c:grouping val="standard"/>
        <c:varyColors val="0"/>
        <c:ser>
          <c:idx val="1"/>
          <c:order val="1"/>
          <c:tx>
            <c:v>Plant Load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06-40C9-AFD8-F2FAFE345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081207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3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2"/>
        <c:auto val="1"/>
        <c:lblAlgn val="ctr"/>
        <c:lblOffset val="100"/>
        <c:tickLblSkip val="83"/>
        <c:tickMarkSkip val="83"/>
        <c:noMultiLvlLbl val="0"/>
      </c:catAx>
      <c:valAx>
        <c:axId val="1"/>
        <c:scaling>
          <c:orientation val="minMax"/>
          <c:max val="1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275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Vacumm(Kg/Cm</a:t>
                </a:r>
                <a:r>
                  <a:rPr lang="en-IN" sz="275" b="1" i="0" u="none" strike="noStrike" baseline="30000">
                    <a:solidFill>
                      <a:srgbClr val="0000FF"/>
                    </a:solidFill>
                    <a:latin typeface="Arial"/>
                    <a:cs typeface="Arial"/>
                  </a:rPr>
                  <a:t>2</a:t>
                </a:r>
                <a:r>
                  <a:rPr lang="en-IN" sz="275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1207263"/>
        <c:crosses val="autoZero"/>
        <c:crossBetween val="between"/>
        <c:majorUnit val="0.4"/>
        <c:minorUnit val="0.4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ax val="24"/>
        </c:scaling>
        <c:delete val="0"/>
        <c:axPos val="r"/>
        <c:title>
          <c:tx>
            <c:rich>
              <a:bodyPr/>
              <a:lstStyle/>
              <a:p>
                <a:pPr>
                  <a:defRPr sz="2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Plant Load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n-US"/>
            </a:pPr>
            <a:endParaRPr lang="en-US"/>
          </a:p>
        </c:txPr>
        <c:crossAx val="3"/>
        <c:crosses val="max"/>
        <c:crossBetween val="between"/>
        <c:majorUnit val="3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73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TDS</a:t>
            </a:r>
          </a:p>
        </c:rich>
      </c:tx>
      <c:layout>
        <c:manualLayout>
          <c:xMode val="edge"/>
          <c:yMode val="edge"/>
          <c:x val="0.47515198625765925"/>
          <c:y val="2.47460734074907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3333805102824"/>
          <c:y val="0.19819877943992656"/>
          <c:w val="0.82173942118837084"/>
          <c:h val="0.49900482267169843"/>
        </c:manualLayout>
      </c:layout>
      <c:lineChart>
        <c:grouping val="standard"/>
        <c:varyColors val="0"/>
        <c:ser>
          <c:idx val="1"/>
          <c:order val="0"/>
          <c:tx>
            <c:v>TDS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'ECH CT PH Process'!$A$5:$A$309</c:f>
              <c:strCache>
                <c:ptCount val="301"/>
                <c:pt idx="0">
                  <c:v>02.09.24</c:v>
                </c:pt>
                <c:pt idx="1">
                  <c:v>03.09.24</c:v>
                </c:pt>
                <c:pt idx="2">
                  <c:v>04.09.24</c:v>
                </c:pt>
                <c:pt idx="3">
                  <c:v>05.09.24</c:v>
                </c:pt>
                <c:pt idx="4">
                  <c:v>06.09.24</c:v>
                </c:pt>
                <c:pt idx="5">
                  <c:v>07.09.24</c:v>
                </c:pt>
                <c:pt idx="6">
                  <c:v>09.09.24</c:v>
                </c:pt>
                <c:pt idx="7">
                  <c:v>10.09.24</c:v>
                </c:pt>
                <c:pt idx="8">
                  <c:v>11.09.24</c:v>
                </c:pt>
                <c:pt idx="9">
                  <c:v>12.09.24</c:v>
                </c:pt>
                <c:pt idx="10">
                  <c:v>13.09.24</c:v>
                </c:pt>
                <c:pt idx="11">
                  <c:v>14.09.24</c:v>
                </c:pt>
                <c:pt idx="12">
                  <c:v>16.09.24</c:v>
                </c:pt>
                <c:pt idx="13">
                  <c:v>17.09.24</c:v>
                </c:pt>
                <c:pt idx="14">
                  <c:v>18.09.24</c:v>
                </c:pt>
                <c:pt idx="15">
                  <c:v>19.09.24</c:v>
                </c:pt>
                <c:pt idx="16">
                  <c:v>20.09.24</c:v>
                </c:pt>
                <c:pt idx="17">
                  <c:v>21.09.24</c:v>
                </c:pt>
                <c:pt idx="18">
                  <c:v>23.09.24</c:v>
                </c:pt>
                <c:pt idx="19">
                  <c:v>24.09.24</c:v>
                </c:pt>
                <c:pt idx="20">
                  <c:v>25.09.24</c:v>
                </c:pt>
                <c:pt idx="21">
                  <c:v>26.09.24</c:v>
                </c:pt>
                <c:pt idx="22">
                  <c:v>27.09.24</c:v>
                </c:pt>
                <c:pt idx="23">
                  <c:v>28.09.24</c:v>
                </c:pt>
                <c:pt idx="24">
                  <c:v>30.09.24</c:v>
                </c:pt>
                <c:pt idx="25">
                  <c:v>01.10.24</c:v>
                </c:pt>
                <c:pt idx="26">
                  <c:v>02.10.24</c:v>
                </c:pt>
                <c:pt idx="27">
                  <c:v>03.10.24</c:v>
                </c:pt>
                <c:pt idx="28">
                  <c:v>04.10.24</c:v>
                </c:pt>
                <c:pt idx="29">
                  <c:v>05.10.24</c:v>
                </c:pt>
                <c:pt idx="30">
                  <c:v>07.10.24</c:v>
                </c:pt>
                <c:pt idx="31">
                  <c:v>08.10.24</c:v>
                </c:pt>
                <c:pt idx="32">
                  <c:v>09.10.24</c:v>
                </c:pt>
                <c:pt idx="33">
                  <c:v>10.10.24</c:v>
                </c:pt>
                <c:pt idx="34">
                  <c:v>11.10.24</c:v>
                </c:pt>
                <c:pt idx="35">
                  <c:v>12.10.24</c:v>
                </c:pt>
                <c:pt idx="36">
                  <c:v>14.10.24</c:v>
                </c:pt>
                <c:pt idx="37">
                  <c:v>15.10.24</c:v>
                </c:pt>
                <c:pt idx="38">
                  <c:v>16.10.24</c:v>
                </c:pt>
                <c:pt idx="39">
                  <c:v>17.10.24</c:v>
                </c:pt>
                <c:pt idx="40">
                  <c:v>18.10.24</c:v>
                </c:pt>
                <c:pt idx="41">
                  <c:v>19.10.24</c:v>
                </c:pt>
                <c:pt idx="42">
                  <c:v>21.10.24</c:v>
                </c:pt>
                <c:pt idx="43">
                  <c:v>22.10.24</c:v>
                </c:pt>
                <c:pt idx="44">
                  <c:v>23.10.24</c:v>
                </c:pt>
                <c:pt idx="45">
                  <c:v>24.10.24</c:v>
                </c:pt>
                <c:pt idx="46">
                  <c:v>25.10.24</c:v>
                </c:pt>
                <c:pt idx="47">
                  <c:v>26.10.24</c:v>
                </c:pt>
                <c:pt idx="48">
                  <c:v>28.10.24</c:v>
                </c:pt>
                <c:pt idx="49">
                  <c:v>29.10.24</c:v>
                </c:pt>
                <c:pt idx="50">
                  <c:v>30.10.24</c:v>
                </c:pt>
                <c:pt idx="51">
                  <c:v>31.10.24</c:v>
                </c:pt>
                <c:pt idx="52">
                  <c:v>04.11.24</c:v>
                </c:pt>
                <c:pt idx="53">
                  <c:v>05.11.24</c:v>
                </c:pt>
                <c:pt idx="54">
                  <c:v>06.11.24</c:v>
                </c:pt>
                <c:pt idx="55">
                  <c:v>07.11.24</c:v>
                </c:pt>
                <c:pt idx="56">
                  <c:v>08.11.24</c:v>
                </c:pt>
                <c:pt idx="57">
                  <c:v>09.11.24</c:v>
                </c:pt>
                <c:pt idx="58">
                  <c:v>11.11.24</c:v>
                </c:pt>
                <c:pt idx="59">
                  <c:v>12.11.24</c:v>
                </c:pt>
                <c:pt idx="60">
                  <c:v>13.11.24</c:v>
                </c:pt>
                <c:pt idx="61">
                  <c:v>14.11.24</c:v>
                </c:pt>
                <c:pt idx="62">
                  <c:v>15.11.24</c:v>
                </c:pt>
                <c:pt idx="63">
                  <c:v>16.11.24</c:v>
                </c:pt>
                <c:pt idx="64">
                  <c:v>18.11.24</c:v>
                </c:pt>
                <c:pt idx="65">
                  <c:v>19.11.24</c:v>
                </c:pt>
                <c:pt idx="66">
                  <c:v>20.11.24</c:v>
                </c:pt>
                <c:pt idx="67">
                  <c:v>21.11.24</c:v>
                </c:pt>
                <c:pt idx="68">
                  <c:v>22.11.24</c:v>
                </c:pt>
                <c:pt idx="69">
                  <c:v>23.11.24</c:v>
                </c:pt>
                <c:pt idx="70">
                  <c:v>25.11.24</c:v>
                </c:pt>
                <c:pt idx="71">
                  <c:v>26.11.24</c:v>
                </c:pt>
                <c:pt idx="72">
                  <c:v>27.11.24</c:v>
                </c:pt>
                <c:pt idx="73">
                  <c:v>28.11.24</c:v>
                </c:pt>
                <c:pt idx="74">
                  <c:v>29.11.24</c:v>
                </c:pt>
                <c:pt idx="75">
                  <c:v>30.11.24</c:v>
                </c:pt>
                <c:pt idx="76">
                  <c:v>02.12.24</c:v>
                </c:pt>
                <c:pt idx="77">
                  <c:v>03.12.24</c:v>
                </c:pt>
                <c:pt idx="78">
                  <c:v>04.12.24</c:v>
                </c:pt>
                <c:pt idx="79">
                  <c:v>05.12.24</c:v>
                </c:pt>
                <c:pt idx="80">
                  <c:v>06.12.24</c:v>
                </c:pt>
                <c:pt idx="81">
                  <c:v>07.12.24</c:v>
                </c:pt>
                <c:pt idx="82">
                  <c:v>09.12.24</c:v>
                </c:pt>
                <c:pt idx="83">
                  <c:v>10.12.24</c:v>
                </c:pt>
                <c:pt idx="84">
                  <c:v>11.12.24</c:v>
                </c:pt>
                <c:pt idx="85">
                  <c:v>12.12.24</c:v>
                </c:pt>
                <c:pt idx="86">
                  <c:v>13.12.24</c:v>
                </c:pt>
                <c:pt idx="87">
                  <c:v>14.12.24</c:v>
                </c:pt>
                <c:pt idx="88">
                  <c:v>16.12.24</c:v>
                </c:pt>
                <c:pt idx="89">
                  <c:v>17.12.24</c:v>
                </c:pt>
                <c:pt idx="90">
                  <c:v>18.12.24</c:v>
                </c:pt>
                <c:pt idx="91">
                  <c:v>19.12.24</c:v>
                </c:pt>
                <c:pt idx="92">
                  <c:v>20.12.24</c:v>
                </c:pt>
                <c:pt idx="93">
                  <c:v>21.12.24</c:v>
                </c:pt>
                <c:pt idx="94">
                  <c:v>23.12.24</c:v>
                </c:pt>
                <c:pt idx="95">
                  <c:v>24.12.24</c:v>
                </c:pt>
                <c:pt idx="96">
                  <c:v>25.12.24</c:v>
                </c:pt>
                <c:pt idx="97">
                  <c:v>26.12.24</c:v>
                </c:pt>
                <c:pt idx="98">
                  <c:v>27.12.24</c:v>
                </c:pt>
                <c:pt idx="99">
                  <c:v>28.12.24</c:v>
                </c:pt>
                <c:pt idx="100">
                  <c:v>30.12.24</c:v>
                </c:pt>
                <c:pt idx="101">
                  <c:v>31.12.24</c:v>
                </c:pt>
                <c:pt idx="102">
                  <c:v>01.01.25</c:v>
                </c:pt>
                <c:pt idx="103">
                  <c:v>02.01.25</c:v>
                </c:pt>
                <c:pt idx="104">
                  <c:v>03.01.25</c:v>
                </c:pt>
                <c:pt idx="105">
                  <c:v>04.01.25</c:v>
                </c:pt>
                <c:pt idx="106">
                  <c:v>08.01.25</c:v>
                </c:pt>
                <c:pt idx="107">
                  <c:v>09.01.25</c:v>
                </c:pt>
                <c:pt idx="108">
                  <c:v>10.01.25</c:v>
                </c:pt>
                <c:pt idx="109">
                  <c:v>11.01.25</c:v>
                </c:pt>
                <c:pt idx="110">
                  <c:v>13.01.25</c:v>
                </c:pt>
                <c:pt idx="111">
                  <c:v>15.01.25</c:v>
                </c:pt>
                <c:pt idx="112">
                  <c:v>16.01.25</c:v>
                </c:pt>
                <c:pt idx="113">
                  <c:v>17.01.25</c:v>
                </c:pt>
                <c:pt idx="114">
                  <c:v>18.01.25</c:v>
                </c:pt>
                <c:pt idx="115">
                  <c:v>20.01.25</c:v>
                </c:pt>
                <c:pt idx="116">
                  <c:v>21.01.25</c:v>
                </c:pt>
                <c:pt idx="117">
                  <c:v>22.01.25</c:v>
                </c:pt>
                <c:pt idx="118">
                  <c:v>23.01.25</c:v>
                </c:pt>
                <c:pt idx="119">
                  <c:v>24.01.25</c:v>
                </c:pt>
                <c:pt idx="120">
                  <c:v>25.01.25</c:v>
                </c:pt>
                <c:pt idx="121">
                  <c:v>27.01.25</c:v>
                </c:pt>
                <c:pt idx="122">
                  <c:v>28.01.25</c:v>
                </c:pt>
                <c:pt idx="123">
                  <c:v>29.01.25</c:v>
                </c:pt>
                <c:pt idx="124">
                  <c:v>30.01.25</c:v>
                </c:pt>
                <c:pt idx="125">
                  <c:v>31.01.25</c:v>
                </c:pt>
                <c:pt idx="126">
                  <c:v>01.02.25</c:v>
                </c:pt>
                <c:pt idx="127">
                  <c:v>03.02.25</c:v>
                </c:pt>
                <c:pt idx="128">
                  <c:v>04.02.25</c:v>
                </c:pt>
                <c:pt idx="129">
                  <c:v>05.02.25</c:v>
                </c:pt>
                <c:pt idx="130">
                  <c:v>06.02.25</c:v>
                </c:pt>
                <c:pt idx="131">
                  <c:v>07.02.25</c:v>
                </c:pt>
                <c:pt idx="132">
                  <c:v>08.02.25</c:v>
                </c:pt>
                <c:pt idx="133">
                  <c:v>10.02.25</c:v>
                </c:pt>
                <c:pt idx="134">
                  <c:v>11.02.25</c:v>
                </c:pt>
                <c:pt idx="135">
                  <c:v>12.02.25</c:v>
                </c:pt>
                <c:pt idx="136">
                  <c:v>13.02.25</c:v>
                </c:pt>
                <c:pt idx="137">
                  <c:v>14.02.25</c:v>
                </c:pt>
                <c:pt idx="138">
                  <c:v>15.02.25</c:v>
                </c:pt>
                <c:pt idx="139">
                  <c:v>17.02.25</c:v>
                </c:pt>
                <c:pt idx="140">
                  <c:v>18.02.25</c:v>
                </c:pt>
                <c:pt idx="141">
                  <c:v>19.02.25</c:v>
                </c:pt>
                <c:pt idx="142">
                  <c:v>20.02.25</c:v>
                </c:pt>
                <c:pt idx="143">
                  <c:v>21.02.25</c:v>
                </c:pt>
                <c:pt idx="144">
                  <c:v>22.02.25</c:v>
                </c:pt>
                <c:pt idx="145">
                  <c:v>24.02.25</c:v>
                </c:pt>
                <c:pt idx="146">
                  <c:v>25.02.25</c:v>
                </c:pt>
                <c:pt idx="147">
                  <c:v>27.02.25</c:v>
                </c:pt>
                <c:pt idx="148">
                  <c:v>28.02.25</c:v>
                </c:pt>
                <c:pt idx="149">
                  <c:v>01.03.25</c:v>
                </c:pt>
                <c:pt idx="150">
                  <c:v>03.03.25</c:v>
                </c:pt>
                <c:pt idx="151">
                  <c:v>04.03.25</c:v>
                </c:pt>
                <c:pt idx="152">
                  <c:v>05.03.25</c:v>
                </c:pt>
                <c:pt idx="153">
                  <c:v>06.03.25</c:v>
                </c:pt>
                <c:pt idx="154">
                  <c:v>07.03.25</c:v>
                </c:pt>
                <c:pt idx="155">
                  <c:v>08.03.25</c:v>
                </c:pt>
                <c:pt idx="156">
                  <c:v>10.03.25</c:v>
                </c:pt>
                <c:pt idx="157">
                  <c:v>11.03.25</c:v>
                </c:pt>
                <c:pt idx="158">
                  <c:v>12.03.25</c:v>
                </c:pt>
                <c:pt idx="159">
                  <c:v>13.03.25</c:v>
                </c:pt>
                <c:pt idx="160">
                  <c:v>15.03.25</c:v>
                </c:pt>
                <c:pt idx="161">
                  <c:v>17.03.25</c:v>
                </c:pt>
                <c:pt idx="162">
                  <c:v>18.03.25</c:v>
                </c:pt>
                <c:pt idx="163">
                  <c:v>19.03.25</c:v>
                </c:pt>
                <c:pt idx="164">
                  <c:v>20.03.25</c:v>
                </c:pt>
                <c:pt idx="165">
                  <c:v>21.03.25</c:v>
                </c:pt>
                <c:pt idx="166">
                  <c:v>22.03.25</c:v>
                </c:pt>
                <c:pt idx="167">
                  <c:v>24.03.25</c:v>
                </c:pt>
                <c:pt idx="168">
                  <c:v>25.03.25</c:v>
                </c:pt>
                <c:pt idx="169">
                  <c:v>26.03.25</c:v>
                </c:pt>
                <c:pt idx="170">
                  <c:v>27.03.25</c:v>
                </c:pt>
                <c:pt idx="171">
                  <c:v>28.03.25</c:v>
                </c:pt>
                <c:pt idx="172">
                  <c:v>29.03.25</c:v>
                </c:pt>
                <c:pt idx="173">
                  <c:v>31.03.25</c:v>
                </c:pt>
                <c:pt idx="174">
                  <c:v>01.04.25</c:v>
                </c:pt>
                <c:pt idx="175">
                  <c:v>02.04.25</c:v>
                </c:pt>
                <c:pt idx="176">
                  <c:v>03.04.25</c:v>
                </c:pt>
                <c:pt idx="177">
                  <c:v>04.04.25</c:v>
                </c:pt>
                <c:pt idx="178">
                  <c:v>05.04.25</c:v>
                </c:pt>
                <c:pt idx="179">
                  <c:v>07.04.25</c:v>
                </c:pt>
                <c:pt idx="180">
                  <c:v>08.04.25</c:v>
                </c:pt>
                <c:pt idx="181">
                  <c:v>09.04.25</c:v>
                </c:pt>
                <c:pt idx="182">
                  <c:v>10.04.25</c:v>
                </c:pt>
                <c:pt idx="183">
                  <c:v>11.04.25</c:v>
                </c:pt>
                <c:pt idx="184">
                  <c:v>12.04.25</c:v>
                </c:pt>
                <c:pt idx="185">
                  <c:v>14.04.25</c:v>
                </c:pt>
                <c:pt idx="186">
                  <c:v>15.04.25</c:v>
                </c:pt>
                <c:pt idx="187">
                  <c:v>16.04.25</c:v>
                </c:pt>
                <c:pt idx="188">
                  <c:v>17.04.25</c:v>
                </c:pt>
                <c:pt idx="189">
                  <c:v>18.04.25</c:v>
                </c:pt>
                <c:pt idx="190">
                  <c:v>19.04.25</c:v>
                </c:pt>
                <c:pt idx="191">
                  <c:v>21.04.25</c:v>
                </c:pt>
                <c:pt idx="192">
                  <c:v>22.04.25</c:v>
                </c:pt>
                <c:pt idx="193">
                  <c:v>23.04.25</c:v>
                </c:pt>
                <c:pt idx="194">
                  <c:v>24.04.25</c:v>
                </c:pt>
                <c:pt idx="195">
                  <c:v>25.04.25</c:v>
                </c:pt>
                <c:pt idx="196">
                  <c:v>26.04.25</c:v>
                </c:pt>
                <c:pt idx="197">
                  <c:v>28.04.25</c:v>
                </c:pt>
                <c:pt idx="198">
                  <c:v>29.04.25</c:v>
                </c:pt>
                <c:pt idx="199">
                  <c:v>30.04.25</c:v>
                </c:pt>
                <c:pt idx="200">
                  <c:v>01.05.25</c:v>
                </c:pt>
                <c:pt idx="201">
                  <c:v>02.05.25</c:v>
                </c:pt>
                <c:pt idx="202">
                  <c:v>03.05.25</c:v>
                </c:pt>
                <c:pt idx="203">
                  <c:v>05.05.25</c:v>
                </c:pt>
                <c:pt idx="204">
                  <c:v>06.05.25</c:v>
                </c:pt>
                <c:pt idx="205">
                  <c:v>07.05.25</c:v>
                </c:pt>
                <c:pt idx="206">
                  <c:v>08.05.25</c:v>
                </c:pt>
                <c:pt idx="207">
                  <c:v>09.05.25</c:v>
                </c:pt>
                <c:pt idx="208">
                  <c:v>10.05.25</c:v>
                </c:pt>
                <c:pt idx="209">
                  <c:v>12.05.25</c:v>
                </c:pt>
                <c:pt idx="210">
                  <c:v>13.05.25</c:v>
                </c:pt>
                <c:pt idx="211">
                  <c:v>14.05.25</c:v>
                </c:pt>
                <c:pt idx="212">
                  <c:v>15.05.25</c:v>
                </c:pt>
                <c:pt idx="213">
                  <c:v>16.05.25</c:v>
                </c:pt>
                <c:pt idx="214">
                  <c:v>17.05.25</c:v>
                </c:pt>
                <c:pt idx="215">
                  <c:v>19.05.25</c:v>
                </c:pt>
                <c:pt idx="216">
                  <c:v>20.05.25</c:v>
                </c:pt>
                <c:pt idx="217">
                  <c:v>21.05.25</c:v>
                </c:pt>
                <c:pt idx="218">
                  <c:v>22.05.25</c:v>
                </c:pt>
                <c:pt idx="219">
                  <c:v>23.05.25</c:v>
                </c:pt>
                <c:pt idx="220">
                  <c:v>24.05.25</c:v>
                </c:pt>
                <c:pt idx="221">
                  <c:v>26.05.25</c:v>
                </c:pt>
                <c:pt idx="222">
                  <c:v>27.05.25</c:v>
                </c:pt>
                <c:pt idx="223">
                  <c:v>28.05.25</c:v>
                </c:pt>
                <c:pt idx="224">
                  <c:v>29.05.25</c:v>
                </c:pt>
                <c:pt idx="225">
                  <c:v>30.05.25</c:v>
                </c:pt>
                <c:pt idx="226">
                  <c:v>31.05.25</c:v>
                </c:pt>
                <c:pt idx="227">
                  <c:v>02.06.25</c:v>
                </c:pt>
                <c:pt idx="228">
                  <c:v>03.06.25</c:v>
                </c:pt>
                <c:pt idx="229">
                  <c:v>04.06.25</c:v>
                </c:pt>
                <c:pt idx="230">
                  <c:v>05.06.25</c:v>
                </c:pt>
                <c:pt idx="231">
                  <c:v>06.06.25</c:v>
                </c:pt>
                <c:pt idx="232">
                  <c:v>07.06.25</c:v>
                </c:pt>
                <c:pt idx="233">
                  <c:v>09.06.25</c:v>
                </c:pt>
                <c:pt idx="234">
                  <c:v>10.06.25</c:v>
                </c:pt>
                <c:pt idx="235">
                  <c:v>11.06.25</c:v>
                </c:pt>
                <c:pt idx="236">
                  <c:v>12.06.25</c:v>
                </c:pt>
                <c:pt idx="237">
                  <c:v>13.06.25</c:v>
                </c:pt>
                <c:pt idx="238">
                  <c:v>14.06.25</c:v>
                </c:pt>
                <c:pt idx="239">
                  <c:v>16.06.25</c:v>
                </c:pt>
                <c:pt idx="240">
                  <c:v>17.06.25</c:v>
                </c:pt>
                <c:pt idx="241">
                  <c:v>18.06.25</c:v>
                </c:pt>
                <c:pt idx="242">
                  <c:v>19.06.25</c:v>
                </c:pt>
                <c:pt idx="243">
                  <c:v>20.06.25</c:v>
                </c:pt>
                <c:pt idx="244">
                  <c:v>21.06.25</c:v>
                </c:pt>
                <c:pt idx="245">
                  <c:v>23.06.25</c:v>
                </c:pt>
                <c:pt idx="246">
                  <c:v>24.06.25</c:v>
                </c:pt>
                <c:pt idx="247">
                  <c:v>25.06.25</c:v>
                </c:pt>
                <c:pt idx="248">
                  <c:v>26.06.25</c:v>
                </c:pt>
                <c:pt idx="249">
                  <c:v>27.06.25</c:v>
                </c:pt>
                <c:pt idx="250">
                  <c:v>28.06.25</c:v>
                </c:pt>
                <c:pt idx="251">
                  <c:v>30.06.25</c:v>
                </c:pt>
                <c:pt idx="252">
                  <c:v>01.07.25</c:v>
                </c:pt>
                <c:pt idx="253">
                  <c:v>02.07.25</c:v>
                </c:pt>
                <c:pt idx="254">
                  <c:v>03.07.25</c:v>
                </c:pt>
                <c:pt idx="255">
                  <c:v>04.07.25</c:v>
                </c:pt>
                <c:pt idx="256">
                  <c:v>05.07.25</c:v>
                </c:pt>
                <c:pt idx="257">
                  <c:v>07.07.25</c:v>
                </c:pt>
                <c:pt idx="258">
                  <c:v>08.07.25</c:v>
                </c:pt>
                <c:pt idx="259">
                  <c:v>09.07.25</c:v>
                </c:pt>
                <c:pt idx="260">
                  <c:v>10.07.25</c:v>
                </c:pt>
                <c:pt idx="261">
                  <c:v>11.07.25</c:v>
                </c:pt>
                <c:pt idx="262">
                  <c:v>12.07.25</c:v>
                </c:pt>
                <c:pt idx="263">
                  <c:v>14.07.25</c:v>
                </c:pt>
                <c:pt idx="264">
                  <c:v>15.07.25</c:v>
                </c:pt>
                <c:pt idx="265">
                  <c:v>16.07.25</c:v>
                </c:pt>
                <c:pt idx="266">
                  <c:v>17.07.25</c:v>
                </c:pt>
                <c:pt idx="267">
                  <c:v>18.07.25</c:v>
                </c:pt>
                <c:pt idx="268">
                  <c:v>19.07.25</c:v>
                </c:pt>
                <c:pt idx="269">
                  <c:v>21.07.25</c:v>
                </c:pt>
                <c:pt idx="270">
                  <c:v>22.07.25</c:v>
                </c:pt>
                <c:pt idx="271">
                  <c:v>23.07.25</c:v>
                </c:pt>
                <c:pt idx="272">
                  <c:v>24.07.25</c:v>
                </c:pt>
                <c:pt idx="273">
                  <c:v>25.07.25</c:v>
                </c:pt>
                <c:pt idx="274">
                  <c:v>26.07.25</c:v>
                </c:pt>
                <c:pt idx="275">
                  <c:v>28.07.25</c:v>
                </c:pt>
                <c:pt idx="276">
                  <c:v>29.07.25</c:v>
                </c:pt>
                <c:pt idx="277">
                  <c:v>30.07.25</c:v>
                </c:pt>
                <c:pt idx="278">
                  <c:v>31.07.25</c:v>
                </c:pt>
                <c:pt idx="279">
                  <c:v>01.08.25</c:v>
                </c:pt>
                <c:pt idx="280">
                  <c:v>02.08.25</c:v>
                </c:pt>
                <c:pt idx="281">
                  <c:v>04.08.25</c:v>
                </c:pt>
                <c:pt idx="282">
                  <c:v>05.08.25</c:v>
                </c:pt>
                <c:pt idx="283">
                  <c:v>06.08.25</c:v>
                </c:pt>
                <c:pt idx="284">
                  <c:v>07.08.25</c:v>
                </c:pt>
                <c:pt idx="285">
                  <c:v>08.08.25</c:v>
                </c:pt>
                <c:pt idx="286">
                  <c:v>11.08.25</c:v>
                </c:pt>
                <c:pt idx="287">
                  <c:v>12.08.25</c:v>
                </c:pt>
                <c:pt idx="288">
                  <c:v>13.08.25</c:v>
                </c:pt>
                <c:pt idx="289">
                  <c:v>14.08.25</c:v>
                </c:pt>
                <c:pt idx="290">
                  <c:v>15.08.25</c:v>
                </c:pt>
                <c:pt idx="291">
                  <c:v>18.08.25</c:v>
                </c:pt>
                <c:pt idx="292">
                  <c:v>19.08.25</c:v>
                </c:pt>
                <c:pt idx="293">
                  <c:v>20.08.25</c:v>
                </c:pt>
                <c:pt idx="294">
                  <c:v>21.08.25</c:v>
                </c:pt>
                <c:pt idx="295">
                  <c:v>22.08.25</c:v>
                </c:pt>
                <c:pt idx="296">
                  <c:v>23.08.25</c:v>
                </c:pt>
                <c:pt idx="297">
                  <c:v>26.08.25</c:v>
                </c:pt>
                <c:pt idx="298">
                  <c:v>27.08.25</c:v>
                </c:pt>
                <c:pt idx="299">
                  <c:v>28.08.25</c:v>
                </c:pt>
                <c:pt idx="300">
                  <c:v>29.08.25</c:v>
                </c:pt>
              </c:strCache>
            </c:strRef>
          </c:cat>
          <c:val>
            <c:numRef>
              <c:f>'ECH CT PH Process'!$G$5:$G$309</c:f>
              <c:numCache>
                <c:formatCode>General</c:formatCode>
                <c:ptCount val="305"/>
                <c:pt idx="0">
                  <c:v>875</c:v>
                </c:pt>
                <c:pt idx="1">
                  <c:v>880</c:v>
                </c:pt>
                <c:pt idx="2">
                  <c:v>865</c:v>
                </c:pt>
                <c:pt idx="3">
                  <c:v>800</c:v>
                </c:pt>
                <c:pt idx="4">
                  <c:v>720</c:v>
                </c:pt>
                <c:pt idx="5">
                  <c:v>700</c:v>
                </c:pt>
                <c:pt idx="6">
                  <c:v>722</c:v>
                </c:pt>
                <c:pt idx="7" formatCode="0">
                  <c:v>698</c:v>
                </c:pt>
                <c:pt idx="8">
                  <c:v>684</c:v>
                </c:pt>
                <c:pt idx="9">
                  <c:v>650</c:v>
                </c:pt>
                <c:pt idx="10">
                  <c:v>673</c:v>
                </c:pt>
                <c:pt idx="11">
                  <c:v>680</c:v>
                </c:pt>
                <c:pt idx="12">
                  <c:v>759</c:v>
                </c:pt>
                <c:pt idx="13">
                  <c:v>764</c:v>
                </c:pt>
                <c:pt idx="14">
                  <c:v>733</c:v>
                </c:pt>
                <c:pt idx="15">
                  <c:v>724</c:v>
                </c:pt>
                <c:pt idx="16">
                  <c:v>713</c:v>
                </c:pt>
                <c:pt idx="17">
                  <c:v>703</c:v>
                </c:pt>
                <c:pt idx="18">
                  <c:v>697</c:v>
                </c:pt>
                <c:pt idx="19">
                  <c:v>680</c:v>
                </c:pt>
                <c:pt idx="20">
                  <c:v>692</c:v>
                </c:pt>
                <c:pt idx="21">
                  <c:v>690</c:v>
                </c:pt>
                <c:pt idx="22">
                  <c:v>698</c:v>
                </c:pt>
                <c:pt idx="23">
                  <c:v>780</c:v>
                </c:pt>
                <c:pt idx="24">
                  <c:v>770</c:v>
                </c:pt>
                <c:pt idx="25">
                  <c:v>790</c:v>
                </c:pt>
                <c:pt idx="26">
                  <c:v>780</c:v>
                </c:pt>
                <c:pt idx="27">
                  <c:v>729</c:v>
                </c:pt>
                <c:pt idx="28">
                  <c:v>735</c:v>
                </c:pt>
                <c:pt idx="29">
                  <c:v>730</c:v>
                </c:pt>
                <c:pt idx="30">
                  <c:v>753</c:v>
                </c:pt>
                <c:pt idx="31">
                  <c:v>750</c:v>
                </c:pt>
                <c:pt idx="32" formatCode="0">
                  <c:v>793</c:v>
                </c:pt>
                <c:pt idx="33">
                  <c:v>788</c:v>
                </c:pt>
                <c:pt idx="34">
                  <c:v>810</c:v>
                </c:pt>
                <c:pt idx="35">
                  <c:v>817</c:v>
                </c:pt>
                <c:pt idx="36">
                  <c:v>850</c:v>
                </c:pt>
                <c:pt idx="37">
                  <c:v>827</c:v>
                </c:pt>
                <c:pt idx="38">
                  <c:v>740</c:v>
                </c:pt>
                <c:pt idx="39">
                  <c:v>680</c:v>
                </c:pt>
                <c:pt idx="40">
                  <c:v>672</c:v>
                </c:pt>
                <c:pt idx="41">
                  <c:v>675</c:v>
                </c:pt>
                <c:pt idx="42">
                  <c:v>720</c:v>
                </c:pt>
                <c:pt idx="43">
                  <c:v>805</c:v>
                </c:pt>
                <c:pt idx="44">
                  <c:v>812</c:v>
                </c:pt>
                <c:pt idx="45">
                  <c:v>830</c:v>
                </c:pt>
                <c:pt idx="46">
                  <c:v>794</c:v>
                </c:pt>
                <c:pt idx="47">
                  <c:v>804</c:v>
                </c:pt>
                <c:pt idx="48">
                  <c:v>743</c:v>
                </c:pt>
                <c:pt idx="49">
                  <c:v>737</c:v>
                </c:pt>
                <c:pt idx="50">
                  <c:v>750</c:v>
                </c:pt>
                <c:pt idx="51">
                  <c:v>690</c:v>
                </c:pt>
                <c:pt idx="52">
                  <c:v>643</c:v>
                </c:pt>
                <c:pt idx="53">
                  <c:v>620</c:v>
                </c:pt>
                <c:pt idx="54">
                  <c:v>627</c:v>
                </c:pt>
                <c:pt idx="55">
                  <c:v>640</c:v>
                </c:pt>
                <c:pt idx="56">
                  <c:v>620</c:v>
                </c:pt>
                <c:pt idx="57">
                  <c:v>594</c:v>
                </c:pt>
                <c:pt idx="58">
                  <c:v>580</c:v>
                </c:pt>
                <c:pt idx="59" formatCode="0">
                  <c:v>593</c:v>
                </c:pt>
                <c:pt idx="60">
                  <c:v>610</c:v>
                </c:pt>
                <c:pt idx="61">
                  <c:v>632</c:v>
                </c:pt>
                <c:pt idx="62">
                  <c:v>642</c:v>
                </c:pt>
                <c:pt idx="63">
                  <c:v>652</c:v>
                </c:pt>
                <c:pt idx="64">
                  <c:v>680</c:v>
                </c:pt>
                <c:pt idx="65">
                  <c:v>593</c:v>
                </c:pt>
                <c:pt idx="66">
                  <c:v>629</c:v>
                </c:pt>
                <c:pt idx="67">
                  <c:v>539</c:v>
                </c:pt>
                <c:pt idx="68">
                  <c:v>520</c:v>
                </c:pt>
                <c:pt idx="69">
                  <c:v>537</c:v>
                </c:pt>
                <c:pt idx="70">
                  <c:v>594</c:v>
                </c:pt>
                <c:pt idx="71">
                  <c:v>640</c:v>
                </c:pt>
                <c:pt idx="72">
                  <c:v>620</c:v>
                </c:pt>
                <c:pt idx="73">
                  <c:v>575</c:v>
                </c:pt>
                <c:pt idx="74">
                  <c:v>590</c:v>
                </c:pt>
                <c:pt idx="75">
                  <c:v>570</c:v>
                </c:pt>
                <c:pt idx="76">
                  <c:v>540</c:v>
                </c:pt>
                <c:pt idx="77">
                  <c:v>430</c:v>
                </c:pt>
                <c:pt idx="78">
                  <c:v>411</c:v>
                </c:pt>
                <c:pt idx="79">
                  <c:v>395</c:v>
                </c:pt>
                <c:pt idx="80">
                  <c:v>436</c:v>
                </c:pt>
                <c:pt idx="81">
                  <c:v>460</c:v>
                </c:pt>
                <c:pt idx="82">
                  <c:v>425</c:v>
                </c:pt>
                <c:pt idx="83" formatCode="0">
                  <c:v>438</c:v>
                </c:pt>
                <c:pt idx="84">
                  <c:v>436</c:v>
                </c:pt>
                <c:pt idx="85">
                  <c:v>422</c:v>
                </c:pt>
                <c:pt idx="86">
                  <c:v>450</c:v>
                </c:pt>
                <c:pt idx="87">
                  <c:v>520</c:v>
                </c:pt>
                <c:pt idx="88">
                  <c:v>570</c:v>
                </c:pt>
                <c:pt idx="89">
                  <c:v>490</c:v>
                </c:pt>
                <c:pt idx="90">
                  <c:v>431</c:v>
                </c:pt>
                <c:pt idx="91">
                  <c:v>438</c:v>
                </c:pt>
                <c:pt idx="92">
                  <c:v>448</c:v>
                </c:pt>
                <c:pt idx="93">
                  <c:v>464</c:v>
                </c:pt>
                <c:pt idx="94">
                  <c:v>490</c:v>
                </c:pt>
                <c:pt idx="95">
                  <c:v>502</c:v>
                </c:pt>
                <c:pt idx="96">
                  <c:v>515</c:v>
                </c:pt>
                <c:pt idx="97">
                  <c:v>502</c:v>
                </c:pt>
                <c:pt idx="98">
                  <c:v>512</c:v>
                </c:pt>
                <c:pt idx="99">
                  <c:v>520</c:v>
                </c:pt>
                <c:pt idx="100">
                  <c:v>545</c:v>
                </c:pt>
                <c:pt idx="101">
                  <c:v>457</c:v>
                </c:pt>
                <c:pt idx="102">
                  <c:v>470</c:v>
                </c:pt>
                <c:pt idx="103">
                  <c:v>485</c:v>
                </c:pt>
                <c:pt idx="104">
                  <c:v>470</c:v>
                </c:pt>
                <c:pt idx="105">
                  <c:v>510</c:v>
                </c:pt>
                <c:pt idx="106">
                  <c:v>470</c:v>
                </c:pt>
                <c:pt idx="107">
                  <c:v>483</c:v>
                </c:pt>
                <c:pt idx="108">
                  <c:v>490</c:v>
                </c:pt>
                <c:pt idx="109" formatCode="0">
                  <c:v>454</c:v>
                </c:pt>
                <c:pt idx="110">
                  <c:v>520</c:v>
                </c:pt>
                <c:pt idx="111">
                  <c:v>542</c:v>
                </c:pt>
                <c:pt idx="112">
                  <c:v>554</c:v>
                </c:pt>
                <c:pt idx="113">
                  <c:v>567</c:v>
                </c:pt>
                <c:pt idx="114">
                  <c:v>580</c:v>
                </c:pt>
                <c:pt idx="115">
                  <c:v>640</c:v>
                </c:pt>
                <c:pt idx="116">
                  <c:v>593</c:v>
                </c:pt>
                <c:pt idx="117">
                  <c:v>610</c:v>
                </c:pt>
                <c:pt idx="118">
                  <c:v>627</c:v>
                </c:pt>
                <c:pt idx="119">
                  <c:v>635</c:v>
                </c:pt>
                <c:pt idx="120">
                  <c:v>614</c:v>
                </c:pt>
                <c:pt idx="121">
                  <c:v>580</c:v>
                </c:pt>
                <c:pt idx="122">
                  <c:v>592</c:v>
                </c:pt>
                <c:pt idx="123">
                  <c:v>615</c:v>
                </c:pt>
                <c:pt idx="124">
                  <c:v>600</c:v>
                </c:pt>
                <c:pt idx="125">
                  <c:v>589</c:v>
                </c:pt>
                <c:pt idx="126">
                  <c:v>605</c:v>
                </c:pt>
                <c:pt idx="127">
                  <c:v>593</c:v>
                </c:pt>
                <c:pt idx="128">
                  <c:v>570</c:v>
                </c:pt>
                <c:pt idx="129">
                  <c:v>568</c:v>
                </c:pt>
                <c:pt idx="130">
                  <c:v>583</c:v>
                </c:pt>
                <c:pt idx="131">
                  <c:v>590</c:v>
                </c:pt>
                <c:pt idx="132">
                  <c:v>600</c:v>
                </c:pt>
                <c:pt idx="133" formatCode="0">
                  <c:v>609</c:v>
                </c:pt>
                <c:pt idx="134">
                  <c:v>610</c:v>
                </c:pt>
                <c:pt idx="135">
                  <c:v>590</c:v>
                </c:pt>
                <c:pt idx="136">
                  <c:v>615</c:v>
                </c:pt>
                <c:pt idx="137">
                  <c:v>529</c:v>
                </c:pt>
                <c:pt idx="138">
                  <c:v>573</c:v>
                </c:pt>
                <c:pt idx="139">
                  <c:v>586</c:v>
                </c:pt>
                <c:pt idx="140">
                  <c:v>570</c:v>
                </c:pt>
                <c:pt idx="141">
                  <c:v>589</c:v>
                </c:pt>
                <c:pt idx="142">
                  <c:v>570</c:v>
                </c:pt>
                <c:pt idx="143">
                  <c:v>589</c:v>
                </c:pt>
                <c:pt idx="144">
                  <c:v>620</c:v>
                </c:pt>
                <c:pt idx="145">
                  <c:v>650</c:v>
                </c:pt>
                <c:pt idx="146">
                  <c:v>630</c:v>
                </c:pt>
                <c:pt idx="147">
                  <c:v>632</c:v>
                </c:pt>
                <c:pt idx="148">
                  <c:v>666</c:v>
                </c:pt>
                <c:pt idx="149">
                  <c:v>640</c:v>
                </c:pt>
                <c:pt idx="150">
                  <c:v>620</c:v>
                </c:pt>
                <c:pt idx="151">
                  <c:v>645</c:v>
                </c:pt>
                <c:pt idx="152">
                  <c:v>620</c:v>
                </c:pt>
                <c:pt idx="153">
                  <c:v>643</c:v>
                </c:pt>
                <c:pt idx="154">
                  <c:v>439</c:v>
                </c:pt>
                <c:pt idx="155">
                  <c:v>450</c:v>
                </c:pt>
                <c:pt idx="156" formatCode="0">
                  <c:v>432</c:v>
                </c:pt>
                <c:pt idx="157">
                  <c:v>420</c:v>
                </c:pt>
                <c:pt idx="158">
                  <c:v>405</c:v>
                </c:pt>
                <c:pt idx="159">
                  <c:v>470</c:v>
                </c:pt>
                <c:pt idx="160">
                  <c:v>455</c:v>
                </c:pt>
                <c:pt idx="161">
                  <c:v>421</c:v>
                </c:pt>
                <c:pt idx="162">
                  <c:v>415</c:v>
                </c:pt>
                <c:pt idx="163">
                  <c:v>443</c:v>
                </c:pt>
                <c:pt idx="164">
                  <c:v>415</c:v>
                </c:pt>
                <c:pt idx="165">
                  <c:v>428</c:v>
                </c:pt>
                <c:pt idx="166">
                  <c:v>436</c:v>
                </c:pt>
                <c:pt idx="167">
                  <c:v>421</c:v>
                </c:pt>
                <c:pt idx="168">
                  <c:v>437</c:v>
                </c:pt>
                <c:pt idx="169">
                  <c:v>469</c:v>
                </c:pt>
                <c:pt idx="170">
                  <c:v>480</c:v>
                </c:pt>
                <c:pt idx="171">
                  <c:v>484</c:v>
                </c:pt>
                <c:pt idx="172">
                  <c:v>480</c:v>
                </c:pt>
                <c:pt idx="173">
                  <c:v>479</c:v>
                </c:pt>
                <c:pt idx="174">
                  <c:v>54</c:v>
                </c:pt>
                <c:pt idx="175">
                  <c:v>472</c:v>
                </c:pt>
                <c:pt idx="176">
                  <c:v>480</c:v>
                </c:pt>
                <c:pt idx="177">
                  <c:v>497</c:v>
                </c:pt>
                <c:pt idx="178">
                  <c:v>525</c:v>
                </c:pt>
                <c:pt idx="179">
                  <c:v>532</c:v>
                </c:pt>
                <c:pt idx="180">
                  <c:v>515</c:v>
                </c:pt>
                <c:pt idx="181" formatCode="0">
                  <c:v>524</c:v>
                </c:pt>
                <c:pt idx="182">
                  <c:v>561</c:v>
                </c:pt>
                <c:pt idx="183">
                  <c:v>576</c:v>
                </c:pt>
                <c:pt idx="184">
                  <c:v>551</c:v>
                </c:pt>
                <c:pt idx="185">
                  <c:v>551</c:v>
                </c:pt>
                <c:pt idx="186">
                  <c:v>562</c:v>
                </c:pt>
                <c:pt idx="187">
                  <c:v>578</c:v>
                </c:pt>
                <c:pt idx="188">
                  <c:v>638</c:v>
                </c:pt>
                <c:pt idx="189">
                  <c:v>610</c:v>
                </c:pt>
                <c:pt idx="190">
                  <c:v>688</c:v>
                </c:pt>
                <c:pt idx="191">
                  <c:v>540</c:v>
                </c:pt>
                <c:pt idx="192">
                  <c:v>555</c:v>
                </c:pt>
                <c:pt idx="193">
                  <c:v>593</c:v>
                </c:pt>
                <c:pt idx="194">
                  <c:v>548</c:v>
                </c:pt>
                <c:pt idx="195">
                  <c:v>560</c:v>
                </c:pt>
                <c:pt idx="196">
                  <c:v>539</c:v>
                </c:pt>
                <c:pt idx="197">
                  <c:v>548</c:v>
                </c:pt>
                <c:pt idx="198">
                  <c:v>564</c:v>
                </c:pt>
                <c:pt idx="199">
                  <c:v>680</c:v>
                </c:pt>
                <c:pt idx="200">
                  <c:v>672</c:v>
                </c:pt>
                <c:pt idx="201">
                  <c:v>695</c:v>
                </c:pt>
                <c:pt idx="202">
                  <c:v>699</c:v>
                </c:pt>
                <c:pt idx="203">
                  <c:v>720</c:v>
                </c:pt>
                <c:pt idx="204">
                  <c:v>676</c:v>
                </c:pt>
                <c:pt idx="205">
                  <c:v>690</c:v>
                </c:pt>
                <c:pt idx="206">
                  <c:v>630</c:v>
                </c:pt>
                <c:pt idx="207" formatCode="0">
                  <c:v>642</c:v>
                </c:pt>
                <c:pt idx="208">
                  <c:v>688</c:v>
                </c:pt>
                <c:pt idx="209">
                  <c:v>670</c:v>
                </c:pt>
                <c:pt idx="210">
                  <c:v>684</c:v>
                </c:pt>
                <c:pt idx="211">
                  <c:v>670</c:v>
                </c:pt>
                <c:pt idx="212">
                  <c:v>661</c:v>
                </c:pt>
                <c:pt idx="213">
                  <c:v>683</c:v>
                </c:pt>
                <c:pt idx="214">
                  <c:v>696</c:v>
                </c:pt>
                <c:pt idx="215">
                  <c:v>649</c:v>
                </c:pt>
                <c:pt idx="216">
                  <c:v>651</c:v>
                </c:pt>
                <c:pt idx="217">
                  <c:v>593</c:v>
                </c:pt>
                <c:pt idx="218">
                  <c:v>547</c:v>
                </c:pt>
                <c:pt idx="219">
                  <c:v>529</c:v>
                </c:pt>
                <c:pt idx="220">
                  <c:v>565</c:v>
                </c:pt>
                <c:pt idx="221">
                  <c:v>508</c:v>
                </c:pt>
                <c:pt idx="222">
                  <c:v>576</c:v>
                </c:pt>
                <c:pt idx="223">
                  <c:v>572</c:v>
                </c:pt>
                <c:pt idx="224">
                  <c:v>599</c:v>
                </c:pt>
                <c:pt idx="225">
                  <c:v>630</c:v>
                </c:pt>
                <c:pt idx="226">
                  <c:v>689</c:v>
                </c:pt>
                <c:pt idx="227">
                  <c:v>782</c:v>
                </c:pt>
                <c:pt idx="228">
                  <c:v>791</c:v>
                </c:pt>
                <c:pt idx="229">
                  <c:v>663</c:v>
                </c:pt>
                <c:pt idx="230">
                  <c:v>661</c:v>
                </c:pt>
                <c:pt idx="231">
                  <c:v>713</c:v>
                </c:pt>
                <c:pt idx="232">
                  <c:v>639</c:v>
                </c:pt>
                <c:pt idx="233">
                  <c:v>771</c:v>
                </c:pt>
                <c:pt idx="234" formatCode="0">
                  <c:v>702</c:v>
                </c:pt>
                <c:pt idx="235">
                  <c:v>670</c:v>
                </c:pt>
                <c:pt idx="236">
                  <c:v>735</c:v>
                </c:pt>
                <c:pt idx="237">
                  <c:v>772</c:v>
                </c:pt>
                <c:pt idx="238">
                  <c:v>860</c:v>
                </c:pt>
                <c:pt idx="239">
                  <c:v>718</c:v>
                </c:pt>
                <c:pt idx="240">
                  <c:v>655</c:v>
                </c:pt>
                <c:pt idx="241">
                  <c:v>670</c:v>
                </c:pt>
                <c:pt idx="242">
                  <c:v>638</c:v>
                </c:pt>
                <c:pt idx="243">
                  <c:v>624</c:v>
                </c:pt>
                <c:pt idx="244">
                  <c:v>603</c:v>
                </c:pt>
                <c:pt idx="245">
                  <c:v>609</c:v>
                </c:pt>
                <c:pt idx="246">
                  <c:v>546</c:v>
                </c:pt>
                <c:pt idx="247">
                  <c:v>538</c:v>
                </c:pt>
                <c:pt idx="248">
                  <c:v>596</c:v>
                </c:pt>
                <c:pt idx="249">
                  <c:v>599</c:v>
                </c:pt>
                <c:pt idx="250">
                  <c:v>556</c:v>
                </c:pt>
                <c:pt idx="251">
                  <c:v>471</c:v>
                </c:pt>
                <c:pt idx="252">
                  <c:v>471</c:v>
                </c:pt>
                <c:pt idx="253">
                  <c:v>471</c:v>
                </c:pt>
                <c:pt idx="254">
                  <c:v>485</c:v>
                </c:pt>
                <c:pt idx="255">
                  <c:v>518</c:v>
                </c:pt>
                <c:pt idx="256">
                  <c:v>501</c:v>
                </c:pt>
                <c:pt idx="257">
                  <c:v>469</c:v>
                </c:pt>
                <c:pt idx="258">
                  <c:v>432</c:v>
                </c:pt>
                <c:pt idx="259" formatCode="0">
                  <c:v>408</c:v>
                </c:pt>
                <c:pt idx="260">
                  <c:v>456</c:v>
                </c:pt>
                <c:pt idx="261">
                  <c:v>446</c:v>
                </c:pt>
                <c:pt idx="262">
                  <c:v>469</c:v>
                </c:pt>
                <c:pt idx="263">
                  <c:v>488</c:v>
                </c:pt>
                <c:pt idx="264">
                  <c:v>512</c:v>
                </c:pt>
                <c:pt idx="265">
                  <c:v>519</c:v>
                </c:pt>
                <c:pt idx="266">
                  <c:v>576</c:v>
                </c:pt>
                <c:pt idx="267">
                  <c:v>613</c:v>
                </c:pt>
                <c:pt idx="268">
                  <c:v>627</c:v>
                </c:pt>
                <c:pt idx="269">
                  <c:v>612</c:v>
                </c:pt>
                <c:pt idx="270">
                  <c:v>623</c:v>
                </c:pt>
                <c:pt idx="271">
                  <c:v>780</c:v>
                </c:pt>
                <c:pt idx="272">
                  <c:v>698</c:v>
                </c:pt>
                <c:pt idx="273">
                  <c:v>715</c:v>
                </c:pt>
                <c:pt idx="274">
                  <c:v>696</c:v>
                </c:pt>
                <c:pt idx="275">
                  <c:v>736</c:v>
                </c:pt>
                <c:pt idx="276">
                  <c:v>752</c:v>
                </c:pt>
                <c:pt idx="277">
                  <c:v>798</c:v>
                </c:pt>
                <c:pt idx="285">
                  <c:v>761</c:v>
                </c:pt>
                <c:pt idx="286" formatCode="0">
                  <c:v>840</c:v>
                </c:pt>
                <c:pt idx="287">
                  <c:v>850</c:v>
                </c:pt>
                <c:pt idx="288">
                  <c:v>740</c:v>
                </c:pt>
                <c:pt idx="289">
                  <c:v>1054</c:v>
                </c:pt>
                <c:pt idx="290">
                  <c:v>980</c:v>
                </c:pt>
                <c:pt idx="291">
                  <c:v>763</c:v>
                </c:pt>
                <c:pt idx="292">
                  <c:v>760</c:v>
                </c:pt>
                <c:pt idx="293">
                  <c:v>704</c:v>
                </c:pt>
                <c:pt idx="294">
                  <c:v>825</c:v>
                </c:pt>
                <c:pt idx="295">
                  <c:v>800</c:v>
                </c:pt>
                <c:pt idx="296">
                  <c:v>737</c:v>
                </c:pt>
                <c:pt idx="297">
                  <c:v>570</c:v>
                </c:pt>
                <c:pt idx="298">
                  <c:v>495</c:v>
                </c:pt>
                <c:pt idx="299">
                  <c:v>510</c:v>
                </c:pt>
                <c:pt idx="300">
                  <c:v>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3-4DF8-9AB9-B9194F70D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209663"/>
        <c:axId val="1"/>
      </c:lineChart>
      <c:catAx>
        <c:axId val="1081209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9090942242822938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3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ppm</a:t>
                </a:r>
              </a:p>
            </c:rich>
          </c:tx>
          <c:layout>
            <c:manualLayout>
              <c:xMode val="edge"/>
              <c:yMode val="edge"/>
              <c:x val="1.8181730939939636E-3"/>
              <c:y val="0.413212931716868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1209663"/>
        <c:crosses val="autoZero"/>
        <c:crossBetween val="between"/>
        <c:majorUnit val="50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77" r="0.75000000000001177" t="1" header="0.5" footer="0.5"/>
    <c:pageSetup orientation="landscape" horizontalDpi="-4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Iron</a:t>
            </a:r>
          </a:p>
        </c:rich>
      </c:tx>
      <c:layout>
        <c:manualLayout>
          <c:xMode val="edge"/>
          <c:yMode val="edge"/>
          <c:x val="0.50671635658802316"/>
          <c:y val="4.06190892805066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73110634528833"/>
          <c:y val="0.19879561928391631"/>
          <c:w val="0.83187208733103557"/>
          <c:h val="0.45067428990927166"/>
        </c:manualLayout>
      </c:layout>
      <c:lineChart>
        <c:grouping val="standard"/>
        <c:varyColors val="0"/>
        <c:ser>
          <c:idx val="1"/>
          <c:order val="0"/>
          <c:tx>
            <c:v>Total Iron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'ECH CT PH Process'!$A$5:$A$309</c:f>
              <c:strCache>
                <c:ptCount val="301"/>
                <c:pt idx="0">
                  <c:v>02.09.24</c:v>
                </c:pt>
                <c:pt idx="1">
                  <c:v>03.09.24</c:v>
                </c:pt>
                <c:pt idx="2">
                  <c:v>04.09.24</c:v>
                </c:pt>
                <c:pt idx="3">
                  <c:v>05.09.24</c:v>
                </c:pt>
                <c:pt idx="4">
                  <c:v>06.09.24</c:v>
                </c:pt>
                <c:pt idx="5">
                  <c:v>07.09.24</c:v>
                </c:pt>
                <c:pt idx="6">
                  <c:v>09.09.24</c:v>
                </c:pt>
                <c:pt idx="7">
                  <c:v>10.09.24</c:v>
                </c:pt>
                <c:pt idx="8">
                  <c:v>11.09.24</c:v>
                </c:pt>
                <c:pt idx="9">
                  <c:v>12.09.24</c:v>
                </c:pt>
                <c:pt idx="10">
                  <c:v>13.09.24</c:v>
                </c:pt>
                <c:pt idx="11">
                  <c:v>14.09.24</c:v>
                </c:pt>
                <c:pt idx="12">
                  <c:v>16.09.24</c:v>
                </c:pt>
                <c:pt idx="13">
                  <c:v>17.09.24</c:v>
                </c:pt>
                <c:pt idx="14">
                  <c:v>18.09.24</c:v>
                </c:pt>
                <c:pt idx="15">
                  <c:v>19.09.24</c:v>
                </c:pt>
                <c:pt idx="16">
                  <c:v>20.09.24</c:v>
                </c:pt>
                <c:pt idx="17">
                  <c:v>21.09.24</c:v>
                </c:pt>
                <c:pt idx="18">
                  <c:v>23.09.24</c:v>
                </c:pt>
                <c:pt idx="19">
                  <c:v>24.09.24</c:v>
                </c:pt>
                <c:pt idx="20">
                  <c:v>25.09.24</c:v>
                </c:pt>
                <c:pt idx="21">
                  <c:v>26.09.24</c:v>
                </c:pt>
                <c:pt idx="22">
                  <c:v>27.09.24</c:v>
                </c:pt>
                <c:pt idx="23">
                  <c:v>28.09.24</c:v>
                </c:pt>
                <c:pt idx="24">
                  <c:v>30.09.24</c:v>
                </c:pt>
                <c:pt idx="25">
                  <c:v>01.10.24</c:v>
                </c:pt>
                <c:pt idx="26">
                  <c:v>02.10.24</c:v>
                </c:pt>
                <c:pt idx="27">
                  <c:v>03.10.24</c:v>
                </c:pt>
                <c:pt idx="28">
                  <c:v>04.10.24</c:v>
                </c:pt>
                <c:pt idx="29">
                  <c:v>05.10.24</c:v>
                </c:pt>
                <c:pt idx="30">
                  <c:v>07.10.24</c:v>
                </c:pt>
                <c:pt idx="31">
                  <c:v>08.10.24</c:v>
                </c:pt>
                <c:pt idx="32">
                  <c:v>09.10.24</c:v>
                </c:pt>
                <c:pt idx="33">
                  <c:v>10.10.24</c:v>
                </c:pt>
                <c:pt idx="34">
                  <c:v>11.10.24</c:v>
                </c:pt>
                <c:pt idx="35">
                  <c:v>12.10.24</c:v>
                </c:pt>
                <c:pt idx="36">
                  <c:v>14.10.24</c:v>
                </c:pt>
                <c:pt idx="37">
                  <c:v>15.10.24</c:v>
                </c:pt>
                <c:pt idx="38">
                  <c:v>16.10.24</c:v>
                </c:pt>
                <c:pt idx="39">
                  <c:v>17.10.24</c:v>
                </c:pt>
                <c:pt idx="40">
                  <c:v>18.10.24</c:v>
                </c:pt>
                <c:pt idx="41">
                  <c:v>19.10.24</c:v>
                </c:pt>
                <c:pt idx="42">
                  <c:v>21.10.24</c:v>
                </c:pt>
                <c:pt idx="43">
                  <c:v>22.10.24</c:v>
                </c:pt>
                <c:pt idx="44">
                  <c:v>23.10.24</c:v>
                </c:pt>
                <c:pt idx="45">
                  <c:v>24.10.24</c:v>
                </c:pt>
                <c:pt idx="46">
                  <c:v>25.10.24</c:v>
                </c:pt>
                <c:pt idx="47">
                  <c:v>26.10.24</c:v>
                </c:pt>
                <c:pt idx="48">
                  <c:v>28.10.24</c:v>
                </c:pt>
                <c:pt idx="49">
                  <c:v>29.10.24</c:v>
                </c:pt>
                <c:pt idx="50">
                  <c:v>30.10.24</c:v>
                </c:pt>
                <c:pt idx="51">
                  <c:v>31.10.24</c:v>
                </c:pt>
                <c:pt idx="52">
                  <c:v>04.11.24</c:v>
                </c:pt>
                <c:pt idx="53">
                  <c:v>05.11.24</c:v>
                </c:pt>
                <c:pt idx="54">
                  <c:v>06.11.24</c:v>
                </c:pt>
                <c:pt idx="55">
                  <c:v>07.11.24</c:v>
                </c:pt>
                <c:pt idx="56">
                  <c:v>08.11.24</c:v>
                </c:pt>
                <c:pt idx="57">
                  <c:v>09.11.24</c:v>
                </c:pt>
                <c:pt idx="58">
                  <c:v>11.11.24</c:v>
                </c:pt>
                <c:pt idx="59">
                  <c:v>12.11.24</c:v>
                </c:pt>
                <c:pt idx="60">
                  <c:v>13.11.24</c:v>
                </c:pt>
                <c:pt idx="61">
                  <c:v>14.11.24</c:v>
                </c:pt>
                <c:pt idx="62">
                  <c:v>15.11.24</c:v>
                </c:pt>
                <c:pt idx="63">
                  <c:v>16.11.24</c:v>
                </c:pt>
                <c:pt idx="64">
                  <c:v>18.11.24</c:v>
                </c:pt>
                <c:pt idx="65">
                  <c:v>19.11.24</c:v>
                </c:pt>
                <c:pt idx="66">
                  <c:v>20.11.24</c:v>
                </c:pt>
                <c:pt idx="67">
                  <c:v>21.11.24</c:v>
                </c:pt>
                <c:pt idx="68">
                  <c:v>22.11.24</c:v>
                </c:pt>
                <c:pt idx="69">
                  <c:v>23.11.24</c:v>
                </c:pt>
                <c:pt idx="70">
                  <c:v>25.11.24</c:v>
                </c:pt>
                <c:pt idx="71">
                  <c:v>26.11.24</c:v>
                </c:pt>
                <c:pt idx="72">
                  <c:v>27.11.24</c:v>
                </c:pt>
                <c:pt idx="73">
                  <c:v>28.11.24</c:v>
                </c:pt>
                <c:pt idx="74">
                  <c:v>29.11.24</c:v>
                </c:pt>
                <c:pt idx="75">
                  <c:v>30.11.24</c:v>
                </c:pt>
                <c:pt idx="76">
                  <c:v>02.12.24</c:v>
                </c:pt>
                <c:pt idx="77">
                  <c:v>03.12.24</c:v>
                </c:pt>
                <c:pt idx="78">
                  <c:v>04.12.24</c:v>
                </c:pt>
                <c:pt idx="79">
                  <c:v>05.12.24</c:v>
                </c:pt>
                <c:pt idx="80">
                  <c:v>06.12.24</c:v>
                </c:pt>
                <c:pt idx="81">
                  <c:v>07.12.24</c:v>
                </c:pt>
                <c:pt idx="82">
                  <c:v>09.12.24</c:v>
                </c:pt>
                <c:pt idx="83">
                  <c:v>10.12.24</c:v>
                </c:pt>
                <c:pt idx="84">
                  <c:v>11.12.24</c:v>
                </c:pt>
                <c:pt idx="85">
                  <c:v>12.12.24</c:v>
                </c:pt>
                <c:pt idx="86">
                  <c:v>13.12.24</c:v>
                </c:pt>
                <c:pt idx="87">
                  <c:v>14.12.24</c:v>
                </c:pt>
                <c:pt idx="88">
                  <c:v>16.12.24</c:v>
                </c:pt>
                <c:pt idx="89">
                  <c:v>17.12.24</c:v>
                </c:pt>
                <c:pt idx="90">
                  <c:v>18.12.24</c:v>
                </c:pt>
                <c:pt idx="91">
                  <c:v>19.12.24</c:v>
                </c:pt>
                <c:pt idx="92">
                  <c:v>20.12.24</c:v>
                </c:pt>
                <c:pt idx="93">
                  <c:v>21.12.24</c:v>
                </c:pt>
                <c:pt idx="94">
                  <c:v>23.12.24</c:v>
                </c:pt>
                <c:pt idx="95">
                  <c:v>24.12.24</c:v>
                </c:pt>
                <c:pt idx="96">
                  <c:v>25.12.24</c:v>
                </c:pt>
                <c:pt idx="97">
                  <c:v>26.12.24</c:v>
                </c:pt>
                <c:pt idx="98">
                  <c:v>27.12.24</c:v>
                </c:pt>
                <c:pt idx="99">
                  <c:v>28.12.24</c:v>
                </c:pt>
                <c:pt idx="100">
                  <c:v>30.12.24</c:v>
                </c:pt>
                <c:pt idx="101">
                  <c:v>31.12.24</c:v>
                </c:pt>
                <c:pt idx="102">
                  <c:v>01.01.25</c:v>
                </c:pt>
                <c:pt idx="103">
                  <c:v>02.01.25</c:v>
                </c:pt>
                <c:pt idx="104">
                  <c:v>03.01.25</c:v>
                </c:pt>
                <c:pt idx="105">
                  <c:v>04.01.25</c:v>
                </c:pt>
                <c:pt idx="106">
                  <c:v>08.01.25</c:v>
                </c:pt>
                <c:pt idx="107">
                  <c:v>09.01.25</c:v>
                </c:pt>
                <c:pt idx="108">
                  <c:v>10.01.25</c:v>
                </c:pt>
                <c:pt idx="109">
                  <c:v>11.01.25</c:v>
                </c:pt>
                <c:pt idx="110">
                  <c:v>13.01.25</c:v>
                </c:pt>
                <c:pt idx="111">
                  <c:v>15.01.25</c:v>
                </c:pt>
                <c:pt idx="112">
                  <c:v>16.01.25</c:v>
                </c:pt>
                <c:pt idx="113">
                  <c:v>17.01.25</c:v>
                </c:pt>
                <c:pt idx="114">
                  <c:v>18.01.25</c:v>
                </c:pt>
                <c:pt idx="115">
                  <c:v>20.01.25</c:v>
                </c:pt>
                <c:pt idx="116">
                  <c:v>21.01.25</c:v>
                </c:pt>
                <c:pt idx="117">
                  <c:v>22.01.25</c:v>
                </c:pt>
                <c:pt idx="118">
                  <c:v>23.01.25</c:v>
                </c:pt>
                <c:pt idx="119">
                  <c:v>24.01.25</c:v>
                </c:pt>
                <c:pt idx="120">
                  <c:v>25.01.25</c:v>
                </c:pt>
                <c:pt idx="121">
                  <c:v>27.01.25</c:v>
                </c:pt>
                <c:pt idx="122">
                  <c:v>28.01.25</c:v>
                </c:pt>
                <c:pt idx="123">
                  <c:v>29.01.25</c:v>
                </c:pt>
                <c:pt idx="124">
                  <c:v>30.01.25</c:v>
                </c:pt>
                <c:pt idx="125">
                  <c:v>31.01.25</c:v>
                </c:pt>
                <c:pt idx="126">
                  <c:v>01.02.25</c:v>
                </c:pt>
                <c:pt idx="127">
                  <c:v>03.02.25</c:v>
                </c:pt>
                <c:pt idx="128">
                  <c:v>04.02.25</c:v>
                </c:pt>
                <c:pt idx="129">
                  <c:v>05.02.25</c:v>
                </c:pt>
                <c:pt idx="130">
                  <c:v>06.02.25</c:v>
                </c:pt>
                <c:pt idx="131">
                  <c:v>07.02.25</c:v>
                </c:pt>
                <c:pt idx="132">
                  <c:v>08.02.25</c:v>
                </c:pt>
                <c:pt idx="133">
                  <c:v>10.02.25</c:v>
                </c:pt>
                <c:pt idx="134">
                  <c:v>11.02.25</c:v>
                </c:pt>
                <c:pt idx="135">
                  <c:v>12.02.25</c:v>
                </c:pt>
                <c:pt idx="136">
                  <c:v>13.02.25</c:v>
                </c:pt>
                <c:pt idx="137">
                  <c:v>14.02.25</c:v>
                </c:pt>
                <c:pt idx="138">
                  <c:v>15.02.25</c:v>
                </c:pt>
                <c:pt idx="139">
                  <c:v>17.02.25</c:v>
                </c:pt>
                <c:pt idx="140">
                  <c:v>18.02.25</c:v>
                </c:pt>
                <c:pt idx="141">
                  <c:v>19.02.25</c:v>
                </c:pt>
                <c:pt idx="142">
                  <c:v>20.02.25</c:v>
                </c:pt>
                <c:pt idx="143">
                  <c:v>21.02.25</c:v>
                </c:pt>
                <c:pt idx="144">
                  <c:v>22.02.25</c:v>
                </c:pt>
                <c:pt idx="145">
                  <c:v>24.02.25</c:v>
                </c:pt>
                <c:pt idx="146">
                  <c:v>25.02.25</c:v>
                </c:pt>
                <c:pt idx="147">
                  <c:v>27.02.25</c:v>
                </c:pt>
                <c:pt idx="148">
                  <c:v>28.02.25</c:v>
                </c:pt>
                <c:pt idx="149">
                  <c:v>01.03.25</c:v>
                </c:pt>
                <c:pt idx="150">
                  <c:v>03.03.25</c:v>
                </c:pt>
                <c:pt idx="151">
                  <c:v>04.03.25</c:v>
                </c:pt>
                <c:pt idx="152">
                  <c:v>05.03.25</c:v>
                </c:pt>
                <c:pt idx="153">
                  <c:v>06.03.25</c:v>
                </c:pt>
                <c:pt idx="154">
                  <c:v>07.03.25</c:v>
                </c:pt>
                <c:pt idx="155">
                  <c:v>08.03.25</c:v>
                </c:pt>
                <c:pt idx="156">
                  <c:v>10.03.25</c:v>
                </c:pt>
                <c:pt idx="157">
                  <c:v>11.03.25</c:v>
                </c:pt>
                <c:pt idx="158">
                  <c:v>12.03.25</c:v>
                </c:pt>
                <c:pt idx="159">
                  <c:v>13.03.25</c:v>
                </c:pt>
                <c:pt idx="160">
                  <c:v>15.03.25</c:v>
                </c:pt>
                <c:pt idx="161">
                  <c:v>17.03.25</c:v>
                </c:pt>
                <c:pt idx="162">
                  <c:v>18.03.25</c:v>
                </c:pt>
                <c:pt idx="163">
                  <c:v>19.03.25</c:v>
                </c:pt>
                <c:pt idx="164">
                  <c:v>20.03.25</c:v>
                </c:pt>
                <c:pt idx="165">
                  <c:v>21.03.25</c:v>
                </c:pt>
                <c:pt idx="166">
                  <c:v>22.03.25</c:v>
                </c:pt>
                <c:pt idx="167">
                  <c:v>24.03.25</c:v>
                </c:pt>
                <c:pt idx="168">
                  <c:v>25.03.25</c:v>
                </c:pt>
                <c:pt idx="169">
                  <c:v>26.03.25</c:v>
                </c:pt>
                <c:pt idx="170">
                  <c:v>27.03.25</c:v>
                </c:pt>
                <c:pt idx="171">
                  <c:v>28.03.25</c:v>
                </c:pt>
                <c:pt idx="172">
                  <c:v>29.03.25</c:v>
                </c:pt>
                <c:pt idx="173">
                  <c:v>31.03.25</c:v>
                </c:pt>
                <c:pt idx="174">
                  <c:v>01.04.25</c:v>
                </c:pt>
                <c:pt idx="175">
                  <c:v>02.04.25</c:v>
                </c:pt>
                <c:pt idx="176">
                  <c:v>03.04.25</c:v>
                </c:pt>
                <c:pt idx="177">
                  <c:v>04.04.25</c:v>
                </c:pt>
                <c:pt idx="178">
                  <c:v>05.04.25</c:v>
                </c:pt>
                <c:pt idx="179">
                  <c:v>07.04.25</c:v>
                </c:pt>
                <c:pt idx="180">
                  <c:v>08.04.25</c:v>
                </c:pt>
                <c:pt idx="181">
                  <c:v>09.04.25</c:v>
                </c:pt>
                <c:pt idx="182">
                  <c:v>10.04.25</c:v>
                </c:pt>
                <c:pt idx="183">
                  <c:v>11.04.25</c:v>
                </c:pt>
                <c:pt idx="184">
                  <c:v>12.04.25</c:v>
                </c:pt>
                <c:pt idx="185">
                  <c:v>14.04.25</c:v>
                </c:pt>
                <c:pt idx="186">
                  <c:v>15.04.25</c:v>
                </c:pt>
                <c:pt idx="187">
                  <c:v>16.04.25</c:v>
                </c:pt>
                <c:pt idx="188">
                  <c:v>17.04.25</c:v>
                </c:pt>
                <c:pt idx="189">
                  <c:v>18.04.25</c:v>
                </c:pt>
                <c:pt idx="190">
                  <c:v>19.04.25</c:v>
                </c:pt>
                <c:pt idx="191">
                  <c:v>21.04.25</c:v>
                </c:pt>
                <c:pt idx="192">
                  <c:v>22.04.25</c:v>
                </c:pt>
                <c:pt idx="193">
                  <c:v>23.04.25</c:v>
                </c:pt>
                <c:pt idx="194">
                  <c:v>24.04.25</c:v>
                </c:pt>
                <c:pt idx="195">
                  <c:v>25.04.25</c:v>
                </c:pt>
                <c:pt idx="196">
                  <c:v>26.04.25</c:v>
                </c:pt>
                <c:pt idx="197">
                  <c:v>28.04.25</c:v>
                </c:pt>
                <c:pt idx="198">
                  <c:v>29.04.25</c:v>
                </c:pt>
                <c:pt idx="199">
                  <c:v>30.04.25</c:v>
                </c:pt>
                <c:pt idx="200">
                  <c:v>01.05.25</c:v>
                </c:pt>
                <c:pt idx="201">
                  <c:v>02.05.25</c:v>
                </c:pt>
                <c:pt idx="202">
                  <c:v>03.05.25</c:v>
                </c:pt>
                <c:pt idx="203">
                  <c:v>05.05.25</c:v>
                </c:pt>
                <c:pt idx="204">
                  <c:v>06.05.25</c:v>
                </c:pt>
                <c:pt idx="205">
                  <c:v>07.05.25</c:v>
                </c:pt>
                <c:pt idx="206">
                  <c:v>08.05.25</c:v>
                </c:pt>
                <c:pt idx="207">
                  <c:v>09.05.25</c:v>
                </c:pt>
                <c:pt idx="208">
                  <c:v>10.05.25</c:v>
                </c:pt>
                <c:pt idx="209">
                  <c:v>12.05.25</c:v>
                </c:pt>
                <c:pt idx="210">
                  <c:v>13.05.25</c:v>
                </c:pt>
                <c:pt idx="211">
                  <c:v>14.05.25</c:v>
                </c:pt>
                <c:pt idx="212">
                  <c:v>15.05.25</c:v>
                </c:pt>
                <c:pt idx="213">
                  <c:v>16.05.25</c:v>
                </c:pt>
                <c:pt idx="214">
                  <c:v>17.05.25</c:v>
                </c:pt>
                <c:pt idx="215">
                  <c:v>19.05.25</c:v>
                </c:pt>
                <c:pt idx="216">
                  <c:v>20.05.25</c:v>
                </c:pt>
                <c:pt idx="217">
                  <c:v>21.05.25</c:v>
                </c:pt>
                <c:pt idx="218">
                  <c:v>22.05.25</c:v>
                </c:pt>
                <c:pt idx="219">
                  <c:v>23.05.25</c:v>
                </c:pt>
                <c:pt idx="220">
                  <c:v>24.05.25</c:v>
                </c:pt>
                <c:pt idx="221">
                  <c:v>26.05.25</c:v>
                </c:pt>
                <c:pt idx="222">
                  <c:v>27.05.25</c:v>
                </c:pt>
                <c:pt idx="223">
                  <c:v>28.05.25</c:v>
                </c:pt>
                <c:pt idx="224">
                  <c:v>29.05.25</c:v>
                </c:pt>
                <c:pt idx="225">
                  <c:v>30.05.25</c:v>
                </c:pt>
                <c:pt idx="226">
                  <c:v>31.05.25</c:v>
                </c:pt>
                <c:pt idx="227">
                  <c:v>02.06.25</c:v>
                </c:pt>
                <c:pt idx="228">
                  <c:v>03.06.25</c:v>
                </c:pt>
                <c:pt idx="229">
                  <c:v>04.06.25</c:v>
                </c:pt>
                <c:pt idx="230">
                  <c:v>05.06.25</c:v>
                </c:pt>
                <c:pt idx="231">
                  <c:v>06.06.25</c:v>
                </c:pt>
                <c:pt idx="232">
                  <c:v>07.06.25</c:v>
                </c:pt>
                <c:pt idx="233">
                  <c:v>09.06.25</c:v>
                </c:pt>
                <c:pt idx="234">
                  <c:v>10.06.25</c:v>
                </c:pt>
                <c:pt idx="235">
                  <c:v>11.06.25</c:v>
                </c:pt>
                <c:pt idx="236">
                  <c:v>12.06.25</c:v>
                </c:pt>
                <c:pt idx="237">
                  <c:v>13.06.25</c:v>
                </c:pt>
                <c:pt idx="238">
                  <c:v>14.06.25</c:v>
                </c:pt>
                <c:pt idx="239">
                  <c:v>16.06.25</c:v>
                </c:pt>
                <c:pt idx="240">
                  <c:v>17.06.25</c:v>
                </c:pt>
                <c:pt idx="241">
                  <c:v>18.06.25</c:v>
                </c:pt>
                <c:pt idx="242">
                  <c:v>19.06.25</c:v>
                </c:pt>
                <c:pt idx="243">
                  <c:v>20.06.25</c:v>
                </c:pt>
                <c:pt idx="244">
                  <c:v>21.06.25</c:v>
                </c:pt>
                <c:pt idx="245">
                  <c:v>23.06.25</c:v>
                </c:pt>
                <c:pt idx="246">
                  <c:v>24.06.25</c:v>
                </c:pt>
                <c:pt idx="247">
                  <c:v>25.06.25</c:v>
                </c:pt>
                <c:pt idx="248">
                  <c:v>26.06.25</c:v>
                </c:pt>
                <c:pt idx="249">
                  <c:v>27.06.25</c:v>
                </c:pt>
                <c:pt idx="250">
                  <c:v>28.06.25</c:v>
                </c:pt>
                <c:pt idx="251">
                  <c:v>30.06.25</c:v>
                </c:pt>
                <c:pt idx="252">
                  <c:v>01.07.25</c:v>
                </c:pt>
                <c:pt idx="253">
                  <c:v>02.07.25</c:v>
                </c:pt>
                <c:pt idx="254">
                  <c:v>03.07.25</c:v>
                </c:pt>
                <c:pt idx="255">
                  <c:v>04.07.25</c:v>
                </c:pt>
                <c:pt idx="256">
                  <c:v>05.07.25</c:v>
                </c:pt>
                <c:pt idx="257">
                  <c:v>07.07.25</c:v>
                </c:pt>
                <c:pt idx="258">
                  <c:v>08.07.25</c:v>
                </c:pt>
                <c:pt idx="259">
                  <c:v>09.07.25</c:v>
                </c:pt>
                <c:pt idx="260">
                  <c:v>10.07.25</c:v>
                </c:pt>
                <c:pt idx="261">
                  <c:v>11.07.25</c:v>
                </c:pt>
                <c:pt idx="262">
                  <c:v>12.07.25</c:v>
                </c:pt>
                <c:pt idx="263">
                  <c:v>14.07.25</c:v>
                </c:pt>
                <c:pt idx="264">
                  <c:v>15.07.25</c:v>
                </c:pt>
                <c:pt idx="265">
                  <c:v>16.07.25</c:v>
                </c:pt>
                <c:pt idx="266">
                  <c:v>17.07.25</c:v>
                </c:pt>
                <c:pt idx="267">
                  <c:v>18.07.25</c:v>
                </c:pt>
                <c:pt idx="268">
                  <c:v>19.07.25</c:v>
                </c:pt>
                <c:pt idx="269">
                  <c:v>21.07.25</c:v>
                </c:pt>
                <c:pt idx="270">
                  <c:v>22.07.25</c:v>
                </c:pt>
                <c:pt idx="271">
                  <c:v>23.07.25</c:v>
                </c:pt>
                <c:pt idx="272">
                  <c:v>24.07.25</c:v>
                </c:pt>
                <c:pt idx="273">
                  <c:v>25.07.25</c:v>
                </c:pt>
                <c:pt idx="274">
                  <c:v>26.07.25</c:v>
                </c:pt>
                <c:pt idx="275">
                  <c:v>28.07.25</c:v>
                </c:pt>
                <c:pt idx="276">
                  <c:v>29.07.25</c:v>
                </c:pt>
                <c:pt idx="277">
                  <c:v>30.07.25</c:v>
                </c:pt>
                <c:pt idx="278">
                  <c:v>31.07.25</c:v>
                </c:pt>
                <c:pt idx="279">
                  <c:v>01.08.25</c:v>
                </c:pt>
                <c:pt idx="280">
                  <c:v>02.08.25</c:v>
                </c:pt>
                <c:pt idx="281">
                  <c:v>04.08.25</c:v>
                </c:pt>
                <c:pt idx="282">
                  <c:v>05.08.25</c:v>
                </c:pt>
                <c:pt idx="283">
                  <c:v>06.08.25</c:v>
                </c:pt>
                <c:pt idx="284">
                  <c:v>07.08.25</c:v>
                </c:pt>
                <c:pt idx="285">
                  <c:v>08.08.25</c:v>
                </c:pt>
                <c:pt idx="286">
                  <c:v>11.08.25</c:v>
                </c:pt>
                <c:pt idx="287">
                  <c:v>12.08.25</c:v>
                </c:pt>
                <c:pt idx="288">
                  <c:v>13.08.25</c:v>
                </c:pt>
                <c:pt idx="289">
                  <c:v>14.08.25</c:v>
                </c:pt>
                <c:pt idx="290">
                  <c:v>15.08.25</c:v>
                </c:pt>
                <c:pt idx="291">
                  <c:v>18.08.25</c:v>
                </c:pt>
                <c:pt idx="292">
                  <c:v>19.08.25</c:v>
                </c:pt>
                <c:pt idx="293">
                  <c:v>20.08.25</c:v>
                </c:pt>
                <c:pt idx="294">
                  <c:v>21.08.25</c:v>
                </c:pt>
                <c:pt idx="295">
                  <c:v>22.08.25</c:v>
                </c:pt>
                <c:pt idx="296">
                  <c:v>23.08.25</c:v>
                </c:pt>
                <c:pt idx="297">
                  <c:v>26.08.25</c:v>
                </c:pt>
                <c:pt idx="298">
                  <c:v>27.08.25</c:v>
                </c:pt>
                <c:pt idx="299">
                  <c:v>28.08.25</c:v>
                </c:pt>
                <c:pt idx="300">
                  <c:v>29.08.25</c:v>
                </c:pt>
              </c:strCache>
            </c:strRef>
          </c:cat>
          <c:val>
            <c:numRef>
              <c:f>'ECH CT PH Process'!$O$6:$O$309</c:f>
              <c:numCache>
                <c:formatCode>0.00</c:formatCode>
                <c:ptCount val="3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2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0.4</c:v>
                </c:pt>
                <c:pt idx="240">
                  <c:v>0.4</c:v>
                </c:pt>
                <c:pt idx="241">
                  <c:v>0.3</c:v>
                </c:pt>
                <c:pt idx="242">
                  <c:v>0.3</c:v>
                </c:pt>
                <c:pt idx="243">
                  <c:v>0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0.2</c:v>
                </c:pt>
                <c:pt idx="251">
                  <c:v>0.2</c:v>
                </c:pt>
                <c:pt idx="252">
                  <c:v>0.2</c:v>
                </c:pt>
                <c:pt idx="253">
                  <c:v>0.2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0.2</c:v>
                </c:pt>
                <c:pt idx="258">
                  <c:v>0.2</c:v>
                </c:pt>
                <c:pt idx="259">
                  <c:v>0.2</c:v>
                </c:pt>
                <c:pt idx="260">
                  <c:v>0.3</c:v>
                </c:pt>
                <c:pt idx="261">
                  <c:v>0.2</c:v>
                </c:pt>
                <c:pt idx="262">
                  <c:v>0.2</c:v>
                </c:pt>
                <c:pt idx="263">
                  <c:v>0.2</c:v>
                </c:pt>
                <c:pt idx="264">
                  <c:v>0.2</c:v>
                </c:pt>
                <c:pt idx="265">
                  <c:v>0.2</c:v>
                </c:pt>
                <c:pt idx="266">
                  <c:v>0.2</c:v>
                </c:pt>
                <c:pt idx="267">
                  <c:v>0.2</c:v>
                </c:pt>
                <c:pt idx="268">
                  <c:v>0.2</c:v>
                </c:pt>
                <c:pt idx="269">
                  <c:v>0.2</c:v>
                </c:pt>
                <c:pt idx="270">
                  <c:v>0.2</c:v>
                </c:pt>
                <c:pt idx="271">
                  <c:v>0.2</c:v>
                </c:pt>
                <c:pt idx="272">
                  <c:v>0.2</c:v>
                </c:pt>
                <c:pt idx="273">
                  <c:v>0.2</c:v>
                </c:pt>
                <c:pt idx="274">
                  <c:v>0.2</c:v>
                </c:pt>
                <c:pt idx="275">
                  <c:v>0.2</c:v>
                </c:pt>
                <c:pt idx="276">
                  <c:v>0.2</c:v>
                </c:pt>
                <c:pt idx="284">
                  <c:v>0.4</c:v>
                </c:pt>
                <c:pt idx="285">
                  <c:v>0</c:v>
                </c:pt>
                <c:pt idx="286">
                  <c:v>0.2</c:v>
                </c:pt>
                <c:pt idx="287">
                  <c:v>0.2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0.4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84-4A5B-A5B7-DCCEC5844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214943"/>
        <c:axId val="1"/>
      </c:lineChart>
      <c:catAx>
        <c:axId val="1081214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534891702073157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1" i="0" u="none" strike="noStrike" baseline="-25000">
                    <a:solidFill>
                      <a:srgbClr val="0000FF"/>
                    </a:solidFill>
                    <a:latin typeface="Arial"/>
                    <a:cs typeface="Arial"/>
                  </a:rPr>
                  <a:t> </a:t>
                </a:r>
                <a:r>
                  <a:rPr lang="en-IN" sz="12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</a:p>
            </c:rich>
          </c:tx>
          <c:layout>
            <c:manualLayout>
              <c:xMode val="edge"/>
              <c:yMode val="edge"/>
              <c:x val="9.1574464794110678E-3"/>
              <c:y val="0.3680852393450818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1214943"/>
        <c:crosses val="autoZero"/>
        <c:crossBetween val="between"/>
        <c:majorUnit val="0.5"/>
        <c:minorUnit val="1.0000000000000005E-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77" r="0.75000000000001177" t="1" header="0.5" footer="0.5"/>
    <c:pageSetup orientation="landscape" horizontalDpi="-4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Total</a:t>
            </a:r>
            <a:r>
              <a:rPr lang="en-US" baseline="0"/>
              <a:t> Alk.</a:t>
            </a:r>
            <a:endParaRPr lang="en-US"/>
          </a:p>
        </c:rich>
      </c:tx>
      <c:layout>
        <c:manualLayout>
          <c:xMode val="edge"/>
          <c:yMode val="edge"/>
          <c:x val="0.44363673005225351"/>
          <c:y val="2.47460734074907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5268505079826"/>
          <c:y val="0.19819877943992656"/>
          <c:w val="0.8214804063860669"/>
          <c:h val="0.42385410157063702"/>
        </c:manualLayout>
      </c:layout>
      <c:lineChart>
        <c:grouping val="standard"/>
        <c:varyColors val="0"/>
        <c:ser>
          <c:idx val="1"/>
          <c:order val="0"/>
          <c:tx>
            <c:v>Total Alk.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'ECH CT PH Process'!$A$5:$A$309</c:f>
              <c:strCache>
                <c:ptCount val="301"/>
                <c:pt idx="0">
                  <c:v>02.09.24</c:v>
                </c:pt>
                <c:pt idx="1">
                  <c:v>03.09.24</c:v>
                </c:pt>
                <c:pt idx="2">
                  <c:v>04.09.24</c:v>
                </c:pt>
                <c:pt idx="3">
                  <c:v>05.09.24</c:v>
                </c:pt>
                <c:pt idx="4">
                  <c:v>06.09.24</c:v>
                </c:pt>
                <c:pt idx="5">
                  <c:v>07.09.24</c:v>
                </c:pt>
                <c:pt idx="6">
                  <c:v>09.09.24</c:v>
                </c:pt>
                <c:pt idx="7">
                  <c:v>10.09.24</c:v>
                </c:pt>
                <c:pt idx="8">
                  <c:v>11.09.24</c:v>
                </c:pt>
                <c:pt idx="9">
                  <c:v>12.09.24</c:v>
                </c:pt>
                <c:pt idx="10">
                  <c:v>13.09.24</c:v>
                </c:pt>
                <c:pt idx="11">
                  <c:v>14.09.24</c:v>
                </c:pt>
                <c:pt idx="12">
                  <c:v>16.09.24</c:v>
                </c:pt>
                <c:pt idx="13">
                  <c:v>17.09.24</c:v>
                </c:pt>
                <c:pt idx="14">
                  <c:v>18.09.24</c:v>
                </c:pt>
                <c:pt idx="15">
                  <c:v>19.09.24</c:v>
                </c:pt>
                <c:pt idx="16">
                  <c:v>20.09.24</c:v>
                </c:pt>
                <c:pt idx="17">
                  <c:v>21.09.24</c:v>
                </c:pt>
                <c:pt idx="18">
                  <c:v>23.09.24</c:v>
                </c:pt>
                <c:pt idx="19">
                  <c:v>24.09.24</c:v>
                </c:pt>
                <c:pt idx="20">
                  <c:v>25.09.24</c:v>
                </c:pt>
                <c:pt idx="21">
                  <c:v>26.09.24</c:v>
                </c:pt>
                <c:pt idx="22">
                  <c:v>27.09.24</c:v>
                </c:pt>
                <c:pt idx="23">
                  <c:v>28.09.24</c:v>
                </c:pt>
                <c:pt idx="24">
                  <c:v>30.09.24</c:v>
                </c:pt>
                <c:pt idx="25">
                  <c:v>01.10.24</c:v>
                </c:pt>
                <c:pt idx="26">
                  <c:v>02.10.24</c:v>
                </c:pt>
                <c:pt idx="27">
                  <c:v>03.10.24</c:v>
                </c:pt>
                <c:pt idx="28">
                  <c:v>04.10.24</c:v>
                </c:pt>
                <c:pt idx="29">
                  <c:v>05.10.24</c:v>
                </c:pt>
                <c:pt idx="30">
                  <c:v>07.10.24</c:v>
                </c:pt>
                <c:pt idx="31">
                  <c:v>08.10.24</c:v>
                </c:pt>
                <c:pt idx="32">
                  <c:v>09.10.24</c:v>
                </c:pt>
                <c:pt idx="33">
                  <c:v>10.10.24</c:v>
                </c:pt>
                <c:pt idx="34">
                  <c:v>11.10.24</c:v>
                </c:pt>
                <c:pt idx="35">
                  <c:v>12.10.24</c:v>
                </c:pt>
                <c:pt idx="36">
                  <c:v>14.10.24</c:v>
                </c:pt>
                <c:pt idx="37">
                  <c:v>15.10.24</c:v>
                </c:pt>
                <c:pt idx="38">
                  <c:v>16.10.24</c:v>
                </c:pt>
                <c:pt idx="39">
                  <c:v>17.10.24</c:v>
                </c:pt>
                <c:pt idx="40">
                  <c:v>18.10.24</c:v>
                </c:pt>
                <c:pt idx="41">
                  <c:v>19.10.24</c:v>
                </c:pt>
                <c:pt idx="42">
                  <c:v>21.10.24</c:v>
                </c:pt>
                <c:pt idx="43">
                  <c:v>22.10.24</c:v>
                </c:pt>
                <c:pt idx="44">
                  <c:v>23.10.24</c:v>
                </c:pt>
                <c:pt idx="45">
                  <c:v>24.10.24</c:v>
                </c:pt>
                <c:pt idx="46">
                  <c:v>25.10.24</c:v>
                </c:pt>
                <c:pt idx="47">
                  <c:v>26.10.24</c:v>
                </c:pt>
                <c:pt idx="48">
                  <c:v>28.10.24</c:v>
                </c:pt>
                <c:pt idx="49">
                  <c:v>29.10.24</c:v>
                </c:pt>
                <c:pt idx="50">
                  <c:v>30.10.24</c:v>
                </c:pt>
                <c:pt idx="51">
                  <c:v>31.10.24</c:v>
                </c:pt>
                <c:pt idx="52">
                  <c:v>04.11.24</c:v>
                </c:pt>
                <c:pt idx="53">
                  <c:v>05.11.24</c:v>
                </c:pt>
                <c:pt idx="54">
                  <c:v>06.11.24</c:v>
                </c:pt>
                <c:pt idx="55">
                  <c:v>07.11.24</c:v>
                </c:pt>
                <c:pt idx="56">
                  <c:v>08.11.24</c:v>
                </c:pt>
                <c:pt idx="57">
                  <c:v>09.11.24</c:v>
                </c:pt>
                <c:pt idx="58">
                  <c:v>11.11.24</c:v>
                </c:pt>
                <c:pt idx="59">
                  <c:v>12.11.24</c:v>
                </c:pt>
                <c:pt idx="60">
                  <c:v>13.11.24</c:v>
                </c:pt>
                <c:pt idx="61">
                  <c:v>14.11.24</c:v>
                </c:pt>
                <c:pt idx="62">
                  <c:v>15.11.24</c:v>
                </c:pt>
                <c:pt idx="63">
                  <c:v>16.11.24</c:v>
                </c:pt>
                <c:pt idx="64">
                  <c:v>18.11.24</c:v>
                </c:pt>
                <c:pt idx="65">
                  <c:v>19.11.24</c:v>
                </c:pt>
                <c:pt idx="66">
                  <c:v>20.11.24</c:v>
                </c:pt>
                <c:pt idx="67">
                  <c:v>21.11.24</c:v>
                </c:pt>
                <c:pt idx="68">
                  <c:v>22.11.24</c:v>
                </c:pt>
                <c:pt idx="69">
                  <c:v>23.11.24</c:v>
                </c:pt>
                <c:pt idx="70">
                  <c:v>25.11.24</c:v>
                </c:pt>
                <c:pt idx="71">
                  <c:v>26.11.24</c:v>
                </c:pt>
                <c:pt idx="72">
                  <c:v>27.11.24</c:v>
                </c:pt>
                <c:pt idx="73">
                  <c:v>28.11.24</c:v>
                </c:pt>
                <c:pt idx="74">
                  <c:v>29.11.24</c:v>
                </c:pt>
                <c:pt idx="75">
                  <c:v>30.11.24</c:v>
                </c:pt>
                <c:pt idx="76">
                  <c:v>02.12.24</c:v>
                </c:pt>
                <c:pt idx="77">
                  <c:v>03.12.24</c:v>
                </c:pt>
                <c:pt idx="78">
                  <c:v>04.12.24</c:v>
                </c:pt>
                <c:pt idx="79">
                  <c:v>05.12.24</c:v>
                </c:pt>
                <c:pt idx="80">
                  <c:v>06.12.24</c:v>
                </c:pt>
                <c:pt idx="81">
                  <c:v>07.12.24</c:v>
                </c:pt>
                <c:pt idx="82">
                  <c:v>09.12.24</c:v>
                </c:pt>
                <c:pt idx="83">
                  <c:v>10.12.24</c:v>
                </c:pt>
                <c:pt idx="84">
                  <c:v>11.12.24</c:v>
                </c:pt>
                <c:pt idx="85">
                  <c:v>12.12.24</c:v>
                </c:pt>
                <c:pt idx="86">
                  <c:v>13.12.24</c:v>
                </c:pt>
                <c:pt idx="87">
                  <c:v>14.12.24</c:v>
                </c:pt>
                <c:pt idx="88">
                  <c:v>16.12.24</c:v>
                </c:pt>
                <c:pt idx="89">
                  <c:v>17.12.24</c:v>
                </c:pt>
                <c:pt idx="90">
                  <c:v>18.12.24</c:v>
                </c:pt>
                <c:pt idx="91">
                  <c:v>19.12.24</c:v>
                </c:pt>
                <c:pt idx="92">
                  <c:v>20.12.24</c:v>
                </c:pt>
                <c:pt idx="93">
                  <c:v>21.12.24</c:v>
                </c:pt>
                <c:pt idx="94">
                  <c:v>23.12.24</c:v>
                </c:pt>
                <c:pt idx="95">
                  <c:v>24.12.24</c:v>
                </c:pt>
                <c:pt idx="96">
                  <c:v>25.12.24</c:v>
                </c:pt>
                <c:pt idx="97">
                  <c:v>26.12.24</c:v>
                </c:pt>
                <c:pt idx="98">
                  <c:v>27.12.24</c:v>
                </c:pt>
                <c:pt idx="99">
                  <c:v>28.12.24</c:v>
                </c:pt>
                <c:pt idx="100">
                  <c:v>30.12.24</c:v>
                </c:pt>
                <c:pt idx="101">
                  <c:v>31.12.24</c:v>
                </c:pt>
                <c:pt idx="102">
                  <c:v>01.01.25</c:v>
                </c:pt>
                <c:pt idx="103">
                  <c:v>02.01.25</c:v>
                </c:pt>
                <c:pt idx="104">
                  <c:v>03.01.25</c:v>
                </c:pt>
                <c:pt idx="105">
                  <c:v>04.01.25</c:v>
                </c:pt>
                <c:pt idx="106">
                  <c:v>08.01.25</c:v>
                </c:pt>
                <c:pt idx="107">
                  <c:v>09.01.25</c:v>
                </c:pt>
                <c:pt idx="108">
                  <c:v>10.01.25</c:v>
                </c:pt>
                <c:pt idx="109">
                  <c:v>11.01.25</c:v>
                </c:pt>
                <c:pt idx="110">
                  <c:v>13.01.25</c:v>
                </c:pt>
                <c:pt idx="111">
                  <c:v>15.01.25</c:v>
                </c:pt>
                <c:pt idx="112">
                  <c:v>16.01.25</c:v>
                </c:pt>
                <c:pt idx="113">
                  <c:v>17.01.25</c:v>
                </c:pt>
                <c:pt idx="114">
                  <c:v>18.01.25</c:v>
                </c:pt>
                <c:pt idx="115">
                  <c:v>20.01.25</c:v>
                </c:pt>
                <c:pt idx="116">
                  <c:v>21.01.25</c:v>
                </c:pt>
                <c:pt idx="117">
                  <c:v>22.01.25</c:v>
                </c:pt>
                <c:pt idx="118">
                  <c:v>23.01.25</c:v>
                </c:pt>
                <c:pt idx="119">
                  <c:v>24.01.25</c:v>
                </c:pt>
                <c:pt idx="120">
                  <c:v>25.01.25</c:v>
                </c:pt>
                <c:pt idx="121">
                  <c:v>27.01.25</c:v>
                </c:pt>
                <c:pt idx="122">
                  <c:v>28.01.25</c:v>
                </c:pt>
                <c:pt idx="123">
                  <c:v>29.01.25</c:v>
                </c:pt>
                <c:pt idx="124">
                  <c:v>30.01.25</c:v>
                </c:pt>
                <c:pt idx="125">
                  <c:v>31.01.25</c:v>
                </c:pt>
                <c:pt idx="126">
                  <c:v>01.02.25</c:v>
                </c:pt>
                <c:pt idx="127">
                  <c:v>03.02.25</c:v>
                </c:pt>
                <c:pt idx="128">
                  <c:v>04.02.25</c:v>
                </c:pt>
                <c:pt idx="129">
                  <c:v>05.02.25</c:v>
                </c:pt>
                <c:pt idx="130">
                  <c:v>06.02.25</c:v>
                </c:pt>
                <c:pt idx="131">
                  <c:v>07.02.25</c:v>
                </c:pt>
                <c:pt idx="132">
                  <c:v>08.02.25</c:v>
                </c:pt>
                <c:pt idx="133">
                  <c:v>10.02.25</c:v>
                </c:pt>
                <c:pt idx="134">
                  <c:v>11.02.25</c:v>
                </c:pt>
                <c:pt idx="135">
                  <c:v>12.02.25</c:v>
                </c:pt>
                <c:pt idx="136">
                  <c:v>13.02.25</c:v>
                </c:pt>
                <c:pt idx="137">
                  <c:v>14.02.25</c:v>
                </c:pt>
                <c:pt idx="138">
                  <c:v>15.02.25</c:v>
                </c:pt>
                <c:pt idx="139">
                  <c:v>17.02.25</c:v>
                </c:pt>
                <c:pt idx="140">
                  <c:v>18.02.25</c:v>
                </c:pt>
                <c:pt idx="141">
                  <c:v>19.02.25</c:v>
                </c:pt>
                <c:pt idx="142">
                  <c:v>20.02.25</c:v>
                </c:pt>
                <c:pt idx="143">
                  <c:v>21.02.25</c:v>
                </c:pt>
                <c:pt idx="144">
                  <c:v>22.02.25</c:v>
                </c:pt>
                <c:pt idx="145">
                  <c:v>24.02.25</c:v>
                </c:pt>
                <c:pt idx="146">
                  <c:v>25.02.25</c:v>
                </c:pt>
                <c:pt idx="147">
                  <c:v>27.02.25</c:v>
                </c:pt>
                <c:pt idx="148">
                  <c:v>28.02.25</c:v>
                </c:pt>
                <c:pt idx="149">
                  <c:v>01.03.25</c:v>
                </c:pt>
                <c:pt idx="150">
                  <c:v>03.03.25</c:v>
                </c:pt>
                <c:pt idx="151">
                  <c:v>04.03.25</c:v>
                </c:pt>
                <c:pt idx="152">
                  <c:v>05.03.25</c:v>
                </c:pt>
                <c:pt idx="153">
                  <c:v>06.03.25</c:v>
                </c:pt>
                <c:pt idx="154">
                  <c:v>07.03.25</c:v>
                </c:pt>
                <c:pt idx="155">
                  <c:v>08.03.25</c:v>
                </c:pt>
                <c:pt idx="156">
                  <c:v>10.03.25</c:v>
                </c:pt>
                <c:pt idx="157">
                  <c:v>11.03.25</c:v>
                </c:pt>
                <c:pt idx="158">
                  <c:v>12.03.25</c:v>
                </c:pt>
                <c:pt idx="159">
                  <c:v>13.03.25</c:v>
                </c:pt>
                <c:pt idx="160">
                  <c:v>15.03.25</c:v>
                </c:pt>
                <c:pt idx="161">
                  <c:v>17.03.25</c:v>
                </c:pt>
                <c:pt idx="162">
                  <c:v>18.03.25</c:v>
                </c:pt>
                <c:pt idx="163">
                  <c:v>19.03.25</c:v>
                </c:pt>
                <c:pt idx="164">
                  <c:v>20.03.25</c:v>
                </c:pt>
                <c:pt idx="165">
                  <c:v>21.03.25</c:v>
                </c:pt>
                <c:pt idx="166">
                  <c:v>22.03.25</c:v>
                </c:pt>
                <c:pt idx="167">
                  <c:v>24.03.25</c:v>
                </c:pt>
                <c:pt idx="168">
                  <c:v>25.03.25</c:v>
                </c:pt>
                <c:pt idx="169">
                  <c:v>26.03.25</c:v>
                </c:pt>
                <c:pt idx="170">
                  <c:v>27.03.25</c:v>
                </c:pt>
                <c:pt idx="171">
                  <c:v>28.03.25</c:v>
                </c:pt>
                <c:pt idx="172">
                  <c:v>29.03.25</c:v>
                </c:pt>
                <c:pt idx="173">
                  <c:v>31.03.25</c:v>
                </c:pt>
                <c:pt idx="174">
                  <c:v>01.04.25</c:v>
                </c:pt>
                <c:pt idx="175">
                  <c:v>02.04.25</c:v>
                </c:pt>
                <c:pt idx="176">
                  <c:v>03.04.25</c:v>
                </c:pt>
                <c:pt idx="177">
                  <c:v>04.04.25</c:v>
                </c:pt>
                <c:pt idx="178">
                  <c:v>05.04.25</c:v>
                </c:pt>
                <c:pt idx="179">
                  <c:v>07.04.25</c:v>
                </c:pt>
                <c:pt idx="180">
                  <c:v>08.04.25</c:v>
                </c:pt>
                <c:pt idx="181">
                  <c:v>09.04.25</c:v>
                </c:pt>
                <c:pt idx="182">
                  <c:v>10.04.25</c:v>
                </c:pt>
                <c:pt idx="183">
                  <c:v>11.04.25</c:v>
                </c:pt>
                <c:pt idx="184">
                  <c:v>12.04.25</c:v>
                </c:pt>
                <c:pt idx="185">
                  <c:v>14.04.25</c:v>
                </c:pt>
                <c:pt idx="186">
                  <c:v>15.04.25</c:v>
                </c:pt>
                <c:pt idx="187">
                  <c:v>16.04.25</c:v>
                </c:pt>
                <c:pt idx="188">
                  <c:v>17.04.25</c:v>
                </c:pt>
                <c:pt idx="189">
                  <c:v>18.04.25</c:v>
                </c:pt>
                <c:pt idx="190">
                  <c:v>19.04.25</c:v>
                </c:pt>
                <c:pt idx="191">
                  <c:v>21.04.25</c:v>
                </c:pt>
                <c:pt idx="192">
                  <c:v>22.04.25</c:v>
                </c:pt>
                <c:pt idx="193">
                  <c:v>23.04.25</c:v>
                </c:pt>
                <c:pt idx="194">
                  <c:v>24.04.25</c:v>
                </c:pt>
                <c:pt idx="195">
                  <c:v>25.04.25</c:v>
                </c:pt>
                <c:pt idx="196">
                  <c:v>26.04.25</c:v>
                </c:pt>
                <c:pt idx="197">
                  <c:v>28.04.25</c:v>
                </c:pt>
                <c:pt idx="198">
                  <c:v>29.04.25</c:v>
                </c:pt>
                <c:pt idx="199">
                  <c:v>30.04.25</c:v>
                </c:pt>
                <c:pt idx="200">
                  <c:v>01.05.25</c:v>
                </c:pt>
                <c:pt idx="201">
                  <c:v>02.05.25</c:v>
                </c:pt>
                <c:pt idx="202">
                  <c:v>03.05.25</c:v>
                </c:pt>
                <c:pt idx="203">
                  <c:v>05.05.25</c:v>
                </c:pt>
                <c:pt idx="204">
                  <c:v>06.05.25</c:v>
                </c:pt>
                <c:pt idx="205">
                  <c:v>07.05.25</c:v>
                </c:pt>
                <c:pt idx="206">
                  <c:v>08.05.25</c:v>
                </c:pt>
                <c:pt idx="207">
                  <c:v>09.05.25</c:v>
                </c:pt>
                <c:pt idx="208">
                  <c:v>10.05.25</c:v>
                </c:pt>
                <c:pt idx="209">
                  <c:v>12.05.25</c:v>
                </c:pt>
                <c:pt idx="210">
                  <c:v>13.05.25</c:v>
                </c:pt>
                <c:pt idx="211">
                  <c:v>14.05.25</c:v>
                </c:pt>
                <c:pt idx="212">
                  <c:v>15.05.25</c:v>
                </c:pt>
                <c:pt idx="213">
                  <c:v>16.05.25</c:v>
                </c:pt>
                <c:pt idx="214">
                  <c:v>17.05.25</c:v>
                </c:pt>
                <c:pt idx="215">
                  <c:v>19.05.25</c:v>
                </c:pt>
                <c:pt idx="216">
                  <c:v>20.05.25</c:v>
                </c:pt>
                <c:pt idx="217">
                  <c:v>21.05.25</c:v>
                </c:pt>
                <c:pt idx="218">
                  <c:v>22.05.25</c:v>
                </c:pt>
                <c:pt idx="219">
                  <c:v>23.05.25</c:v>
                </c:pt>
                <c:pt idx="220">
                  <c:v>24.05.25</c:v>
                </c:pt>
                <c:pt idx="221">
                  <c:v>26.05.25</c:v>
                </c:pt>
                <c:pt idx="222">
                  <c:v>27.05.25</c:v>
                </c:pt>
                <c:pt idx="223">
                  <c:v>28.05.25</c:v>
                </c:pt>
                <c:pt idx="224">
                  <c:v>29.05.25</c:v>
                </c:pt>
                <c:pt idx="225">
                  <c:v>30.05.25</c:v>
                </c:pt>
                <c:pt idx="226">
                  <c:v>31.05.25</c:v>
                </c:pt>
                <c:pt idx="227">
                  <c:v>02.06.25</c:v>
                </c:pt>
                <c:pt idx="228">
                  <c:v>03.06.25</c:v>
                </c:pt>
                <c:pt idx="229">
                  <c:v>04.06.25</c:v>
                </c:pt>
                <c:pt idx="230">
                  <c:v>05.06.25</c:v>
                </c:pt>
                <c:pt idx="231">
                  <c:v>06.06.25</c:v>
                </c:pt>
                <c:pt idx="232">
                  <c:v>07.06.25</c:v>
                </c:pt>
                <c:pt idx="233">
                  <c:v>09.06.25</c:v>
                </c:pt>
                <c:pt idx="234">
                  <c:v>10.06.25</c:v>
                </c:pt>
                <c:pt idx="235">
                  <c:v>11.06.25</c:v>
                </c:pt>
                <c:pt idx="236">
                  <c:v>12.06.25</c:v>
                </c:pt>
                <c:pt idx="237">
                  <c:v>13.06.25</c:v>
                </c:pt>
                <c:pt idx="238">
                  <c:v>14.06.25</c:v>
                </c:pt>
                <c:pt idx="239">
                  <c:v>16.06.25</c:v>
                </c:pt>
                <c:pt idx="240">
                  <c:v>17.06.25</c:v>
                </c:pt>
                <c:pt idx="241">
                  <c:v>18.06.25</c:v>
                </c:pt>
                <c:pt idx="242">
                  <c:v>19.06.25</c:v>
                </c:pt>
                <c:pt idx="243">
                  <c:v>20.06.25</c:v>
                </c:pt>
                <c:pt idx="244">
                  <c:v>21.06.25</c:v>
                </c:pt>
                <c:pt idx="245">
                  <c:v>23.06.25</c:v>
                </c:pt>
                <c:pt idx="246">
                  <c:v>24.06.25</c:v>
                </c:pt>
                <c:pt idx="247">
                  <c:v>25.06.25</c:v>
                </c:pt>
                <c:pt idx="248">
                  <c:v>26.06.25</c:v>
                </c:pt>
                <c:pt idx="249">
                  <c:v>27.06.25</c:v>
                </c:pt>
                <c:pt idx="250">
                  <c:v>28.06.25</c:v>
                </c:pt>
                <c:pt idx="251">
                  <c:v>30.06.25</c:v>
                </c:pt>
                <c:pt idx="252">
                  <c:v>01.07.25</c:v>
                </c:pt>
                <c:pt idx="253">
                  <c:v>02.07.25</c:v>
                </c:pt>
                <c:pt idx="254">
                  <c:v>03.07.25</c:v>
                </c:pt>
                <c:pt idx="255">
                  <c:v>04.07.25</c:v>
                </c:pt>
                <c:pt idx="256">
                  <c:v>05.07.25</c:v>
                </c:pt>
                <c:pt idx="257">
                  <c:v>07.07.25</c:v>
                </c:pt>
                <c:pt idx="258">
                  <c:v>08.07.25</c:v>
                </c:pt>
                <c:pt idx="259">
                  <c:v>09.07.25</c:v>
                </c:pt>
                <c:pt idx="260">
                  <c:v>10.07.25</c:v>
                </c:pt>
                <c:pt idx="261">
                  <c:v>11.07.25</c:v>
                </c:pt>
                <c:pt idx="262">
                  <c:v>12.07.25</c:v>
                </c:pt>
                <c:pt idx="263">
                  <c:v>14.07.25</c:v>
                </c:pt>
                <c:pt idx="264">
                  <c:v>15.07.25</c:v>
                </c:pt>
                <c:pt idx="265">
                  <c:v>16.07.25</c:v>
                </c:pt>
                <c:pt idx="266">
                  <c:v>17.07.25</c:v>
                </c:pt>
                <c:pt idx="267">
                  <c:v>18.07.25</c:v>
                </c:pt>
                <c:pt idx="268">
                  <c:v>19.07.25</c:v>
                </c:pt>
                <c:pt idx="269">
                  <c:v>21.07.25</c:v>
                </c:pt>
                <c:pt idx="270">
                  <c:v>22.07.25</c:v>
                </c:pt>
                <c:pt idx="271">
                  <c:v>23.07.25</c:v>
                </c:pt>
                <c:pt idx="272">
                  <c:v>24.07.25</c:v>
                </c:pt>
                <c:pt idx="273">
                  <c:v>25.07.25</c:v>
                </c:pt>
                <c:pt idx="274">
                  <c:v>26.07.25</c:v>
                </c:pt>
                <c:pt idx="275">
                  <c:v>28.07.25</c:v>
                </c:pt>
                <c:pt idx="276">
                  <c:v>29.07.25</c:v>
                </c:pt>
                <c:pt idx="277">
                  <c:v>30.07.25</c:v>
                </c:pt>
                <c:pt idx="278">
                  <c:v>31.07.25</c:v>
                </c:pt>
                <c:pt idx="279">
                  <c:v>01.08.25</c:v>
                </c:pt>
                <c:pt idx="280">
                  <c:v>02.08.25</c:v>
                </c:pt>
                <c:pt idx="281">
                  <c:v>04.08.25</c:v>
                </c:pt>
                <c:pt idx="282">
                  <c:v>05.08.25</c:v>
                </c:pt>
                <c:pt idx="283">
                  <c:v>06.08.25</c:v>
                </c:pt>
                <c:pt idx="284">
                  <c:v>07.08.25</c:v>
                </c:pt>
                <c:pt idx="285">
                  <c:v>08.08.25</c:v>
                </c:pt>
                <c:pt idx="286">
                  <c:v>11.08.25</c:v>
                </c:pt>
                <c:pt idx="287">
                  <c:v>12.08.25</c:v>
                </c:pt>
                <c:pt idx="288">
                  <c:v>13.08.25</c:v>
                </c:pt>
                <c:pt idx="289">
                  <c:v>14.08.25</c:v>
                </c:pt>
                <c:pt idx="290">
                  <c:v>15.08.25</c:v>
                </c:pt>
                <c:pt idx="291">
                  <c:v>18.08.25</c:v>
                </c:pt>
                <c:pt idx="292">
                  <c:v>19.08.25</c:v>
                </c:pt>
                <c:pt idx="293">
                  <c:v>20.08.25</c:v>
                </c:pt>
                <c:pt idx="294">
                  <c:v>21.08.25</c:v>
                </c:pt>
                <c:pt idx="295">
                  <c:v>22.08.25</c:v>
                </c:pt>
                <c:pt idx="296">
                  <c:v>23.08.25</c:v>
                </c:pt>
                <c:pt idx="297">
                  <c:v>26.08.25</c:v>
                </c:pt>
                <c:pt idx="298">
                  <c:v>27.08.25</c:v>
                </c:pt>
                <c:pt idx="299">
                  <c:v>28.08.25</c:v>
                </c:pt>
                <c:pt idx="300">
                  <c:v>29.08.25</c:v>
                </c:pt>
              </c:strCache>
            </c:strRef>
          </c:cat>
          <c:val>
            <c:numRef>
              <c:f>'ECH CT PH Process'!$M$5:$M$309</c:f>
              <c:numCache>
                <c:formatCode>0</c:formatCode>
                <c:ptCount val="305"/>
                <c:pt idx="0">
                  <c:v>295</c:v>
                </c:pt>
                <c:pt idx="1">
                  <c:v>297</c:v>
                </c:pt>
                <c:pt idx="2">
                  <c:v>302</c:v>
                </c:pt>
                <c:pt idx="3">
                  <c:v>318</c:v>
                </c:pt>
                <c:pt idx="4">
                  <c:v>300</c:v>
                </c:pt>
                <c:pt idx="5">
                  <c:v>310</c:v>
                </c:pt>
                <c:pt idx="6">
                  <c:v>315</c:v>
                </c:pt>
                <c:pt idx="7">
                  <c:v>302</c:v>
                </c:pt>
                <c:pt idx="8">
                  <c:v>298</c:v>
                </c:pt>
                <c:pt idx="9">
                  <c:v>300</c:v>
                </c:pt>
                <c:pt idx="10">
                  <c:v>303</c:v>
                </c:pt>
                <c:pt idx="11">
                  <c:v>310</c:v>
                </c:pt>
                <c:pt idx="12">
                  <c:v>290</c:v>
                </c:pt>
                <c:pt idx="13">
                  <c:v>302</c:v>
                </c:pt>
                <c:pt idx="14">
                  <c:v>310</c:v>
                </c:pt>
                <c:pt idx="15">
                  <c:v>308</c:v>
                </c:pt>
                <c:pt idx="16">
                  <c:v>316</c:v>
                </c:pt>
                <c:pt idx="17">
                  <c:v>310</c:v>
                </c:pt>
                <c:pt idx="18">
                  <c:v>317</c:v>
                </c:pt>
                <c:pt idx="19">
                  <c:v>320</c:v>
                </c:pt>
                <c:pt idx="20">
                  <c:v>309</c:v>
                </c:pt>
                <c:pt idx="21">
                  <c:v>320</c:v>
                </c:pt>
                <c:pt idx="22" formatCode="General">
                  <c:v>328</c:v>
                </c:pt>
                <c:pt idx="23" formatCode="General">
                  <c:v>340</c:v>
                </c:pt>
                <c:pt idx="24" formatCode="General">
                  <c:v>332</c:v>
                </c:pt>
                <c:pt idx="25">
                  <c:v>325</c:v>
                </c:pt>
                <c:pt idx="26">
                  <c:v>348</c:v>
                </c:pt>
                <c:pt idx="27">
                  <c:v>314</c:v>
                </c:pt>
                <c:pt idx="28">
                  <c:v>310</c:v>
                </c:pt>
                <c:pt idx="29">
                  <c:v>317</c:v>
                </c:pt>
                <c:pt idx="30">
                  <c:v>339</c:v>
                </c:pt>
                <c:pt idx="31">
                  <c:v>344</c:v>
                </c:pt>
                <c:pt idx="32">
                  <c:v>378</c:v>
                </c:pt>
                <c:pt idx="33">
                  <c:v>384</c:v>
                </c:pt>
                <c:pt idx="34">
                  <c:v>390</c:v>
                </c:pt>
                <c:pt idx="35">
                  <c:v>390</c:v>
                </c:pt>
                <c:pt idx="36">
                  <c:v>309</c:v>
                </c:pt>
                <c:pt idx="37">
                  <c:v>315</c:v>
                </c:pt>
                <c:pt idx="38">
                  <c:v>310</c:v>
                </c:pt>
                <c:pt idx="39">
                  <c:v>344</c:v>
                </c:pt>
                <c:pt idx="40">
                  <c:v>340</c:v>
                </c:pt>
                <c:pt idx="41">
                  <c:v>332</c:v>
                </c:pt>
                <c:pt idx="42">
                  <c:v>302</c:v>
                </c:pt>
                <c:pt idx="43">
                  <c:v>300</c:v>
                </c:pt>
                <c:pt idx="44">
                  <c:v>295</c:v>
                </c:pt>
                <c:pt idx="45">
                  <c:v>300</c:v>
                </c:pt>
                <c:pt idx="46">
                  <c:v>302</c:v>
                </c:pt>
                <c:pt idx="47" formatCode="General">
                  <c:v>318</c:v>
                </c:pt>
                <c:pt idx="48" formatCode="General">
                  <c:v>300</c:v>
                </c:pt>
                <c:pt idx="49" formatCode="General">
                  <c:v>307</c:v>
                </c:pt>
                <c:pt idx="50" formatCode="General">
                  <c:v>298</c:v>
                </c:pt>
                <c:pt idx="51" formatCode="General">
                  <c:v>304</c:v>
                </c:pt>
                <c:pt idx="52">
                  <c:v>318</c:v>
                </c:pt>
                <c:pt idx="53">
                  <c:v>321</c:v>
                </c:pt>
                <c:pt idx="54">
                  <c:v>314</c:v>
                </c:pt>
                <c:pt idx="55">
                  <c:v>320</c:v>
                </c:pt>
                <c:pt idx="56">
                  <c:v>340</c:v>
                </c:pt>
                <c:pt idx="57">
                  <c:v>310</c:v>
                </c:pt>
                <c:pt idx="58">
                  <c:v>300</c:v>
                </c:pt>
                <c:pt idx="59">
                  <c:v>308</c:v>
                </c:pt>
                <c:pt idx="60">
                  <c:v>316</c:v>
                </c:pt>
                <c:pt idx="61">
                  <c:v>310</c:v>
                </c:pt>
                <c:pt idx="62">
                  <c:v>317</c:v>
                </c:pt>
                <c:pt idx="63">
                  <c:v>324</c:v>
                </c:pt>
                <c:pt idx="64">
                  <c:v>130</c:v>
                </c:pt>
                <c:pt idx="65">
                  <c:v>100</c:v>
                </c:pt>
                <c:pt idx="66">
                  <c:v>92</c:v>
                </c:pt>
                <c:pt idx="67">
                  <c:v>83</c:v>
                </c:pt>
                <c:pt idx="68">
                  <c:v>74</c:v>
                </c:pt>
                <c:pt idx="69">
                  <c:v>80</c:v>
                </c:pt>
                <c:pt idx="70">
                  <c:v>86</c:v>
                </c:pt>
                <c:pt idx="71">
                  <c:v>88</c:v>
                </c:pt>
                <c:pt idx="72">
                  <c:v>100</c:v>
                </c:pt>
                <c:pt idx="73">
                  <c:v>110</c:v>
                </c:pt>
                <c:pt idx="74" formatCode="General">
                  <c:v>100</c:v>
                </c:pt>
                <c:pt idx="75" formatCode="General">
                  <c:v>115</c:v>
                </c:pt>
                <c:pt idx="76">
                  <c:v>150</c:v>
                </c:pt>
                <c:pt idx="77">
                  <c:v>100</c:v>
                </c:pt>
                <c:pt idx="78">
                  <c:v>100</c:v>
                </c:pt>
                <c:pt idx="79">
                  <c:v>90</c:v>
                </c:pt>
                <c:pt idx="80">
                  <c:v>98</c:v>
                </c:pt>
                <c:pt idx="81">
                  <c:v>59</c:v>
                </c:pt>
                <c:pt idx="82">
                  <c:v>50</c:v>
                </c:pt>
                <c:pt idx="83">
                  <c:v>62</c:v>
                </c:pt>
                <c:pt idx="84">
                  <c:v>69</c:v>
                </c:pt>
                <c:pt idx="85">
                  <c:v>94</c:v>
                </c:pt>
                <c:pt idx="86">
                  <c:v>93</c:v>
                </c:pt>
                <c:pt idx="87">
                  <c:v>100</c:v>
                </c:pt>
                <c:pt idx="88">
                  <c:v>110</c:v>
                </c:pt>
                <c:pt idx="89">
                  <c:v>92</c:v>
                </c:pt>
                <c:pt idx="90">
                  <c:v>100</c:v>
                </c:pt>
                <c:pt idx="91">
                  <c:v>110</c:v>
                </c:pt>
                <c:pt idx="92">
                  <c:v>142</c:v>
                </c:pt>
                <c:pt idx="93">
                  <c:v>166</c:v>
                </c:pt>
                <c:pt idx="94">
                  <c:v>183</c:v>
                </c:pt>
                <c:pt idx="95">
                  <c:v>200</c:v>
                </c:pt>
                <c:pt idx="96">
                  <c:v>210</c:v>
                </c:pt>
                <c:pt idx="97">
                  <c:v>200</c:v>
                </c:pt>
                <c:pt idx="98" formatCode="General">
                  <c:v>204</c:v>
                </c:pt>
                <c:pt idx="99" formatCode="General">
                  <c:v>210</c:v>
                </c:pt>
                <c:pt idx="100" formatCode="General">
                  <c:v>230</c:v>
                </c:pt>
                <c:pt idx="101" formatCode="General">
                  <c:v>245</c:v>
                </c:pt>
                <c:pt idx="102">
                  <c:v>260</c:v>
                </c:pt>
                <c:pt idx="103">
                  <c:v>249</c:v>
                </c:pt>
                <c:pt idx="104">
                  <c:v>240</c:v>
                </c:pt>
                <c:pt idx="105">
                  <c:v>248</c:v>
                </c:pt>
                <c:pt idx="106">
                  <c:v>200</c:v>
                </c:pt>
                <c:pt idx="107">
                  <c:v>210</c:v>
                </c:pt>
                <c:pt idx="108">
                  <c:v>208</c:v>
                </c:pt>
                <c:pt idx="109">
                  <c:v>195</c:v>
                </c:pt>
                <c:pt idx="110">
                  <c:v>175</c:v>
                </c:pt>
                <c:pt idx="111">
                  <c:v>180</c:v>
                </c:pt>
                <c:pt idx="112">
                  <c:v>195</c:v>
                </c:pt>
                <c:pt idx="113">
                  <c:v>200</c:v>
                </c:pt>
                <c:pt idx="114">
                  <c:v>170</c:v>
                </c:pt>
                <c:pt idx="115">
                  <c:v>185</c:v>
                </c:pt>
                <c:pt idx="116">
                  <c:v>190</c:v>
                </c:pt>
                <c:pt idx="117">
                  <c:v>170</c:v>
                </c:pt>
                <c:pt idx="118">
                  <c:v>155</c:v>
                </c:pt>
                <c:pt idx="119">
                  <c:v>163</c:v>
                </c:pt>
                <c:pt idx="120">
                  <c:v>134</c:v>
                </c:pt>
                <c:pt idx="121">
                  <c:v>110</c:v>
                </c:pt>
                <c:pt idx="122">
                  <c:v>98</c:v>
                </c:pt>
                <c:pt idx="123">
                  <c:v>90</c:v>
                </c:pt>
                <c:pt idx="124" formatCode="General">
                  <c:v>78</c:v>
                </c:pt>
                <c:pt idx="125" formatCode="General">
                  <c:v>72</c:v>
                </c:pt>
                <c:pt idx="126">
                  <c:v>100</c:v>
                </c:pt>
                <c:pt idx="127">
                  <c:v>110</c:v>
                </c:pt>
                <c:pt idx="128">
                  <c:v>116</c:v>
                </c:pt>
                <c:pt idx="129">
                  <c:v>120</c:v>
                </c:pt>
                <c:pt idx="130">
                  <c:v>100</c:v>
                </c:pt>
                <c:pt idx="131">
                  <c:v>94</c:v>
                </c:pt>
                <c:pt idx="132">
                  <c:v>98</c:v>
                </c:pt>
                <c:pt idx="133">
                  <c:v>96</c:v>
                </c:pt>
                <c:pt idx="134">
                  <c:v>116</c:v>
                </c:pt>
                <c:pt idx="135">
                  <c:v>110</c:v>
                </c:pt>
                <c:pt idx="136">
                  <c:v>125</c:v>
                </c:pt>
                <c:pt idx="137">
                  <c:v>100</c:v>
                </c:pt>
                <c:pt idx="138">
                  <c:v>93</c:v>
                </c:pt>
                <c:pt idx="139">
                  <c:v>100</c:v>
                </c:pt>
                <c:pt idx="140">
                  <c:v>100</c:v>
                </c:pt>
                <c:pt idx="141">
                  <c:v>110</c:v>
                </c:pt>
                <c:pt idx="142">
                  <c:v>117</c:v>
                </c:pt>
                <c:pt idx="143">
                  <c:v>110</c:v>
                </c:pt>
                <c:pt idx="144">
                  <c:v>135</c:v>
                </c:pt>
                <c:pt idx="145">
                  <c:v>122</c:v>
                </c:pt>
                <c:pt idx="146">
                  <c:v>90</c:v>
                </c:pt>
                <c:pt idx="147">
                  <c:v>95</c:v>
                </c:pt>
                <c:pt idx="148" formatCode="General">
                  <c:v>80</c:v>
                </c:pt>
                <c:pt idx="149">
                  <c:v>100</c:v>
                </c:pt>
                <c:pt idx="150">
                  <c:v>92</c:v>
                </c:pt>
                <c:pt idx="151">
                  <c:v>100</c:v>
                </c:pt>
                <c:pt idx="152">
                  <c:v>92</c:v>
                </c:pt>
                <c:pt idx="153">
                  <c:v>86</c:v>
                </c:pt>
                <c:pt idx="154">
                  <c:v>93</c:v>
                </c:pt>
                <c:pt idx="155">
                  <c:v>100</c:v>
                </c:pt>
                <c:pt idx="156">
                  <c:v>100</c:v>
                </c:pt>
                <c:pt idx="157">
                  <c:v>110</c:v>
                </c:pt>
                <c:pt idx="158">
                  <c:v>100</c:v>
                </c:pt>
                <c:pt idx="159">
                  <c:v>122</c:v>
                </c:pt>
                <c:pt idx="160">
                  <c:v>100</c:v>
                </c:pt>
                <c:pt idx="161">
                  <c:v>120</c:v>
                </c:pt>
                <c:pt idx="162">
                  <c:v>116</c:v>
                </c:pt>
                <c:pt idx="163">
                  <c:v>110</c:v>
                </c:pt>
                <c:pt idx="164">
                  <c:v>100</c:v>
                </c:pt>
                <c:pt idx="165">
                  <c:v>107</c:v>
                </c:pt>
                <c:pt idx="166">
                  <c:v>119</c:v>
                </c:pt>
                <c:pt idx="167">
                  <c:v>120</c:v>
                </c:pt>
                <c:pt idx="168">
                  <c:v>132</c:v>
                </c:pt>
                <c:pt idx="169">
                  <c:v>110</c:v>
                </c:pt>
                <c:pt idx="170">
                  <c:v>125</c:v>
                </c:pt>
                <c:pt idx="171" formatCode="General">
                  <c:v>129</c:v>
                </c:pt>
                <c:pt idx="172" formatCode="General">
                  <c:v>100</c:v>
                </c:pt>
                <c:pt idx="173" formatCode="General">
                  <c:v>95</c:v>
                </c:pt>
                <c:pt idx="174">
                  <c:v>50</c:v>
                </c:pt>
                <c:pt idx="175">
                  <c:v>103</c:v>
                </c:pt>
                <c:pt idx="176">
                  <c:v>100</c:v>
                </c:pt>
                <c:pt idx="177">
                  <c:v>95</c:v>
                </c:pt>
                <c:pt idx="178">
                  <c:v>104</c:v>
                </c:pt>
                <c:pt idx="179">
                  <c:v>90</c:v>
                </c:pt>
                <c:pt idx="180">
                  <c:v>82</c:v>
                </c:pt>
                <c:pt idx="181">
                  <c:v>90</c:v>
                </c:pt>
                <c:pt idx="182">
                  <c:v>131</c:v>
                </c:pt>
                <c:pt idx="183">
                  <c:v>92</c:v>
                </c:pt>
                <c:pt idx="184">
                  <c:v>100</c:v>
                </c:pt>
                <c:pt idx="185">
                  <c:v>105</c:v>
                </c:pt>
                <c:pt idx="186">
                  <c:v>100</c:v>
                </c:pt>
                <c:pt idx="187">
                  <c:v>100</c:v>
                </c:pt>
                <c:pt idx="188">
                  <c:v>95</c:v>
                </c:pt>
                <c:pt idx="189">
                  <c:v>98</c:v>
                </c:pt>
                <c:pt idx="190">
                  <c:v>85</c:v>
                </c:pt>
                <c:pt idx="191">
                  <c:v>95</c:v>
                </c:pt>
                <c:pt idx="192">
                  <c:v>95</c:v>
                </c:pt>
                <c:pt idx="193">
                  <c:v>90</c:v>
                </c:pt>
                <c:pt idx="194">
                  <c:v>100</c:v>
                </c:pt>
                <c:pt idx="195">
                  <c:v>105</c:v>
                </c:pt>
                <c:pt idx="196" formatCode="General">
                  <c:v>100</c:v>
                </c:pt>
                <c:pt idx="197" formatCode="General">
                  <c:v>110</c:v>
                </c:pt>
                <c:pt idx="198" formatCode="General">
                  <c:v>90</c:v>
                </c:pt>
                <c:pt idx="199" formatCode="General">
                  <c:v>96</c:v>
                </c:pt>
                <c:pt idx="200">
                  <c:v>90</c:v>
                </c:pt>
                <c:pt idx="201">
                  <c:v>90</c:v>
                </c:pt>
                <c:pt idx="202">
                  <c:v>95</c:v>
                </c:pt>
                <c:pt idx="203">
                  <c:v>91</c:v>
                </c:pt>
                <c:pt idx="204">
                  <c:v>100</c:v>
                </c:pt>
                <c:pt idx="205">
                  <c:v>96</c:v>
                </c:pt>
                <c:pt idx="206">
                  <c:v>85</c:v>
                </c:pt>
                <c:pt idx="207">
                  <c:v>89</c:v>
                </c:pt>
                <c:pt idx="208">
                  <c:v>84</c:v>
                </c:pt>
                <c:pt idx="209">
                  <c:v>90</c:v>
                </c:pt>
                <c:pt idx="210">
                  <c:v>96</c:v>
                </c:pt>
                <c:pt idx="211">
                  <c:v>90</c:v>
                </c:pt>
                <c:pt idx="212">
                  <c:v>86</c:v>
                </c:pt>
                <c:pt idx="213">
                  <c:v>90</c:v>
                </c:pt>
                <c:pt idx="214">
                  <c:v>85</c:v>
                </c:pt>
                <c:pt idx="215">
                  <c:v>84</c:v>
                </c:pt>
                <c:pt idx="216">
                  <c:v>80</c:v>
                </c:pt>
                <c:pt idx="217">
                  <c:v>60</c:v>
                </c:pt>
                <c:pt idx="218">
                  <c:v>44</c:v>
                </c:pt>
                <c:pt idx="219">
                  <c:v>50</c:v>
                </c:pt>
                <c:pt idx="220">
                  <c:v>50</c:v>
                </c:pt>
                <c:pt idx="221">
                  <c:v>54</c:v>
                </c:pt>
                <c:pt idx="222" formatCode="General">
                  <c:v>74</c:v>
                </c:pt>
                <c:pt idx="223" formatCode="General">
                  <c:v>74</c:v>
                </c:pt>
                <c:pt idx="224" formatCode="General">
                  <c:v>62</c:v>
                </c:pt>
                <c:pt idx="225" formatCode="General">
                  <c:v>95</c:v>
                </c:pt>
                <c:pt idx="226" formatCode="General">
                  <c:v>100</c:v>
                </c:pt>
                <c:pt idx="227">
                  <c:v>75</c:v>
                </c:pt>
                <c:pt idx="228">
                  <c:v>80</c:v>
                </c:pt>
                <c:pt idx="229">
                  <c:v>60</c:v>
                </c:pt>
                <c:pt idx="230">
                  <c:v>54</c:v>
                </c:pt>
                <c:pt idx="231">
                  <c:v>50</c:v>
                </c:pt>
                <c:pt idx="232">
                  <c:v>20</c:v>
                </c:pt>
                <c:pt idx="233">
                  <c:v>40</c:v>
                </c:pt>
                <c:pt idx="234">
                  <c:v>44</c:v>
                </c:pt>
                <c:pt idx="235">
                  <c:v>46</c:v>
                </c:pt>
                <c:pt idx="236">
                  <c:v>37</c:v>
                </c:pt>
                <c:pt idx="237">
                  <c:v>40</c:v>
                </c:pt>
                <c:pt idx="238">
                  <c:v>45</c:v>
                </c:pt>
                <c:pt idx="239">
                  <c:v>66</c:v>
                </c:pt>
                <c:pt idx="240">
                  <c:v>70</c:v>
                </c:pt>
                <c:pt idx="241">
                  <c:v>66</c:v>
                </c:pt>
                <c:pt idx="242">
                  <c:v>50</c:v>
                </c:pt>
                <c:pt idx="243">
                  <c:v>53</c:v>
                </c:pt>
                <c:pt idx="244">
                  <c:v>66</c:v>
                </c:pt>
                <c:pt idx="245">
                  <c:v>50</c:v>
                </c:pt>
                <c:pt idx="246">
                  <c:v>62</c:v>
                </c:pt>
                <c:pt idx="247">
                  <c:v>55</c:v>
                </c:pt>
                <c:pt idx="248">
                  <c:v>52</c:v>
                </c:pt>
                <c:pt idx="249" formatCode="General">
                  <c:v>56</c:v>
                </c:pt>
                <c:pt idx="250" formatCode="General">
                  <c:v>33</c:v>
                </c:pt>
                <c:pt idx="251" formatCode="General">
                  <c:v>45</c:v>
                </c:pt>
                <c:pt idx="252">
                  <c:v>45</c:v>
                </c:pt>
                <c:pt idx="253">
                  <c:v>42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66</c:v>
                </c:pt>
                <c:pt idx="258">
                  <c:v>60</c:v>
                </c:pt>
                <c:pt idx="259">
                  <c:v>50</c:v>
                </c:pt>
                <c:pt idx="260">
                  <c:v>56</c:v>
                </c:pt>
                <c:pt idx="261">
                  <c:v>60</c:v>
                </c:pt>
                <c:pt idx="262">
                  <c:v>60</c:v>
                </c:pt>
                <c:pt idx="263">
                  <c:v>66</c:v>
                </c:pt>
                <c:pt idx="264">
                  <c:v>90</c:v>
                </c:pt>
                <c:pt idx="265">
                  <c:v>88</c:v>
                </c:pt>
                <c:pt idx="266">
                  <c:v>75</c:v>
                </c:pt>
                <c:pt idx="267">
                  <c:v>66</c:v>
                </c:pt>
                <c:pt idx="268">
                  <c:v>69</c:v>
                </c:pt>
                <c:pt idx="269">
                  <c:v>66</c:v>
                </c:pt>
                <c:pt idx="270">
                  <c:v>66</c:v>
                </c:pt>
                <c:pt idx="271">
                  <c:v>58</c:v>
                </c:pt>
                <c:pt idx="272">
                  <c:v>55</c:v>
                </c:pt>
                <c:pt idx="273">
                  <c:v>57</c:v>
                </c:pt>
                <c:pt idx="274" formatCode="General">
                  <c:v>50</c:v>
                </c:pt>
                <c:pt idx="275" formatCode="General">
                  <c:v>75</c:v>
                </c:pt>
                <c:pt idx="276" formatCode="General">
                  <c:v>78</c:v>
                </c:pt>
                <c:pt idx="277" formatCode="General">
                  <c:v>80</c:v>
                </c:pt>
                <c:pt idx="285">
                  <c:v>80</c:v>
                </c:pt>
                <c:pt idx="286">
                  <c:v>50</c:v>
                </c:pt>
                <c:pt idx="287">
                  <c:v>62</c:v>
                </c:pt>
                <c:pt idx="288">
                  <c:v>60</c:v>
                </c:pt>
                <c:pt idx="289">
                  <c:v>100</c:v>
                </c:pt>
                <c:pt idx="290">
                  <c:v>105</c:v>
                </c:pt>
                <c:pt idx="291">
                  <c:v>110</c:v>
                </c:pt>
                <c:pt idx="292">
                  <c:v>105</c:v>
                </c:pt>
                <c:pt idx="293">
                  <c:v>100</c:v>
                </c:pt>
                <c:pt idx="294">
                  <c:v>102</c:v>
                </c:pt>
                <c:pt idx="295">
                  <c:v>100</c:v>
                </c:pt>
                <c:pt idx="296">
                  <c:v>105</c:v>
                </c:pt>
                <c:pt idx="297">
                  <c:v>82</c:v>
                </c:pt>
                <c:pt idx="298">
                  <c:v>72</c:v>
                </c:pt>
                <c:pt idx="299">
                  <c:v>80</c:v>
                </c:pt>
                <c:pt idx="30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36-4B42-9EBC-619375E89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222143"/>
        <c:axId val="1"/>
      </c:lineChart>
      <c:catAx>
        <c:axId val="1081222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9090942242822938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2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ppm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386757905261842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1222143"/>
        <c:crosses val="autoZero"/>
        <c:crossBetween val="between"/>
        <c:majorUnit val="5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88" r="0.75000000000001188" t="1" header="0.5" footer="0.5"/>
    <c:pageSetup orientation="landscape" horizontalDpi="-4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Sulphates</a:t>
            </a:r>
          </a:p>
        </c:rich>
      </c:tx>
      <c:layout>
        <c:manualLayout>
          <c:xMode val="edge"/>
          <c:yMode val="edge"/>
          <c:x val="0.42218172820818839"/>
          <c:y val="2.47531558555180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94302976766433"/>
          <c:y val="0.20180767412155143"/>
          <c:w val="0.83847493823871999"/>
          <c:h val="0.47384055363037153"/>
        </c:manualLayout>
      </c:layout>
      <c:lineChart>
        <c:grouping val="standard"/>
        <c:varyColors val="0"/>
        <c:ser>
          <c:idx val="1"/>
          <c:order val="0"/>
          <c:tx>
            <c:v>Sulphates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'ECH CT PH Process'!$A$5:$A$309</c:f>
              <c:strCache>
                <c:ptCount val="301"/>
                <c:pt idx="0">
                  <c:v>02.09.24</c:v>
                </c:pt>
                <c:pt idx="1">
                  <c:v>03.09.24</c:v>
                </c:pt>
                <c:pt idx="2">
                  <c:v>04.09.24</c:v>
                </c:pt>
                <c:pt idx="3">
                  <c:v>05.09.24</c:v>
                </c:pt>
                <c:pt idx="4">
                  <c:v>06.09.24</c:v>
                </c:pt>
                <c:pt idx="5">
                  <c:v>07.09.24</c:v>
                </c:pt>
                <c:pt idx="6">
                  <c:v>09.09.24</c:v>
                </c:pt>
                <c:pt idx="7">
                  <c:v>10.09.24</c:v>
                </c:pt>
                <c:pt idx="8">
                  <c:v>11.09.24</c:v>
                </c:pt>
                <c:pt idx="9">
                  <c:v>12.09.24</c:v>
                </c:pt>
                <c:pt idx="10">
                  <c:v>13.09.24</c:v>
                </c:pt>
                <c:pt idx="11">
                  <c:v>14.09.24</c:v>
                </c:pt>
                <c:pt idx="12">
                  <c:v>16.09.24</c:v>
                </c:pt>
                <c:pt idx="13">
                  <c:v>17.09.24</c:v>
                </c:pt>
                <c:pt idx="14">
                  <c:v>18.09.24</c:v>
                </c:pt>
                <c:pt idx="15">
                  <c:v>19.09.24</c:v>
                </c:pt>
                <c:pt idx="16">
                  <c:v>20.09.24</c:v>
                </c:pt>
                <c:pt idx="17">
                  <c:v>21.09.24</c:v>
                </c:pt>
                <c:pt idx="18">
                  <c:v>23.09.24</c:v>
                </c:pt>
                <c:pt idx="19">
                  <c:v>24.09.24</c:v>
                </c:pt>
                <c:pt idx="20">
                  <c:v>25.09.24</c:v>
                </c:pt>
                <c:pt idx="21">
                  <c:v>26.09.24</c:v>
                </c:pt>
                <c:pt idx="22">
                  <c:v>27.09.24</c:v>
                </c:pt>
                <c:pt idx="23">
                  <c:v>28.09.24</c:v>
                </c:pt>
                <c:pt idx="24">
                  <c:v>30.09.24</c:v>
                </c:pt>
                <c:pt idx="25">
                  <c:v>01.10.24</c:v>
                </c:pt>
                <c:pt idx="26">
                  <c:v>02.10.24</c:v>
                </c:pt>
                <c:pt idx="27">
                  <c:v>03.10.24</c:v>
                </c:pt>
                <c:pt idx="28">
                  <c:v>04.10.24</c:v>
                </c:pt>
                <c:pt idx="29">
                  <c:v>05.10.24</c:v>
                </c:pt>
                <c:pt idx="30">
                  <c:v>07.10.24</c:v>
                </c:pt>
                <c:pt idx="31">
                  <c:v>08.10.24</c:v>
                </c:pt>
                <c:pt idx="32">
                  <c:v>09.10.24</c:v>
                </c:pt>
                <c:pt idx="33">
                  <c:v>10.10.24</c:v>
                </c:pt>
                <c:pt idx="34">
                  <c:v>11.10.24</c:v>
                </c:pt>
                <c:pt idx="35">
                  <c:v>12.10.24</c:v>
                </c:pt>
                <c:pt idx="36">
                  <c:v>14.10.24</c:v>
                </c:pt>
                <c:pt idx="37">
                  <c:v>15.10.24</c:v>
                </c:pt>
                <c:pt idx="38">
                  <c:v>16.10.24</c:v>
                </c:pt>
                <c:pt idx="39">
                  <c:v>17.10.24</c:v>
                </c:pt>
                <c:pt idx="40">
                  <c:v>18.10.24</c:v>
                </c:pt>
                <c:pt idx="41">
                  <c:v>19.10.24</c:v>
                </c:pt>
                <c:pt idx="42">
                  <c:v>21.10.24</c:v>
                </c:pt>
                <c:pt idx="43">
                  <c:v>22.10.24</c:v>
                </c:pt>
                <c:pt idx="44">
                  <c:v>23.10.24</c:v>
                </c:pt>
                <c:pt idx="45">
                  <c:v>24.10.24</c:v>
                </c:pt>
                <c:pt idx="46">
                  <c:v>25.10.24</c:v>
                </c:pt>
                <c:pt idx="47">
                  <c:v>26.10.24</c:v>
                </c:pt>
                <c:pt idx="48">
                  <c:v>28.10.24</c:v>
                </c:pt>
                <c:pt idx="49">
                  <c:v>29.10.24</c:v>
                </c:pt>
                <c:pt idx="50">
                  <c:v>30.10.24</c:v>
                </c:pt>
                <c:pt idx="51">
                  <c:v>31.10.24</c:v>
                </c:pt>
                <c:pt idx="52">
                  <c:v>04.11.24</c:v>
                </c:pt>
                <c:pt idx="53">
                  <c:v>05.11.24</c:v>
                </c:pt>
                <c:pt idx="54">
                  <c:v>06.11.24</c:v>
                </c:pt>
                <c:pt idx="55">
                  <c:v>07.11.24</c:v>
                </c:pt>
                <c:pt idx="56">
                  <c:v>08.11.24</c:v>
                </c:pt>
                <c:pt idx="57">
                  <c:v>09.11.24</c:v>
                </c:pt>
                <c:pt idx="58">
                  <c:v>11.11.24</c:v>
                </c:pt>
                <c:pt idx="59">
                  <c:v>12.11.24</c:v>
                </c:pt>
                <c:pt idx="60">
                  <c:v>13.11.24</c:v>
                </c:pt>
                <c:pt idx="61">
                  <c:v>14.11.24</c:v>
                </c:pt>
                <c:pt idx="62">
                  <c:v>15.11.24</c:v>
                </c:pt>
                <c:pt idx="63">
                  <c:v>16.11.24</c:v>
                </c:pt>
                <c:pt idx="64">
                  <c:v>18.11.24</c:v>
                </c:pt>
                <c:pt idx="65">
                  <c:v>19.11.24</c:v>
                </c:pt>
                <c:pt idx="66">
                  <c:v>20.11.24</c:v>
                </c:pt>
                <c:pt idx="67">
                  <c:v>21.11.24</c:v>
                </c:pt>
                <c:pt idx="68">
                  <c:v>22.11.24</c:v>
                </c:pt>
                <c:pt idx="69">
                  <c:v>23.11.24</c:v>
                </c:pt>
                <c:pt idx="70">
                  <c:v>25.11.24</c:v>
                </c:pt>
                <c:pt idx="71">
                  <c:v>26.11.24</c:v>
                </c:pt>
                <c:pt idx="72">
                  <c:v>27.11.24</c:v>
                </c:pt>
                <c:pt idx="73">
                  <c:v>28.11.24</c:v>
                </c:pt>
                <c:pt idx="74">
                  <c:v>29.11.24</c:v>
                </c:pt>
                <c:pt idx="75">
                  <c:v>30.11.24</c:v>
                </c:pt>
                <c:pt idx="76">
                  <c:v>02.12.24</c:v>
                </c:pt>
                <c:pt idx="77">
                  <c:v>03.12.24</c:v>
                </c:pt>
                <c:pt idx="78">
                  <c:v>04.12.24</c:v>
                </c:pt>
                <c:pt idx="79">
                  <c:v>05.12.24</c:v>
                </c:pt>
                <c:pt idx="80">
                  <c:v>06.12.24</c:v>
                </c:pt>
                <c:pt idx="81">
                  <c:v>07.12.24</c:v>
                </c:pt>
                <c:pt idx="82">
                  <c:v>09.12.24</c:v>
                </c:pt>
                <c:pt idx="83">
                  <c:v>10.12.24</c:v>
                </c:pt>
                <c:pt idx="84">
                  <c:v>11.12.24</c:v>
                </c:pt>
                <c:pt idx="85">
                  <c:v>12.12.24</c:v>
                </c:pt>
                <c:pt idx="86">
                  <c:v>13.12.24</c:v>
                </c:pt>
                <c:pt idx="87">
                  <c:v>14.12.24</c:v>
                </c:pt>
                <c:pt idx="88">
                  <c:v>16.12.24</c:v>
                </c:pt>
                <c:pt idx="89">
                  <c:v>17.12.24</c:v>
                </c:pt>
                <c:pt idx="90">
                  <c:v>18.12.24</c:v>
                </c:pt>
                <c:pt idx="91">
                  <c:v>19.12.24</c:v>
                </c:pt>
                <c:pt idx="92">
                  <c:v>20.12.24</c:v>
                </c:pt>
                <c:pt idx="93">
                  <c:v>21.12.24</c:v>
                </c:pt>
                <c:pt idx="94">
                  <c:v>23.12.24</c:v>
                </c:pt>
                <c:pt idx="95">
                  <c:v>24.12.24</c:v>
                </c:pt>
                <c:pt idx="96">
                  <c:v>25.12.24</c:v>
                </c:pt>
                <c:pt idx="97">
                  <c:v>26.12.24</c:v>
                </c:pt>
                <c:pt idx="98">
                  <c:v>27.12.24</c:v>
                </c:pt>
                <c:pt idx="99">
                  <c:v>28.12.24</c:v>
                </c:pt>
                <c:pt idx="100">
                  <c:v>30.12.24</c:v>
                </c:pt>
                <c:pt idx="101">
                  <c:v>31.12.24</c:v>
                </c:pt>
                <c:pt idx="102">
                  <c:v>01.01.25</c:v>
                </c:pt>
                <c:pt idx="103">
                  <c:v>02.01.25</c:v>
                </c:pt>
                <c:pt idx="104">
                  <c:v>03.01.25</c:v>
                </c:pt>
                <c:pt idx="105">
                  <c:v>04.01.25</c:v>
                </c:pt>
                <c:pt idx="106">
                  <c:v>08.01.25</c:v>
                </c:pt>
                <c:pt idx="107">
                  <c:v>09.01.25</c:v>
                </c:pt>
                <c:pt idx="108">
                  <c:v>10.01.25</c:v>
                </c:pt>
                <c:pt idx="109">
                  <c:v>11.01.25</c:v>
                </c:pt>
                <c:pt idx="110">
                  <c:v>13.01.25</c:v>
                </c:pt>
                <c:pt idx="111">
                  <c:v>15.01.25</c:v>
                </c:pt>
                <c:pt idx="112">
                  <c:v>16.01.25</c:v>
                </c:pt>
                <c:pt idx="113">
                  <c:v>17.01.25</c:v>
                </c:pt>
                <c:pt idx="114">
                  <c:v>18.01.25</c:v>
                </c:pt>
                <c:pt idx="115">
                  <c:v>20.01.25</c:v>
                </c:pt>
                <c:pt idx="116">
                  <c:v>21.01.25</c:v>
                </c:pt>
                <c:pt idx="117">
                  <c:v>22.01.25</c:v>
                </c:pt>
                <c:pt idx="118">
                  <c:v>23.01.25</c:v>
                </c:pt>
                <c:pt idx="119">
                  <c:v>24.01.25</c:v>
                </c:pt>
                <c:pt idx="120">
                  <c:v>25.01.25</c:v>
                </c:pt>
                <c:pt idx="121">
                  <c:v>27.01.25</c:v>
                </c:pt>
                <c:pt idx="122">
                  <c:v>28.01.25</c:v>
                </c:pt>
                <c:pt idx="123">
                  <c:v>29.01.25</c:v>
                </c:pt>
                <c:pt idx="124">
                  <c:v>30.01.25</c:v>
                </c:pt>
                <c:pt idx="125">
                  <c:v>31.01.25</c:v>
                </c:pt>
                <c:pt idx="126">
                  <c:v>01.02.25</c:v>
                </c:pt>
                <c:pt idx="127">
                  <c:v>03.02.25</c:v>
                </c:pt>
                <c:pt idx="128">
                  <c:v>04.02.25</c:v>
                </c:pt>
                <c:pt idx="129">
                  <c:v>05.02.25</c:v>
                </c:pt>
                <c:pt idx="130">
                  <c:v>06.02.25</c:v>
                </c:pt>
                <c:pt idx="131">
                  <c:v>07.02.25</c:v>
                </c:pt>
                <c:pt idx="132">
                  <c:v>08.02.25</c:v>
                </c:pt>
                <c:pt idx="133">
                  <c:v>10.02.25</c:v>
                </c:pt>
                <c:pt idx="134">
                  <c:v>11.02.25</c:v>
                </c:pt>
                <c:pt idx="135">
                  <c:v>12.02.25</c:v>
                </c:pt>
                <c:pt idx="136">
                  <c:v>13.02.25</c:v>
                </c:pt>
                <c:pt idx="137">
                  <c:v>14.02.25</c:v>
                </c:pt>
                <c:pt idx="138">
                  <c:v>15.02.25</c:v>
                </c:pt>
                <c:pt idx="139">
                  <c:v>17.02.25</c:v>
                </c:pt>
                <c:pt idx="140">
                  <c:v>18.02.25</c:v>
                </c:pt>
                <c:pt idx="141">
                  <c:v>19.02.25</c:v>
                </c:pt>
                <c:pt idx="142">
                  <c:v>20.02.25</c:v>
                </c:pt>
                <c:pt idx="143">
                  <c:v>21.02.25</c:v>
                </c:pt>
                <c:pt idx="144">
                  <c:v>22.02.25</c:v>
                </c:pt>
                <c:pt idx="145">
                  <c:v>24.02.25</c:v>
                </c:pt>
                <c:pt idx="146">
                  <c:v>25.02.25</c:v>
                </c:pt>
                <c:pt idx="147">
                  <c:v>27.02.25</c:v>
                </c:pt>
                <c:pt idx="148">
                  <c:v>28.02.25</c:v>
                </c:pt>
                <c:pt idx="149">
                  <c:v>01.03.25</c:v>
                </c:pt>
                <c:pt idx="150">
                  <c:v>03.03.25</c:v>
                </c:pt>
                <c:pt idx="151">
                  <c:v>04.03.25</c:v>
                </c:pt>
                <c:pt idx="152">
                  <c:v>05.03.25</c:v>
                </c:pt>
                <c:pt idx="153">
                  <c:v>06.03.25</c:v>
                </c:pt>
                <c:pt idx="154">
                  <c:v>07.03.25</c:v>
                </c:pt>
                <c:pt idx="155">
                  <c:v>08.03.25</c:v>
                </c:pt>
                <c:pt idx="156">
                  <c:v>10.03.25</c:v>
                </c:pt>
                <c:pt idx="157">
                  <c:v>11.03.25</c:v>
                </c:pt>
                <c:pt idx="158">
                  <c:v>12.03.25</c:v>
                </c:pt>
                <c:pt idx="159">
                  <c:v>13.03.25</c:v>
                </c:pt>
                <c:pt idx="160">
                  <c:v>15.03.25</c:v>
                </c:pt>
                <c:pt idx="161">
                  <c:v>17.03.25</c:v>
                </c:pt>
                <c:pt idx="162">
                  <c:v>18.03.25</c:v>
                </c:pt>
                <c:pt idx="163">
                  <c:v>19.03.25</c:v>
                </c:pt>
                <c:pt idx="164">
                  <c:v>20.03.25</c:v>
                </c:pt>
                <c:pt idx="165">
                  <c:v>21.03.25</c:v>
                </c:pt>
                <c:pt idx="166">
                  <c:v>22.03.25</c:v>
                </c:pt>
                <c:pt idx="167">
                  <c:v>24.03.25</c:v>
                </c:pt>
                <c:pt idx="168">
                  <c:v>25.03.25</c:v>
                </c:pt>
                <c:pt idx="169">
                  <c:v>26.03.25</c:v>
                </c:pt>
                <c:pt idx="170">
                  <c:v>27.03.25</c:v>
                </c:pt>
                <c:pt idx="171">
                  <c:v>28.03.25</c:v>
                </c:pt>
                <c:pt idx="172">
                  <c:v>29.03.25</c:v>
                </c:pt>
                <c:pt idx="173">
                  <c:v>31.03.25</c:v>
                </c:pt>
                <c:pt idx="174">
                  <c:v>01.04.25</c:v>
                </c:pt>
                <c:pt idx="175">
                  <c:v>02.04.25</c:v>
                </c:pt>
                <c:pt idx="176">
                  <c:v>03.04.25</c:v>
                </c:pt>
                <c:pt idx="177">
                  <c:v>04.04.25</c:v>
                </c:pt>
                <c:pt idx="178">
                  <c:v>05.04.25</c:v>
                </c:pt>
                <c:pt idx="179">
                  <c:v>07.04.25</c:v>
                </c:pt>
                <c:pt idx="180">
                  <c:v>08.04.25</c:v>
                </c:pt>
                <c:pt idx="181">
                  <c:v>09.04.25</c:v>
                </c:pt>
                <c:pt idx="182">
                  <c:v>10.04.25</c:v>
                </c:pt>
                <c:pt idx="183">
                  <c:v>11.04.25</c:v>
                </c:pt>
                <c:pt idx="184">
                  <c:v>12.04.25</c:v>
                </c:pt>
                <c:pt idx="185">
                  <c:v>14.04.25</c:v>
                </c:pt>
                <c:pt idx="186">
                  <c:v>15.04.25</c:v>
                </c:pt>
                <c:pt idx="187">
                  <c:v>16.04.25</c:v>
                </c:pt>
                <c:pt idx="188">
                  <c:v>17.04.25</c:v>
                </c:pt>
                <c:pt idx="189">
                  <c:v>18.04.25</c:v>
                </c:pt>
                <c:pt idx="190">
                  <c:v>19.04.25</c:v>
                </c:pt>
                <c:pt idx="191">
                  <c:v>21.04.25</c:v>
                </c:pt>
                <c:pt idx="192">
                  <c:v>22.04.25</c:v>
                </c:pt>
                <c:pt idx="193">
                  <c:v>23.04.25</c:v>
                </c:pt>
                <c:pt idx="194">
                  <c:v>24.04.25</c:v>
                </c:pt>
                <c:pt idx="195">
                  <c:v>25.04.25</c:v>
                </c:pt>
                <c:pt idx="196">
                  <c:v>26.04.25</c:v>
                </c:pt>
                <c:pt idx="197">
                  <c:v>28.04.25</c:v>
                </c:pt>
                <c:pt idx="198">
                  <c:v>29.04.25</c:v>
                </c:pt>
                <c:pt idx="199">
                  <c:v>30.04.25</c:v>
                </c:pt>
                <c:pt idx="200">
                  <c:v>01.05.25</c:v>
                </c:pt>
                <c:pt idx="201">
                  <c:v>02.05.25</c:v>
                </c:pt>
                <c:pt idx="202">
                  <c:v>03.05.25</c:v>
                </c:pt>
                <c:pt idx="203">
                  <c:v>05.05.25</c:v>
                </c:pt>
                <c:pt idx="204">
                  <c:v>06.05.25</c:v>
                </c:pt>
                <c:pt idx="205">
                  <c:v>07.05.25</c:v>
                </c:pt>
                <c:pt idx="206">
                  <c:v>08.05.25</c:v>
                </c:pt>
                <c:pt idx="207">
                  <c:v>09.05.25</c:v>
                </c:pt>
                <c:pt idx="208">
                  <c:v>10.05.25</c:v>
                </c:pt>
                <c:pt idx="209">
                  <c:v>12.05.25</c:v>
                </c:pt>
                <c:pt idx="210">
                  <c:v>13.05.25</c:v>
                </c:pt>
                <c:pt idx="211">
                  <c:v>14.05.25</c:v>
                </c:pt>
                <c:pt idx="212">
                  <c:v>15.05.25</c:v>
                </c:pt>
                <c:pt idx="213">
                  <c:v>16.05.25</c:v>
                </c:pt>
                <c:pt idx="214">
                  <c:v>17.05.25</c:v>
                </c:pt>
                <c:pt idx="215">
                  <c:v>19.05.25</c:v>
                </c:pt>
                <c:pt idx="216">
                  <c:v>20.05.25</c:v>
                </c:pt>
                <c:pt idx="217">
                  <c:v>21.05.25</c:v>
                </c:pt>
                <c:pt idx="218">
                  <c:v>22.05.25</c:v>
                </c:pt>
                <c:pt idx="219">
                  <c:v>23.05.25</c:v>
                </c:pt>
                <c:pt idx="220">
                  <c:v>24.05.25</c:v>
                </c:pt>
                <c:pt idx="221">
                  <c:v>26.05.25</c:v>
                </c:pt>
                <c:pt idx="222">
                  <c:v>27.05.25</c:v>
                </c:pt>
                <c:pt idx="223">
                  <c:v>28.05.25</c:v>
                </c:pt>
                <c:pt idx="224">
                  <c:v>29.05.25</c:v>
                </c:pt>
                <c:pt idx="225">
                  <c:v>30.05.25</c:v>
                </c:pt>
                <c:pt idx="226">
                  <c:v>31.05.25</c:v>
                </c:pt>
                <c:pt idx="227">
                  <c:v>02.06.25</c:v>
                </c:pt>
                <c:pt idx="228">
                  <c:v>03.06.25</c:v>
                </c:pt>
                <c:pt idx="229">
                  <c:v>04.06.25</c:v>
                </c:pt>
                <c:pt idx="230">
                  <c:v>05.06.25</c:v>
                </c:pt>
                <c:pt idx="231">
                  <c:v>06.06.25</c:v>
                </c:pt>
                <c:pt idx="232">
                  <c:v>07.06.25</c:v>
                </c:pt>
                <c:pt idx="233">
                  <c:v>09.06.25</c:v>
                </c:pt>
                <c:pt idx="234">
                  <c:v>10.06.25</c:v>
                </c:pt>
                <c:pt idx="235">
                  <c:v>11.06.25</c:v>
                </c:pt>
                <c:pt idx="236">
                  <c:v>12.06.25</c:v>
                </c:pt>
                <c:pt idx="237">
                  <c:v>13.06.25</c:v>
                </c:pt>
                <c:pt idx="238">
                  <c:v>14.06.25</c:v>
                </c:pt>
                <c:pt idx="239">
                  <c:v>16.06.25</c:v>
                </c:pt>
                <c:pt idx="240">
                  <c:v>17.06.25</c:v>
                </c:pt>
                <c:pt idx="241">
                  <c:v>18.06.25</c:v>
                </c:pt>
                <c:pt idx="242">
                  <c:v>19.06.25</c:v>
                </c:pt>
                <c:pt idx="243">
                  <c:v>20.06.25</c:v>
                </c:pt>
                <c:pt idx="244">
                  <c:v>21.06.25</c:v>
                </c:pt>
                <c:pt idx="245">
                  <c:v>23.06.25</c:v>
                </c:pt>
                <c:pt idx="246">
                  <c:v>24.06.25</c:v>
                </c:pt>
                <c:pt idx="247">
                  <c:v>25.06.25</c:v>
                </c:pt>
                <c:pt idx="248">
                  <c:v>26.06.25</c:v>
                </c:pt>
                <c:pt idx="249">
                  <c:v>27.06.25</c:v>
                </c:pt>
                <c:pt idx="250">
                  <c:v>28.06.25</c:v>
                </c:pt>
                <c:pt idx="251">
                  <c:v>30.06.25</c:v>
                </c:pt>
                <c:pt idx="252">
                  <c:v>01.07.25</c:v>
                </c:pt>
                <c:pt idx="253">
                  <c:v>02.07.25</c:v>
                </c:pt>
                <c:pt idx="254">
                  <c:v>03.07.25</c:v>
                </c:pt>
                <c:pt idx="255">
                  <c:v>04.07.25</c:v>
                </c:pt>
                <c:pt idx="256">
                  <c:v>05.07.25</c:v>
                </c:pt>
                <c:pt idx="257">
                  <c:v>07.07.25</c:v>
                </c:pt>
                <c:pt idx="258">
                  <c:v>08.07.25</c:v>
                </c:pt>
                <c:pt idx="259">
                  <c:v>09.07.25</c:v>
                </c:pt>
                <c:pt idx="260">
                  <c:v>10.07.25</c:v>
                </c:pt>
                <c:pt idx="261">
                  <c:v>11.07.25</c:v>
                </c:pt>
                <c:pt idx="262">
                  <c:v>12.07.25</c:v>
                </c:pt>
                <c:pt idx="263">
                  <c:v>14.07.25</c:v>
                </c:pt>
                <c:pt idx="264">
                  <c:v>15.07.25</c:v>
                </c:pt>
                <c:pt idx="265">
                  <c:v>16.07.25</c:v>
                </c:pt>
                <c:pt idx="266">
                  <c:v>17.07.25</c:v>
                </c:pt>
                <c:pt idx="267">
                  <c:v>18.07.25</c:v>
                </c:pt>
                <c:pt idx="268">
                  <c:v>19.07.25</c:v>
                </c:pt>
                <c:pt idx="269">
                  <c:v>21.07.25</c:v>
                </c:pt>
                <c:pt idx="270">
                  <c:v>22.07.25</c:v>
                </c:pt>
                <c:pt idx="271">
                  <c:v>23.07.25</c:v>
                </c:pt>
                <c:pt idx="272">
                  <c:v>24.07.25</c:v>
                </c:pt>
                <c:pt idx="273">
                  <c:v>25.07.25</c:v>
                </c:pt>
                <c:pt idx="274">
                  <c:v>26.07.25</c:v>
                </c:pt>
                <c:pt idx="275">
                  <c:v>28.07.25</c:v>
                </c:pt>
                <c:pt idx="276">
                  <c:v>29.07.25</c:v>
                </c:pt>
                <c:pt idx="277">
                  <c:v>30.07.25</c:v>
                </c:pt>
                <c:pt idx="278">
                  <c:v>31.07.25</c:v>
                </c:pt>
                <c:pt idx="279">
                  <c:v>01.08.25</c:v>
                </c:pt>
                <c:pt idx="280">
                  <c:v>02.08.25</c:v>
                </c:pt>
                <c:pt idx="281">
                  <c:v>04.08.25</c:v>
                </c:pt>
                <c:pt idx="282">
                  <c:v>05.08.25</c:v>
                </c:pt>
                <c:pt idx="283">
                  <c:v>06.08.25</c:v>
                </c:pt>
                <c:pt idx="284">
                  <c:v>07.08.25</c:v>
                </c:pt>
                <c:pt idx="285">
                  <c:v>08.08.25</c:v>
                </c:pt>
                <c:pt idx="286">
                  <c:v>11.08.25</c:v>
                </c:pt>
                <c:pt idx="287">
                  <c:v>12.08.25</c:v>
                </c:pt>
                <c:pt idx="288">
                  <c:v>13.08.25</c:v>
                </c:pt>
                <c:pt idx="289">
                  <c:v>14.08.25</c:v>
                </c:pt>
                <c:pt idx="290">
                  <c:v>15.08.25</c:v>
                </c:pt>
                <c:pt idx="291">
                  <c:v>18.08.25</c:v>
                </c:pt>
                <c:pt idx="292">
                  <c:v>19.08.25</c:v>
                </c:pt>
                <c:pt idx="293">
                  <c:v>20.08.25</c:v>
                </c:pt>
                <c:pt idx="294">
                  <c:v>21.08.25</c:v>
                </c:pt>
                <c:pt idx="295">
                  <c:v>22.08.25</c:v>
                </c:pt>
                <c:pt idx="296">
                  <c:v>23.08.25</c:v>
                </c:pt>
                <c:pt idx="297">
                  <c:v>26.08.25</c:v>
                </c:pt>
                <c:pt idx="298">
                  <c:v>27.08.25</c:v>
                </c:pt>
                <c:pt idx="299">
                  <c:v>28.08.25</c:v>
                </c:pt>
                <c:pt idx="300">
                  <c:v>29.08.25</c:v>
                </c:pt>
              </c:strCache>
            </c:strRef>
          </c:cat>
          <c:val>
            <c:numRef>
              <c:f>'ECH CT PH Process'!$Q$5:$Q$309</c:f>
              <c:numCache>
                <c:formatCode>0</c:formatCode>
                <c:ptCount val="30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40-424E-B590-B90A286ED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225023"/>
        <c:axId val="1"/>
      </c:lineChart>
      <c:catAx>
        <c:axId val="1081225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161807870134532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0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100"/>
          <c:min val="500"/>
        </c:scaling>
        <c:delete val="0"/>
        <c:axPos val="l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Silica ppm</a:t>
                </a:r>
              </a:p>
            </c:rich>
          </c:tx>
          <c:layout>
            <c:manualLayout>
              <c:xMode val="edge"/>
              <c:yMode val="edge"/>
              <c:x val="9.1911061949049352E-3"/>
              <c:y val="0.31517518643502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1225023"/>
        <c:crosses val="autoZero"/>
        <c:crossBetween val="between"/>
        <c:majorUnit val="200"/>
        <c:min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88" r="0.75000000000001188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Suspended Solids</a:t>
            </a:r>
          </a:p>
        </c:rich>
      </c:tx>
      <c:layout>
        <c:manualLayout>
          <c:xMode val="edge"/>
          <c:yMode val="edge"/>
          <c:x val="0.37575801196696845"/>
          <c:y val="3.00370786984960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3714436290811"/>
          <c:y val="0.19879561928391631"/>
          <c:w val="0.82096230329894349"/>
          <c:h val="0.39318722758457225"/>
        </c:manualLayout>
      </c:layout>
      <c:lineChart>
        <c:grouping val="standard"/>
        <c:varyColors val="0"/>
        <c:ser>
          <c:idx val="1"/>
          <c:order val="0"/>
          <c:tx>
            <c:v>Suspended Solids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'ECH CT PH Process'!$A$5:$A$309</c:f>
              <c:strCache>
                <c:ptCount val="301"/>
                <c:pt idx="0">
                  <c:v>02.09.24</c:v>
                </c:pt>
                <c:pt idx="1">
                  <c:v>03.09.24</c:v>
                </c:pt>
                <c:pt idx="2">
                  <c:v>04.09.24</c:v>
                </c:pt>
                <c:pt idx="3">
                  <c:v>05.09.24</c:v>
                </c:pt>
                <c:pt idx="4">
                  <c:v>06.09.24</c:v>
                </c:pt>
                <c:pt idx="5">
                  <c:v>07.09.24</c:v>
                </c:pt>
                <c:pt idx="6">
                  <c:v>09.09.24</c:v>
                </c:pt>
                <c:pt idx="7">
                  <c:v>10.09.24</c:v>
                </c:pt>
                <c:pt idx="8">
                  <c:v>11.09.24</c:v>
                </c:pt>
                <c:pt idx="9">
                  <c:v>12.09.24</c:v>
                </c:pt>
                <c:pt idx="10">
                  <c:v>13.09.24</c:v>
                </c:pt>
                <c:pt idx="11">
                  <c:v>14.09.24</c:v>
                </c:pt>
                <c:pt idx="12">
                  <c:v>16.09.24</c:v>
                </c:pt>
                <c:pt idx="13">
                  <c:v>17.09.24</c:v>
                </c:pt>
                <c:pt idx="14">
                  <c:v>18.09.24</c:v>
                </c:pt>
                <c:pt idx="15">
                  <c:v>19.09.24</c:v>
                </c:pt>
                <c:pt idx="16">
                  <c:v>20.09.24</c:v>
                </c:pt>
                <c:pt idx="17">
                  <c:v>21.09.24</c:v>
                </c:pt>
                <c:pt idx="18">
                  <c:v>23.09.24</c:v>
                </c:pt>
                <c:pt idx="19">
                  <c:v>24.09.24</c:v>
                </c:pt>
                <c:pt idx="20">
                  <c:v>25.09.24</c:v>
                </c:pt>
                <c:pt idx="21">
                  <c:v>26.09.24</c:v>
                </c:pt>
                <c:pt idx="22">
                  <c:v>27.09.24</c:v>
                </c:pt>
                <c:pt idx="23">
                  <c:v>28.09.24</c:v>
                </c:pt>
                <c:pt idx="24">
                  <c:v>30.09.24</c:v>
                </c:pt>
                <c:pt idx="25">
                  <c:v>01.10.24</c:v>
                </c:pt>
                <c:pt idx="26">
                  <c:v>02.10.24</c:v>
                </c:pt>
                <c:pt idx="27">
                  <c:v>03.10.24</c:v>
                </c:pt>
                <c:pt idx="28">
                  <c:v>04.10.24</c:v>
                </c:pt>
                <c:pt idx="29">
                  <c:v>05.10.24</c:v>
                </c:pt>
                <c:pt idx="30">
                  <c:v>07.10.24</c:v>
                </c:pt>
                <c:pt idx="31">
                  <c:v>08.10.24</c:v>
                </c:pt>
                <c:pt idx="32">
                  <c:v>09.10.24</c:v>
                </c:pt>
                <c:pt idx="33">
                  <c:v>10.10.24</c:v>
                </c:pt>
                <c:pt idx="34">
                  <c:v>11.10.24</c:v>
                </c:pt>
                <c:pt idx="35">
                  <c:v>12.10.24</c:v>
                </c:pt>
                <c:pt idx="36">
                  <c:v>14.10.24</c:v>
                </c:pt>
                <c:pt idx="37">
                  <c:v>15.10.24</c:v>
                </c:pt>
                <c:pt idx="38">
                  <c:v>16.10.24</c:v>
                </c:pt>
                <c:pt idx="39">
                  <c:v>17.10.24</c:v>
                </c:pt>
                <c:pt idx="40">
                  <c:v>18.10.24</c:v>
                </c:pt>
                <c:pt idx="41">
                  <c:v>19.10.24</c:v>
                </c:pt>
                <c:pt idx="42">
                  <c:v>21.10.24</c:v>
                </c:pt>
                <c:pt idx="43">
                  <c:v>22.10.24</c:v>
                </c:pt>
                <c:pt idx="44">
                  <c:v>23.10.24</c:v>
                </c:pt>
                <c:pt idx="45">
                  <c:v>24.10.24</c:v>
                </c:pt>
                <c:pt idx="46">
                  <c:v>25.10.24</c:v>
                </c:pt>
                <c:pt idx="47">
                  <c:v>26.10.24</c:v>
                </c:pt>
                <c:pt idx="48">
                  <c:v>28.10.24</c:v>
                </c:pt>
                <c:pt idx="49">
                  <c:v>29.10.24</c:v>
                </c:pt>
                <c:pt idx="50">
                  <c:v>30.10.24</c:v>
                </c:pt>
                <c:pt idx="51">
                  <c:v>31.10.24</c:v>
                </c:pt>
                <c:pt idx="52">
                  <c:v>04.11.24</c:v>
                </c:pt>
                <c:pt idx="53">
                  <c:v>05.11.24</c:v>
                </c:pt>
                <c:pt idx="54">
                  <c:v>06.11.24</c:v>
                </c:pt>
                <c:pt idx="55">
                  <c:v>07.11.24</c:v>
                </c:pt>
                <c:pt idx="56">
                  <c:v>08.11.24</c:v>
                </c:pt>
                <c:pt idx="57">
                  <c:v>09.11.24</c:v>
                </c:pt>
                <c:pt idx="58">
                  <c:v>11.11.24</c:v>
                </c:pt>
                <c:pt idx="59">
                  <c:v>12.11.24</c:v>
                </c:pt>
                <c:pt idx="60">
                  <c:v>13.11.24</c:v>
                </c:pt>
                <c:pt idx="61">
                  <c:v>14.11.24</c:v>
                </c:pt>
                <c:pt idx="62">
                  <c:v>15.11.24</c:v>
                </c:pt>
                <c:pt idx="63">
                  <c:v>16.11.24</c:v>
                </c:pt>
                <c:pt idx="64">
                  <c:v>18.11.24</c:v>
                </c:pt>
                <c:pt idx="65">
                  <c:v>19.11.24</c:v>
                </c:pt>
                <c:pt idx="66">
                  <c:v>20.11.24</c:v>
                </c:pt>
                <c:pt idx="67">
                  <c:v>21.11.24</c:v>
                </c:pt>
                <c:pt idx="68">
                  <c:v>22.11.24</c:v>
                </c:pt>
                <c:pt idx="69">
                  <c:v>23.11.24</c:v>
                </c:pt>
                <c:pt idx="70">
                  <c:v>25.11.24</c:v>
                </c:pt>
                <c:pt idx="71">
                  <c:v>26.11.24</c:v>
                </c:pt>
                <c:pt idx="72">
                  <c:v>27.11.24</c:v>
                </c:pt>
                <c:pt idx="73">
                  <c:v>28.11.24</c:v>
                </c:pt>
                <c:pt idx="74">
                  <c:v>29.11.24</c:v>
                </c:pt>
                <c:pt idx="75">
                  <c:v>30.11.24</c:v>
                </c:pt>
                <c:pt idx="76">
                  <c:v>02.12.24</c:v>
                </c:pt>
                <c:pt idx="77">
                  <c:v>03.12.24</c:v>
                </c:pt>
                <c:pt idx="78">
                  <c:v>04.12.24</c:v>
                </c:pt>
                <c:pt idx="79">
                  <c:v>05.12.24</c:v>
                </c:pt>
                <c:pt idx="80">
                  <c:v>06.12.24</c:v>
                </c:pt>
                <c:pt idx="81">
                  <c:v>07.12.24</c:v>
                </c:pt>
                <c:pt idx="82">
                  <c:v>09.12.24</c:v>
                </c:pt>
                <c:pt idx="83">
                  <c:v>10.12.24</c:v>
                </c:pt>
                <c:pt idx="84">
                  <c:v>11.12.24</c:v>
                </c:pt>
                <c:pt idx="85">
                  <c:v>12.12.24</c:v>
                </c:pt>
                <c:pt idx="86">
                  <c:v>13.12.24</c:v>
                </c:pt>
                <c:pt idx="87">
                  <c:v>14.12.24</c:v>
                </c:pt>
                <c:pt idx="88">
                  <c:v>16.12.24</c:v>
                </c:pt>
                <c:pt idx="89">
                  <c:v>17.12.24</c:v>
                </c:pt>
                <c:pt idx="90">
                  <c:v>18.12.24</c:v>
                </c:pt>
                <c:pt idx="91">
                  <c:v>19.12.24</c:v>
                </c:pt>
                <c:pt idx="92">
                  <c:v>20.12.24</c:v>
                </c:pt>
                <c:pt idx="93">
                  <c:v>21.12.24</c:v>
                </c:pt>
                <c:pt idx="94">
                  <c:v>23.12.24</c:v>
                </c:pt>
                <c:pt idx="95">
                  <c:v>24.12.24</c:v>
                </c:pt>
                <c:pt idx="96">
                  <c:v>25.12.24</c:v>
                </c:pt>
                <c:pt idx="97">
                  <c:v>26.12.24</c:v>
                </c:pt>
                <c:pt idx="98">
                  <c:v>27.12.24</c:v>
                </c:pt>
                <c:pt idx="99">
                  <c:v>28.12.24</c:v>
                </c:pt>
                <c:pt idx="100">
                  <c:v>30.12.24</c:v>
                </c:pt>
                <c:pt idx="101">
                  <c:v>31.12.24</c:v>
                </c:pt>
                <c:pt idx="102">
                  <c:v>01.01.25</c:v>
                </c:pt>
                <c:pt idx="103">
                  <c:v>02.01.25</c:v>
                </c:pt>
                <c:pt idx="104">
                  <c:v>03.01.25</c:v>
                </c:pt>
                <c:pt idx="105">
                  <c:v>04.01.25</c:v>
                </c:pt>
                <c:pt idx="106">
                  <c:v>08.01.25</c:v>
                </c:pt>
                <c:pt idx="107">
                  <c:v>09.01.25</c:v>
                </c:pt>
                <c:pt idx="108">
                  <c:v>10.01.25</c:v>
                </c:pt>
                <c:pt idx="109">
                  <c:v>11.01.25</c:v>
                </c:pt>
                <c:pt idx="110">
                  <c:v>13.01.25</c:v>
                </c:pt>
                <c:pt idx="111">
                  <c:v>15.01.25</c:v>
                </c:pt>
                <c:pt idx="112">
                  <c:v>16.01.25</c:v>
                </c:pt>
                <c:pt idx="113">
                  <c:v>17.01.25</c:v>
                </c:pt>
                <c:pt idx="114">
                  <c:v>18.01.25</c:v>
                </c:pt>
                <c:pt idx="115">
                  <c:v>20.01.25</c:v>
                </c:pt>
                <c:pt idx="116">
                  <c:v>21.01.25</c:v>
                </c:pt>
                <c:pt idx="117">
                  <c:v>22.01.25</c:v>
                </c:pt>
                <c:pt idx="118">
                  <c:v>23.01.25</c:v>
                </c:pt>
                <c:pt idx="119">
                  <c:v>24.01.25</c:v>
                </c:pt>
                <c:pt idx="120">
                  <c:v>25.01.25</c:v>
                </c:pt>
                <c:pt idx="121">
                  <c:v>27.01.25</c:v>
                </c:pt>
                <c:pt idx="122">
                  <c:v>28.01.25</c:v>
                </c:pt>
                <c:pt idx="123">
                  <c:v>29.01.25</c:v>
                </c:pt>
                <c:pt idx="124">
                  <c:v>30.01.25</c:v>
                </c:pt>
                <c:pt idx="125">
                  <c:v>31.01.25</c:v>
                </c:pt>
                <c:pt idx="126">
                  <c:v>01.02.25</c:v>
                </c:pt>
                <c:pt idx="127">
                  <c:v>03.02.25</c:v>
                </c:pt>
                <c:pt idx="128">
                  <c:v>04.02.25</c:v>
                </c:pt>
                <c:pt idx="129">
                  <c:v>05.02.25</c:v>
                </c:pt>
                <c:pt idx="130">
                  <c:v>06.02.25</c:v>
                </c:pt>
                <c:pt idx="131">
                  <c:v>07.02.25</c:v>
                </c:pt>
                <c:pt idx="132">
                  <c:v>08.02.25</c:v>
                </c:pt>
                <c:pt idx="133">
                  <c:v>10.02.25</c:v>
                </c:pt>
                <c:pt idx="134">
                  <c:v>11.02.25</c:v>
                </c:pt>
                <c:pt idx="135">
                  <c:v>12.02.25</c:v>
                </c:pt>
                <c:pt idx="136">
                  <c:v>13.02.25</c:v>
                </c:pt>
                <c:pt idx="137">
                  <c:v>14.02.25</c:v>
                </c:pt>
                <c:pt idx="138">
                  <c:v>15.02.25</c:v>
                </c:pt>
                <c:pt idx="139">
                  <c:v>17.02.25</c:v>
                </c:pt>
                <c:pt idx="140">
                  <c:v>18.02.25</c:v>
                </c:pt>
                <c:pt idx="141">
                  <c:v>19.02.25</c:v>
                </c:pt>
                <c:pt idx="142">
                  <c:v>20.02.25</c:v>
                </c:pt>
                <c:pt idx="143">
                  <c:v>21.02.25</c:v>
                </c:pt>
                <c:pt idx="144">
                  <c:v>22.02.25</c:v>
                </c:pt>
                <c:pt idx="145">
                  <c:v>24.02.25</c:v>
                </c:pt>
                <c:pt idx="146">
                  <c:v>25.02.25</c:v>
                </c:pt>
                <c:pt idx="147">
                  <c:v>27.02.25</c:v>
                </c:pt>
                <c:pt idx="148">
                  <c:v>28.02.25</c:v>
                </c:pt>
                <c:pt idx="149">
                  <c:v>01.03.25</c:v>
                </c:pt>
                <c:pt idx="150">
                  <c:v>03.03.25</c:v>
                </c:pt>
                <c:pt idx="151">
                  <c:v>04.03.25</c:v>
                </c:pt>
                <c:pt idx="152">
                  <c:v>05.03.25</c:v>
                </c:pt>
                <c:pt idx="153">
                  <c:v>06.03.25</c:v>
                </c:pt>
                <c:pt idx="154">
                  <c:v>07.03.25</c:v>
                </c:pt>
                <c:pt idx="155">
                  <c:v>08.03.25</c:v>
                </c:pt>
                <c:pt idx="156">
                  <c:v>10.03.25</c:v>
                </c:pt>
                <c:pt idx="157">
                  <c:v>11.03.25</c:v>
                </c:pt>
                <c:pt idx="158">
                  <c:v>12.03.25</c:v>
                </c:pt>
                <c:pt idx="159">
                  <c:v>13.03.25</c:v>
                </c:pt>
                <c:pt idx="160">
                  <c:v>15.03.25</c:v>
                </c:pt>
                <c:pt idx="161">
                  <c:v>17.03.25</c:v>
                </c:pt>
                <c:pt idx="162">
                  <c:v>18.03.25</c:v>
                </c:pt>
                <c:pt idx="163">
                  <c:v>19.03.25</c:v>
                </c:pt>
                <c:pt idx="164">
                  <c:v>20.03.25</c:v>
                </c:pt>
                <c:pt idx="165">
                  <c:v>21.03.25</c:v>
                </c:pt>
                <c:pt idx="166">
                  <c:v>22.03.25</c:v>
                </c:pt>
                <c:pt idx="167">
                  <c:v>24.03.25</c:v>
                </c:pt>
                <c:pt idx="168">
                  <c:v>25.03.25</c:v>
                </c:pt>
                <c:pt idx="169">
                  <c:v>26.03.25</c:v>
                </c:pt>
                <c:pt idx="170">
                  <c:v>27.03.25</c:v>
                </c:pt>
                <c:pt idx="171">
                  <c:v>28.03.25</c:v>
                </c:pt>
                <c:pt idx="172">
                  <c:v>29.03.25</c:v>
                </c:pt>
                <c:pt idx="173">
                  <c:v>31.03.25</c:v>
                </c:pt>
                <c:pt idx="174">
                  <c:v>01.04.25</c:v>
                </c:pt>
                <c:pt idx="175">
                  <c:v>02.04.25</c:v>
                </c:pt>
                <c:pt idx="176">
                  <c:v>03.04.25</c:v>
                </c:pt>
                <c:pt idx="177">
                  <c:v>04.04.25</c:v>
                </c:pt>
                <c:pt idx="178">
                  <c:v>05.04.25</c:v>
                </c:pt>
                <c:pt idx="179">
                  <c:v>07.04.25</c:v>
                </c:pt>
                <c:pt idx="180">
                  <c:v>08.04.25</c:v>
                </c:pt>
                <c:pt idx="181">
                  <c:v>09.04.25</c:v>
                </c:pt>
                <c:pt idx="182">
                  <c:v>10.04.25</c:v>
                </c:pt>
                <c:pt idx="183">
                  <c:v>11.04.25</c:v>
                </c:pt>
                <c:pt idx="184">
                  <c:v>12.04.25</c:v>
                </c:pt>
                <c:pt idx="185">
                  <c:v>14.04.25</c:v>
                </c:pt>
                <c:pt idx="186">
                  <c:v>15.04.25</c:v>
                </c:pt>
                <c:pt idx="187">
                  <c:v>16.04.25</c:v>
                </c:pt>
                <c:pt idx="188">
                  <c:v>17.04.25</c:v>
                </c:pt>
                <c:pt idx="189">
                  <c:v>18.04.25</c:v>
                </c:pt>
                <c:pt idx="190">
                  <c:v>19.04.25</c:v>
                </c:pt>
                <c:pt idx="191">
                  <c:v>21.04.25</c:v>
                </c:pt>
                <c:pt idx="192">
                  <c:v>22.04.25</c:v>
                </c:pt>
                <c:pt idx="193">
                  <c:v>23.04.25</c:v>
                </c:pt>
                <c:pt idx="194">
                  <c:v>24.04.25</c:v>
                </c:pt>
                <c:pt idx="195">
                  <c:v>25.04.25</c:v>
                </c:pt>
                <c:pt idx="196">
                  <c:v>26.04.25</c:v>
                </c:pt>
                <c:pt idx="197">
                  <c:v>28.04.25</c:v>
                </c:pt>
                <c:pt idx="198">
                  <c:v>29.04.25</c:v>
                </c:pt>
                <c:pt idx="199">
                  <c:v>30.04.25</c:v>
                </c:pt>
                <c:pt idx="200">
                  <c:v>01.05.25</c:v>
                </c:pt>
                <c:pt idx="201">
                  <c:v>02.05.25</c:v>
                </c:pt>
                <c:pt idx="202">
                  <c:v>03.05.25</c:v>
                </c:pt>
                <c:pt idx="203">
                  <c:v>05.05.25</c:v>
                </c:pt>
                <c:pt idx="204">
                  <c:v>06.05.25</c:v>
                </c:pt>
                <c:pt idx="205">
                  <c:v>07.05.25</c:v>
                </c:pt>
                <c:pt idx="206">
                  <c:v>08.05.25</c:v>
                </c:pt>
                <c:pt idx="207">
                  <c:v>09.05.25</c:v>
                </c:pt>
                <c:pt idx="208">
                  <c:v>10.05.25</c:v>
                </c:pt>
                <c:pt idx="209">
                  <c:v>12.05.25</c:v>
                </c:pt>
                <c:pt idx="210">
                  <c:v>13.05.25</c:v>
                </c:pt>
                <c:pt idx="211">
                  <c:v>14.05.25</c:v>
                </c:pt>
                <c:pt idx="212">
                  <c:v>15.05.25</c:v>
                </c:pt>
                <c:pt idx="213">
                  <c:v>16.05.25</c:v>
                </c:pt>
                <c:pt idx="214">
                  <c:v>17.05.25</c:v>
                </c:pt>
                <c:pt idx="215">
                  <c:v>19.05.25</c:v>
                </c:pt>
                <c:pt idx="216">
                  <c:v>20.05.25</c:v>
                </c:pt>
                <c:pt idx="217">
                  <c:v>21.05.25</c:v>
                </c:pt>
                <c:pt idx="218">
                  <c:v>22.05.25</c:v>
                </c:pt>
                <c:pt idx="219">
                  <c:v>23.05.25</c:v>
                </c:pt>
                <c:pt idx="220">
                  <c:v>24.05.25</c:v>
                </c:pt>
                <c:pt idx="221">
                  <c:v>26.05.25</c:v>
                </c:pt>
                <c:pt idx="222">
                  <c:v>27.05.25</c:v>
                </c:pt>
                <c:pt idx="223">
                  <c:v>28.05.25</c:v>
                </c:pt>
                <c:pt idx="224">
                  <c:v>29.05.25</c:v>
                </c:pt>
                <c:pt idx="225">
                  <c:v>30.05.25</c:v>
                </c:pt>
                <c:pt idx="226">
                  <c:v>31.05.25</c:v>
                </c:pt>
                <c:pt idx="227">
                  <c:v>02.06.25</c:v>
                </c:pt>
                <c:pt idx="228">
                  <c:v>03.06.25</c:v>
                </c:pt>
                <c:pt idx="229">
                  <c:v>04.06.25</c:v>
                </c:pt>
                <c:pt idx="230">
                  <c:v>05.06.25</c:v>
                </c:pt>
                <c:pt idx="231">
                  <c:v>06.06.25</c:v>
                </c:pt>
                <c:pt idx="232">
                  <c:v>07.06.25</c:v>
                </c:pt>
                <c:pt idx="233">
                  <c:v>09.06.25</c:v>
                </c:pt>
                <c:pt idx="234">
                  <c:v>10.06.25</c:v>
                </c:pt>
                <c:pt idx="235">
                  <c:v>11.06.25</c:v>
                </c:pt>
                <c:pt idx="236">
                  <c:v>12.06.25</c:v>
                </c:pt>
                <c:pt idx="237">
                  <c:v>13.06.25</c:v>
                </c:pt>
                <c:pt idx="238">
                  <c:v>14.06.25</c:v>
                </c:pt>
                <c:pt idx="239">
                  <c:v>16.06.25</c:v>
                </c:pt>
                <c:pt idx="240">
                  <c:v>17.06.25</c:v>
                </c:pt>
                <c:pt idx="241">
                  <c:v>18.06.25</c:v>
                </c:pt>
                <c:pt idx="242">
                  <c:v>19.06.25</c:v>
                </c:pt>
                <c:pt idx="243">
                  <c:v>20.06.25</c:v>
                </c:pt>
                <c:pt idx="244">
                  <c:v>21.06.25</c:v>
                </c:pt>
                <c:pt idx="245">
                  <c:v>23.06.25</c:v>
                </c:pt>
                <c:pt idx="246">
                  <c:v>24.06.25</c:v>
                </c:pt>
                <c:pt idx="247">
                  <c:v>25.06.25</c:v>
                </c:pt>
                <c:pt idx="248">
                  <c:v>26.06.25</c:v>
                </c:pt>
                <c:pt idx="249">
                  <c:v>27.06.25</c:v>
                </c:pt>
                <c:pt idx="250">
                  <c:v>28.06.25</c:v>
                </c:pt>
                <c:pt idx="251">
                  <c:v>30.06.25</c:v>
                </c:pt>
                <c:pt idx="252">
                  <c:v>01.07.25</c:v>
                </c:pt>
                <c:pt idx="253">
                  <c:v>02.07.25</c:v>
                </c:pt>
                <c:pt idx="254">
                  <c:v>03.07.25</c:v>
                </c:pt>
                <c:pt idx="255">
                  <c:v>04.07.25</c:v>
                </c:pt>
                <c:pt idx="256">
                  <c:v>05.07.25</c:v>
                </c:pt>
                <c:pt idx="257">
                  <c:v>07.07.25</c:v>
                </c:pt>
                <c:pt idx="258">
                  <c:v>08.07.25</c:v>
                </c:pt>
                <c:pt idx="259">
                  <c:v>09.07.25</c:v>
                </c:pt>
                <c:pt idx="260">
                  <c:v>10.07.25</c:v>
                </c:pt>
                <c:pt idx="261">
                  <c:v>11.07.25</c:v>
                </c:pt>
                <c:pt idx="262">
                  <c:v>12.07.25</c:v>
                </c:pt>
                <c:pt idx="263">
                  <c:v>14.07.25</c:v>
                </c:pt>
                <c:pt idx="264">
                  <c:v>15.07.25</c:v>
                </c:pt>
                <c:pt idx="265">
                  <c:v>16.07.25</c:v>
                </c:pt>
                <c:pt idx="266">
                  <c:v>17.07.25</c:v>
                </c:pt>
                <c:pt idx="267">
                  <c:v>18.07.25</c:v>
                </c:pt>
                <c:pt idx="268">
                  <c:v>19.07.25</c:v>
                </c:pt>
                <c:pt idx="269">
                  <c:v>21.07.25</c:v>
                </c:pt>
                <c:pt idx="270">
                  <c:v>22.07.25</c:v>
                </c:pt>
                <c:pt idx="271">
                  <c:v>23.07.25</c:v>
                </c:pt>
                <c:pt idx="272">
                  <c:v>24.07.25</c:v>
                </c:pt>
                <c:pt idx="273">
                  <c:v>25.07.25</c:v>
                </c:pt>
                <c:pt idx="274">
                  <c:v>26.07.25</c:v>
                </c:pt>
                <c:pt idx="275">
                  <c:v>28.07.25</c:v>
                </c:pt>
                <c:pt idx="276">
                  <c:v>29.07.25</c:v>
                </c:pt>
                <c:pt idx="277">
                  <c:v>30.07.25</c:v>
                </c:pt>
                <c:pt idx="278">
                  <c:v>31.07.25</c:v>
                </c:pt>
                <c:pt idx="279">
                  <c:v>01.08.25</c:v>
                </c:pt>
                <c:pt idx="280">
                  <c:v>02.08.25</c:v>
                </c:pt>
                <c:pt idx="281">
                  <c:v>04.08.25</c:v>
                </c:pt>
                <c:pt idx="282">
                  <c:v>05.08.25</c:v>
                </c:pt>
                <c:pt idx="283">
                  <c:v>06.08.25</c:v>
                </c:pt>
                <c:pt idx="284">
                  <c:v>07.08.25</c:v>
                </c:pt>
                <c:pt idx="285">
                  <c:v>08.08.25</c:v>
                </c:pt>
                <c:pt idx="286">
                  <c:v>11.08.25</c:v>
                </c:pt>
                <c:pt idx="287">
                  <c:v>12.08.25</c:v>
                </c:pt>
                <c:pt idx="288">
                  <c:v>13.08.25</c:v>
                </c:pt>
                <c:pt idx="289">
                  <c:v>14.08.25</c:v>
                </c:pt>
                <c:pt idx="290">
                  <c:v>15.08.25</c:v>
                </c:pt>
                <c:pt idx="291">
                  <c:v>18.08.25</c:v>
                </c:pt>
                <c:pt idx="292">
                  <c:v>19.08.25</c:v>
                </c:pt>
                <c:pt idx="293">
                  <c:v>20.08.25</c:v>
                </c:pt>
                <c:pt idx="294">
                  <c:v>21.08.25</c:v>
                </c:pt>
                <c:pt idx="295">
                  <c:v>22.08.25</c:v>
                </c:pt>
                <c:pt idx="296">
                  <c:v>23.08.25</c:v>
                </c:pt>
                <c:pt idx="297">
                  <c:v>26.08.25</c:v>
                </c:pt>
                <c:pt idx="298">
                  <c:v>27.08.25</c:v>
                </c:pt>
                <c:pt idx="299">
                  <c:v>28.08.25</c:v>
                </c:pt>
                <c:pt idx="300">
                  <c:v>29.08.25</c:v>
                </c:pt>
              </c:strCache>
            </c:strRef>
          </c:cat>
          <c:val>
            <c:numRef>
              <c:f>'ECH CT PH Process'!$P$5:$P$309</c:f>
              <c:numCache>
                <c:formatCode>0</c:formatCode>
                <c:ptCount val="30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8-44CF-9BDC-1584DC834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229823"/>
        <c:axId val="1"/>
      </c:lineChart>
      <c:catAx>
        <c:axId val="1081229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9090942242822938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00"/>
          <c:min val="1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ppm</a:t>
                </a:r>
              </a:p>
            </c:rich>
          </c:tx>
          <c:layout>
            <c:manualLayout>
              <c:xMode val="edge"/>
              <c:yMode val="edge"/>
              <c:x val="1.8181730939939636E-3"/>
              <c:y val="0.413212931716868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1229823"/>
        <c:crosses val="autoZero"/>
        <c:crossBetween val="between"/>
        <c:majorUnit val="20"/>
        <c:minorUnit val="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99" r="0.75000000000001199" t="1" header="0.5" footer="0.5"/>
    <c:pageSetup orientation="landscape" horizontalDpi="-4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71438</xdr:colOff>
      <xdr:row>8</xdr:row>
      <xdr:rowOff>66675</xdr:rowOff>
    </xdr:from>
    <xdr:to>
      <xdr:col>4</xdr:col>
      <xdr:colOff>190500</xdr:colOff>
      <xdr:row>9</xdr:row>
      <xdr:rowOff>28575</xdr:rowOff>
    </xdr:to>
    <xdr:sp macro="" textlink="">
      <xdr:nvSpPr>
        <xdr:cNvPr id="18242685" name="Oval 1">
          <a:extLst>
            <a:ext uri="{FF2B5EF4-FFF2-40B4-BE49-F238E27FC236}">
              <a16:creationId xmlns:a16="http://schemas.microsoft.com/office/drawing/2014/main" id="{7CD4C74B-1303-59C5-CD85-9114404B3F7B}"/>
            </a:ext>
          </a:extLst>
        </xdr:cNvPr>
        <xdr:cNvSpPr>
          <a:spLocks noChangeArrowheads="1"/>
        </xdr:cNvSpPr>
      </xdr:nvSpPr>
      <xdr:spPr bwMode="auto">
        <a:xfrm>
          <a:off x="2662238" y="1362075"/>
          <a:ext cx="119062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109538</xdr:colOff>
      <xdr:row>0</xdr:row>
      <xdr:rowOff>66675</xdr:rowOff>
    </xdr:from>
    <xdr:to>
      <xdr:col>8</xdr:col>
      <xdr:colOff>495300</xdr:colOff>
      <xdr:row>15</xdr:row>
      <xdr:rowOff>85725</xdr:rowOff>
    </xdr:to>
    <xdr:graphicFrame macro="">
      <xdr:nvGraphicFramePr>
        <xdr:cNvPr id="18242686" name="Chart 2">
          <a:extLst>
            <a:ext uri="{FF2B5EF4-FFF2-40B4-BE49-F238E27FC236}">
              <a16:creationId xmlns:a16="http://schemas.microsoft.com/office/drawing/2014/main" id="{6AD53CCF-7B18-5934-774B-6B72900CA4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90488</xdr:colOff>
      <xdr:row>6</xdr:row>
      <xdr:rowOff>19050</xdr:rowOff>
    </xdr:from>
    <xdr:to>
      <xdr:col>8</xdr:col>
      <xdr:colOff>295275</xdr:colOff>
      <xdr:row>6</xdr:row>
      <xdr:rowOff>28575</xdr:rowOff>
    </xdr:to>
    <xdr:sp macro="" textlink="">
      <xdr:nvSpPr>
        <xdr:cNvPr id="18242687" name="Line 3">
          <a:extLst>
            <a:ext uri="{FF2B5EF4-FFF2-40B4-BE49-F238E27FC236}">
              <a16:creationId xmlns:a16="http://schemas.microsoft.com/office/drawing/2014/main" id="{3394EE2F-4BF9-59BB-2120-09E410C4CB7F}"/>
            </a:ext>
          </a:extLst>
        </xdr:cNvPr>
        <xdr:cNvSpPr>
          <a:spLocks noChangeShapeType="1"/>
        </xdr:cNvSpPr>
      </xdr:nvSpPr>
      <xdr:spPr bwMode="auto">
        <a:xfrm>
          <a:off x="738188" y="990600"/>
          <a:ext cx="4738687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80963</xdr:colOff>
      <xdr:row>7</xdr:row>
      <xdr:rowOff>95250</xdr:rowOff>
    </xdr:from>
    <xdr:to>
      <xdr:col>8</xdr:col>
      <xdr:colOff>271463</xdr:colOff>
      <xdr:row>7</xdr:row>
      <xdr:rowOff>123825</xdr:rowOff>
    </xdr:to>
    <xdr:sp macro="" textlink="">
      <xdr:nvSpPr>
        <xdr:cNvPr id="18242688" name="Line 4">
          <a:extLst>
            <a:ext uri="{FF2B5EF4-FFF2-40B4-BE49-F238E27FC236}">
              <a16:creationId xmlns:a16="http://schemas.microsoft.com/office/drawing/2014/main" id="{F015EBCE-4F25-6166-DCF6-BA44BAFD6A1E}"/>
            </a:ext>
          </a:extLst>
        </xdr:cNvPr>
        <xdr:cNvSpPr>
          <a:spLocks noChangeShapeType="1"/>
        </xdr:cNvSpPr>
      </xdr:nvSpPr>
      <xdr:spPr bwMode="auto">
        <a:xfrm>
          <a:off x="728663" y="1228725"/>
          <a:ext cx="4724400" cy="2857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109538</xdr:colOff>
      <xdr:row>16</xdr:row>
      <xdr:rowOff>85725</xdr:rowOff>
    </xdr:from>
    <xdr:to>
      <xdr:col>8</xdr:col>
      <xdr:colOff>495300</xdr:colOff>
      <xdr:row>31</xdr:row>
      <xdr:rowOff>104775</xdr:rowOff>
    </xdr:to>
    <xdr:graphicFrame macro="">
      <xdr:nvGraphicFramePr>
        <xdr:cNvPr id="18242689" name="Chart 5">
          <a:extLst>
            <a:ext uri="{FF2B5EF4-FFF2-40B4-BE49-F238E27FC236}">
              <a16:creationId xmlns:a16="http://schemas.microsoft.com/office/drawing/2014/main" id="{4E22B51A-D71C-5101-5B13-FBD38EE69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161925</xdr:colOff>
      <xdr:row>24</xdr:row>
      <xdr:rowOff>95250</xdr:rowOff>
    </xdr:from>
    <xdr:to>
      <xdr:col>8</xdr:col>
      <xdr:colOff>261938</xdr:colOff>
      <xdr:row>24</xdr:row>
      <xdr:rowOff>95250</xdr:rowOff>
    </xdr:to>
    <xdr:sp macro="" textlink="">
      <xdr:nvSpPr>
        <xdr:cNvPr id="18242690" name="Line 6">
          <a:extLst>
            <a:ext uri="{FF2B5EF4-FFF2-40B4-BE49-F238E27FC236}">
              <a16:creationId xmlns:a16="http://schemas.microsoft.com/office/drawing/2014/main" id="{557B7719-46E7-AFEE-9250-D6528663ECA8}"/>
            </a:ext>
          </a:extLst>
        </xdr:cNvPr>
        <xdr:cNvSpPr>
          <a:spLocks noChangeShapeType="1"/>
        </xdr:cNvSpPr>
      </xdr:nvSpPr>
      <xdr:spPr bwMode="auto">
        <a:xfrm>
          <a:off x="809625" y="3981450"/>
          <a:ext cx="4633913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142875</xdr:colOff>
      <xdr:row>32</xdr:row>
      <xdr:rowOff>123825</xdr:rowOff>
    </xdr:from>
    <xdr:to>
      <xdr:col>8</xdr:col>
      <xdr:colOff>528638</xdr:colOff>
      <xdr:row>47</xdr:row>
      <xdr:rowOff>142875</xdr:rowOff>
    </xdr:to>
    <xdr:graphicFrame macro="">
      <xdr:nvGraphicFramePr>
        <xdr:cNvPr id="18242691" name="Chart 7">
          <a:extLst>
            <a:ext uri="{FF2B5EF4-FFF2-40B4-BE49-F238E27FC236}">
              <a16:creationId xmlns:a16="http://schemas.microsoft.com/office/drawing/2014/main" id="{A202A790-08B0-F497-BBB8-88291FACD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133350</xdr:colOff>
      <xdr:row>40</xdr:row>
      <xdr:rowOff>9525</xdr:rowOff>
    </xdr:from>
    <xdr:to>
      <xdr:col>8</xdr:col>
      <xdr:colOff>285750</xdr:colOff>
      <xdr:row>40</xdr:row>
      <xdr:rowOff>9525</xdr:rowOff>
    </xdr:to>
    <xdr:sp macro="" textlink="">
      <xdr:nvSpPr>
        <xdr:cNvPr id="18242692" name="Line 8">
          <a:extLst>
            <a:ext uri="{FF2B5EF4-FFF2-40B4-BE49-F238E27FC236}">
              <a16:creationId xmlns:a16="http://schemas.microsoft.com/office/drawing/2014/main" id="{048A8EC3-7D83-1F8D-746E-39FD0F5DB8F1}"/>
            </a:ext>
          </a:extLst>
        </xdr:cNvPr>
        <xdr:cNvSpPr>
          <a:spLocks noChangeShapeType="1"/>
        </xdr:cNvSpPr>
      </xdr:nvSpPr>
      <xdr:spPr bwMode="auto">
        <a:xfrm>
          <a:off x="781050" y="6486525"/>
          <a:ext cx="468630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100013</xdr:colOff>
      <xdr:row>42</xdr:row>
      <xdr:rowOff>85725</xdr:rowOff>
    </xdr:from>
    <xdr:to>
      <xdr:col>8</xdr:col>
      <xdr:colOff>242888</xdr:colOff>
      <xdr:row>42</xdr:row>
      <xdr:rowOff>85725</xdr:rowOff>
    </xdr:to>
    <xdr:sp macro="" textlink="">
      <xdr:nvSpPr>
        <xdr:cNvPr id="18242693" name="Line 9">
          <a:extLst>
            <a:ext uri="{FF2B5EF4-FFF2-40B4-BE49-F238E27FC236}">
              <a16:creationId xmlns:a16="http://schemas.microsoft.com/office/drawing/2014/main" id="{8D9E807C-110A-E1FC-2FB8-743424C548E1}"/>
            </a:ext>
          </a:extLst>
        </xdr:cNvPr>
        <xdr:cNvSpPr>
          <a:spLocks noChangeShapeType="1"/>
        </xdr:cNvSpPr>
      </xdr:nvSpPr>
      <xdr:spPr bwMode="auto">
        <a:xfrm>
          <a:off x="747713" y="6886575"/>
          <a:ext cx="4676775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109538</xdr:colOff>
      <xdr:row>0</xdr:row>
      <xdr:rowOff>66675</xdr:rowOff>
    </xdr:from>
    <xdr:to>
      <xdr:col>17</xdr:col>
      <xdr:colOff>495300</xdr:colOff>
      <xdr:row>15</xdr:row>
      <xdr:rowOff>85725</xdr:rowOff>
    </xdr:to>
    <xdr:graphicFrame macro="">
      <xdr:nvGraphicFramePr>
        <xdr:cNvPr id="18242694" name="Chart 10">
          <a:extLst>
            <a:ext uri="{FF2B5EF4-FFF2-40B4-BE49-F238E27FC236}">
              <a16:creationId xmlns:a16="http://schemas.microsoft.com/office/drawing/2014/main" id="{44EA2B93-2117-3FF0-B12A-9EE3AB5FD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100013</xdr:colOff>
      <xdr:row>16</xdr:row>
      <xdr:rowOff>85725</xdr:rowOff>
    </xdr:from>
    <xdr:to>
      <xdr:col>17</xdr:col>
      <xdr:colOff>485775</xdr:colOff>
      <xdr:row>31</xdr:row>
      <xdr:rowOff>104775</xdr:rowOff>
    </xdr:to>
    <xdr:graphicFrame macro="">
      <xdr:nvGraphicFramePr>
        <xdr:cNvPr id="18242695" name="Chart 11">
          <a:extLst>
            <a:ext uri="{FF2B5EF4-FFF2-40B4-BE49-F238E27FC236}">
              <a16:creationId xmlns:a16="http://schemas.microsoft.com/office/drawing/2014/main" id="{F39643EE-5DF2-4177-C00B-1D2E16E4A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109538</xdr:colOff>
      <xdr:row>32</xdr:row>
      <xdr:rowOff>76200</xdr:rowOff>
    </xdr:from>
    <xdr:to>
      <xdr:col>17</xdr:col>
      <xdr:colOff>495300</xdr:colOff>
      <xdr:row>47</xdr:row>
      <xdr:rowOff>95250</xdr:rowOff>
    </xdr:to>
    <xdr:graphicFrame macro="">
      <xdr:nvGraphicFramePr>
        <xdr:cNvPr id="18242696" name="Chart 12">
          <a:extLst>
            <a:ext uri="{FF2B5EF4-FFF2-40B4-BE49-F238E27FC236}">
              <a16:creationId xmlns:a16="http://schemas.microsoft.com/office/drawing/2014/main" id="{42DD284F-4BCE-AF4C-8A6C-2AEBA138F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109538</xdr:colOff>
      <xdr:row>38</xdr:row>
      <xdr:rowOff>47625</xdr:rowOff>
    </xdr:from>
    <xdr:to>
      <xdr:col>17</xdr:col>
      <xdr:colOff>233363</xdr:colOff>
      <xdr:row>38</xdr:row>
      <xdr:rowOff>47625</xdr:rowOff>
    </xdr:to>
    <xdr:sp macro="" textlink="">
      <xdr:nvSpPr>
        <xdr:cNvPr id="18242697" name="Line 14">
          <a:extLst>
            <a:ext uri="{FF2B5EF4-FFF2-40B4-BE49-F238E27FC236}">
              <a16:creationId xmlns:a16="http://schemas.microsoft.com/office/drawing/2014/main" id="{F5E23098-0DDD-8D37-5CCB-EF4218B630AF}"/>
            </a:ext>
          </a:extLst>
        </xdr:cNvPr>
        <xdr:cNvSpPr>
          <a:spLocks noChangeShapeType="1"/>
        </xdr:cNvSpPr>
      </xdr:nvSpPr>
      <xdr:spPr bwMode="auto">
        <a:xfrm>
          <a:off x="6586538" y="6200775"/>
          <a:ext cx="4657725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123825</xdr:colOff>
      <xdr:row>0</xdr:row>
      <xdr:rowOff>76200</xdr:rowOff>
    </xdr:from>
    <xdr:to>
      <xdr:col>35</xdr:col>
      <xdr:colOff>466725</xdr:colOff>
      <xdr:row>15</xdr:row>
      <xdr:rowOff>95250</xdr:rowOff>
    </xdr:to>
    <xdr:graphicFrame macro="">
      <xdr:nvGraphicFramePr>
        <xdr:cNvPr id="18242698" name="Chart 15">
          <a:extLst>
            <a:ext uri="{FF2B5EF4-FFF2-40B4-BE49-F238E27FC236}">
              <a16:creationId xmlns:a16="http://schemas.microsoft.com/office/drawing/2014/main" id="{229008B5-01FD-968F-7240-868921F1B7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223838</xdr:colOff>
      <xdr:row>0</xdr:row>
      <xdr:rowOff>95250</xdr:rowOff>
    </xdr:from>
    <xdr:to>
      <xdr:col>26</xdr:col>
      <xdr:colOff>614363</xdr:colOff>
      <xdr:row>15</xdr:row>
      <xdr:rowOff>114300</xdr:rowOff>
    </xdr:to>
    <xdr:graphicFrame macro="">
      <xdr:nvGraphicFramePr>
        <xdr:cNvPr id="18242699" name="Chart 24">
          <a:extLst>
            <a:ext uri="{FF2B5EF4-FFF2-40B4-BE49-F238E27FC236}">
              <a16:creationId xmlns:a16="http://schemas.microsoft.com/office/drawing/2014/main" id="{B78C57E2-529D-270E-54A9-92A50C76D7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323850</xdr:colOff>
      <xdr:row>4</xdr:row>
      <xdr:rowOff>142875</xdr:rowOff>
    </xdr:from>
    <xdr:to>
      <xdr:col>26</xdr:col>
      <xdr:colOff>357188</xdr:colOff>
      <xdr:row>4</xdr:row>
      <xdr:rowOff>152400</xdr:rowOff>
    </xdr:to>
    <xdr:sp macro="" textlink="">
      <xdr:nvSpPr>
        <xdr:cNvPr id="18242700" name="Line 25">
          <a:extLst>
            <a:ext uri="{FF2B5EF4-FFF2-40B4-BE49-F238E27FC236}">
              <a16:creationId xmlns:a16="http://schemas.microsoft.com/office/drawing/2014/main" id="{994C7486-B087-02EF-67C6-C4090A5881DE}"/>
            </a:ext>
          </a:extLst>
        </xdr:cNvPr>
        <xdr:cNvSpPr>
          <a:spLocks noChangeShapeType="1"/>
        </xdr:cNvSpPr>
      </xdr:nvSpPr>
      <xdr:spPr bwMode="auto">
        <a:xfrm>
          <a:off x="12630150" y="790575"/>
          <a:ext cx="4567238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123825</xdr:rowOff>
    </xdr:from>
    <xdr:to>
      <xdr:col>27</xdr:col>
      <xdr:colOff>0</xdr:colOff>
      <xdr:row>15</xdr:row>
      <xdr:rowOff>95250</xdr:rowOff>
    </xdr:to>
    <xdr:graphicFrame macro="">
      <xdr:nvGraphicFramePr>
        <xdr:cNvPr id="18242701" name="Chart 28">
          <a:extLst>
            <a:ext uri="{FF2B5EF4-FFF2-40B4-BE49-F238E27FC236}">
              <a16:creationId xmlns:a16="http://schemas.microsoft.com/office/drawing/2014/main" id="{607B1BBE-3174-E564-BDDC-6EC2CC99B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0</xdr:colOff>
      <xdr:row>16</xdr:row>
      <xdr:rowOff>104775</xdr:rowOff>
    </xdr:from>
    <xdr:to>
      <xdr:col>27</xdr:col>
      <xdr:colOff>0</xdr:colOff>
      <xdr:row>31</xdr:row>
      <xdr:rowOff>123825</xdr:rowOff>
    </xdr:to>
    <xdr:graphicFrame macro="">
      <xdr:nvGraphicFramePr>
        <xdr:cNvPr id="18242702" name="Chart 33">
          <a:extLst>
            <a:ext uri="{FF2B5EF4-FFF2-40B4-BE49-F238E27FC236}">
              <a16:creationId xmlns:a16="http://schemas.microsoft.com/office/drawing/2014/main" id="{52ADC190-FD68-B4EE-5A06-AA37B455A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0</xdr:colOff>
      <xdr:row>5</xdr:row>
      <xdr:rowOff>38100</xdr:rowOff>
    </xdr:from>
    <xdr:to>
      <xdr:col>27</xdr:col>
      <xdr:colOff>0</xdr:colOff>
      <xdr:row>5</xdr:row>
      <xdr:rowOff>47625</xdr:rowOff>
    </xdr:to>
    <xdr:sp macro="" textlink="">
      <xdr:nvSpPr>
        <xdr:cNvPr id="18242703" name="Line 41">
          <a:extLst>
            <a:ext uri="{FF2B5EF4-FFF2-40B4-BE49-F238E27FC236}">
              <a16:creationId xmlns:a16="http://schemas.microsoft.com/office/drawing/2014/main" id="{583D0166-77A6-CBFA-8E23-807E3CE539B5}"/>
            </a:ext>
          </a:extLst>
        </xdr:cNvPr>
        <xdr:cNvSpPr>
          <a:spLocks noChangeShapeType="1"/>
        </xdr:cNvSpPr>
      </xdr:nvSpPr>
      <xdr:spPr bwMode="auto">
        <a:xfrm>
          <a:off x="17635538" y="847725"/>
          <a:ext cx="0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204788</xdr:colOff>
      <xdr:row>4</xdr:row>
      <xdr:rowOff>123825</xdr:rowOff>
    </xdr:from>
    <xdr:to>
      <xdr:col>17</xdr:col>
      <xdr:colOff>242888</xdr:colOff>
      <xdr:row>4</xdr:row>
      <xdr:rowOff>123825</xdr:rowOff>
    </xdr:to>
    <xdr:sp macro="" textlink="">
      <xdr:nvSpPr>
        <xdr:cNvPr id="18242704" name="Line 42">
          <a:extLst>
            <a:ext uri="{FF2B5EF4-FFF2-40B4-BE49-F238E27FC236}">
              <a16:creationId xmlns:a16="http://schemas.microsoft.com/office/drawing/2014/main" id="{0C9F2B73-F8FF-656E-FA60-D618C11AB42B}"/>
            </a:ext>
          </a:extLst>
        </xdr:cNvPr>
        <xdr:cNvSpPr>
          <a:spLocks noChangeShapeType="1"/>
        </xdr:cNvSpPr>
      </xdr:nvSpPr>
      <xdr:spPr bwMode="auto">
        <a:xfrm>
          <a:off x="6681788" y="771525"/>
          <a:ext cx="457200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133350</xdr:colOff>
      <xdr:row>6</xdr:row>
      <xdr:rowOff>133350</xdr:rowOff>
    </xdr:from>
    <xdr:to>
      <xdr:col>35</xdr:col>
      <xdr:colOff>223838</xdr:colOff>
      <xdr:row>6</xdr:row>
      <xdr:rowOff>133350</xdr:rowOff>
    </xdr:to>
    <xdr:sp macro="" textlink="">
      <xdr:nvSpPr>
        <xdr:cNvPr id="18242705" name="Line 26">
          <a:extLst>
            <a:ext uri="{FF2B5EF4-FFF2-40B4-BE49-F238E27FC236}">
              <a16:creationId xmlns:a16="http://schemas.microsoft.com/office/drawing/2014/main" id="{431D2027-CD00-41A2-DBD8-D4AE87416811}"/>
            </a:ext>
          </a:extLst>
        </xdr:cNvPr>
        <xdr:cNvSpPr>
          <a:spLocks noChangeShapeType="1"/>
        </xdr:cNvSpPr>
      </xdr:nvSpPr>
      <xdr:spPr bwMode="auto">
        <a:xfrm>
          <a:off x="18416588" y="1104900"/>
          <a:ext cx="4624387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5</xdr:row>
      <xdr:rowOff>28575</xdr:rowOff>
    </xdr:from>
    <xdr:to>
      <xdr:col>35</xdr:col>
      <xdr:colOff>233363</xdr:colOff>
      <xdr:row>5</xdr:row>
      <xdr:rowOff>28575</xdr:rowOff>
    </xdr:to>
    <xdr:sp macro="" textlink="">
      <xdr:nvSpPr>
        <xdr:cNvPr id="18242706" name="Line 45">
          <a:extLst>
            <a:ext uri="{FF2B5EF4-FFF2-40B4-BE49-F238E27FC236}">
              <a16:creationId xmlns:a16="http://schemas.microsoft.com/office/drawing/2014/main" id="{9D779101-8500-3F1E-B793-88BED9CF1A91}"/>
            </a:ext>
          </a:extLst>
        </xdr:cNvPr>
        <xdr:cNvSpPr>
          <a:spLocks noChangeShapeType="1"/>
        </xdr:cNvSpPr>
      </xdr:nvSpPr>
      <xdr:spPr bwMode="auto">
        <a:xfrm>
          <a:off x="18426113" y="838200"/>
          <a:ext cx="4624387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32</xdr:row>
      <xdr:rowOff>142875</xdr:rowOff>
    </xdr:from>
    <xdr:to>
      <xdr:col>27</xdr:col>
      <xdr:colOff>0</xdr:colOff>
      <xdr:row>48</xdr:row>
      <xdr:rowOff>0</xdr:rowOff>
    </xdr:to>
    <xdr:graphicFrame macro="">
      <xdr:nvGraphicFramePr>
        <xdr:cNvPr id="18242707" name="Chart 46">
          <a:extLst>
            <a:ext uri="{FF2B5EF4-FFF2-40B4-BE49-F238E27FC236}">
              <a16:creationId xmlns:a16="http://schemas.microsoft.com/office/drawing/2014/main" id="{06B3A11E-6861-D94D-79D5-888A0E29D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252413</xdr:colOff>
      <xdr:row>16</xdr:row>
      <xdr:rowOff>133350</xdr:rowOff>
    </xdr:from>
    <xdr:to>
      <xdr:col>26</xdr:col>
      <xdr:colOff>642938</xdr:colOff>
      <xdr:row>31</xdr:row>
      <xdr:rowOff>152400</xdr:rowOff>
    </xdr:to>
    <xdr:graphicFrame macro="">
      <xdr:nvGraphicFramePr>
        <xdr:cNvPr id="18242708" name="Chart 24">
          <a:extLst>
            <a:ext uri="{FF2B5EF4-FFF2-40B4-BE49-F238E27FC236}">
              <a16:creationId xmlns:a16="http://schemas.microsoft.com/office/drawing/2014/main" id="{3D20F68A-AD68-9713-E070-949E5C907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352425</xdr:colOff>
      <xdr:row>22</xdr:row>
      <xdr:rowOff>57150</xdr:rowOff>
    </xdr:from>
    <xdr:to>
      <xdr:col>26</xdr:col>
      <xdr:colOff>385763</xdr:colOff>
      <xdr:row>22</xdr:row>
      <xdr:rowOff>66675</xdr:rowOff>
    </xdr:to>
    <xdr:sp macro="" textlink="">
      <xdr:nvSpPr>
        <xdr:cNvPr id="18242709" name="Line 25">
          <a:extLst>
            <a:ext uri="{FF2B5EF4-FFF2-40B4-BE49-F238E27FC236}">
              <a16:creationId xmlns:a16="http://schemas.microsoft.com/office/drawing/2014/main" id="{43E5E726-8DC8-7B55-F660-15698E43F650}"/>
            </a:ext>
          </a:extLst>
        </xdr:cNvPr>
        <xdr:cNvSpPr>
          <a:spLocks noChangeShapeType="1"/>
        </xdr:cNvSpPr>
      </xdr:nvSpPr>
      <xdr:spPr bwMode="auto">
        <a:xfrm>
          <a:off x="12658725" y="3619500"/>
          <a:ext cx="4567238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271463</xdr:colOff>
      <xdr:row>32</xdr:row>
      <xdr:rowOff>152400</xdr:rowOff>
    </xdr:from>
    <xdr:to>
      <xdr:col>26</xdr:col>
      <xdr:colOff>623888</xdr:colOff>
      <xdr:row>48</xdr:row>
      <xdr:rowOff>9525</xdr:rowOff>
    </xdr:to>
    <xdr:graphicFrame macro="">
      <xdr:nvGraphicFramePr>
        <xdr:cNvPr id="18242710" name="Chart 15">
          <a:extLst>
            <a:ext uri="{FF2B5EF4-FFF2-40B4-BE49-F238E27FC236}">
              <a16:creationId xmlns:a16="http://schemas.microsoft.com/office/drawing/2014/main" id="{614F7EA1-4769-5934-C8E7-88325B64C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36</xdr:col>
      <xdr:colOff>223838</xdr:colOff>
      <xdr:row>0</xdr:row>
      <xdr:rowOff>95250</xdr:rowOff>
    </xdr:from>
    <xdr:to>
      <xdr:col>44</xdr:col>
      <xdr:colOff>614363</xdr:colOff>
      <xdr:row>15</xdr:row>
      <xdr:rowOff>114300</xdr:rowOff>
    </xdr:to>
    <xdr:graphicFrame macro="">
      <xdr:nvGraphicFramePr>
        <xdr:cNvPr id="18242711" name="Chart 24">
          <a:extLst>
            <a:ext uri="{FF2B5EF4-FFF2-40B4-BE49-F238E27FC236}">
              <a16:creationId xmlns:a16="http://schemas.microsoft.com/office/drawing/2014/main" id="{EF4102D1-117E-22A0-E831-3CFB07649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323850</xdr:colOff>
      <xdr:row>8</xdr:row>
      <xdr:rowOff>114300</xdr:rowOff>
    </xdr:from>
    <xdr:to>
      <xdr:col>44</xdr:col>
      <xdr:colOff>357188</xdr:colOff>
      <xdr:row>8</xdr:row>
      <xdr:rowOff>123825</xdr:rowOff>
    </xdr:to>
    <xdr:sp macro="" textlink="">
      <xdr:nvSpPr>
        <xdr:cNvPr id="18242712" name="Line 25">
          <a:extLst>
            <a:ext uri="{FF2B5EF4-FFF2-40B4-BE49-F238E27FC236}">
              <a16:creationId xmlns:a16="http://schemas.microsoft.com/office/drawing/2014/main" id="{A6CAE169-209A-4F15-2FD5-61AAA31BCE8F}"/>
            </a:ext>
          </a:extLst>
        </xdr:cNvPr>
        <xdr:cNvSpPr>
          <a:spLocks noChangeShapeType="1"/>
        </xdr:cNvSpPr>
      </xdr:nvSpPr>
      <xdr:spPr bwMode="auto">
        <a:xfrm>
          <a:off x="24436388" y="1409700"/>
          <a:ext cx="4567237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33</xdr:row>
      <xdr:rowOff>57150</xdr:rowOff>
    </xdr:from>
    <xdr:to>
      <xdr:col>35</xdr:col>
      <xdr:colOff>466725</xdr:colOff>
      <xdr:row>48</xdr:row>
      <xdr:rowOff>76200</xdr:rowOff>
    </xdr:to>
    <xdr:graphicFrame macro="">
      <xdr:nvGraphicFramePr>
        <xdr:cNvPr id="18242713" name="Chart 43">
          <a:extLst>
            <a:ext uri="{FF2B5EF4-FFF2-40B4-BE49-F238E27FC236}">
              <a16:creationId xmlns:a16="http://schemas.microsoft.com/office/drawing/2014/main" id="{F7341FFA-C6AF-3333-27D1-A4718E451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37</xdr:col>
      <xdr:colOff>152400</xdr:colOff>
      <xdr:row>28</xdr:row>
      <xdr:rowOff>38100</xdr:rowOff>
    </xdr:from>
    <xdr:to>
      <xdr:col>44</xdr:col>
      <xdr:colOff>252413</xdr:colOff>
      <xdr:row>28</xdr:row>
      <xdr:rowOff>38100</xdr:rowOff>
    </xdr:to>
    <xdr:sp macro="" textlink="">
      <xdr:nvSpPr>
        <xdr:cNvPr id="18242714" name="Line 44">
          <a:extLst>
            <a:ext uri="{FF2B5EF4-FFF2-40B4-BE49-F238E27FC236}">
              <a16:creationId xmlns:a16="http://schemas.microsoft.com/office/drawing/2014/main" id="{B0EB08BC-BCFF-EA07-C99B-05E079227491}"/>
            </a:ext>
          </a:extLst>
        </xdr:cNvPr>
        <xdr:cNvSpPr>
          <a:spLocks noChangeShapeType="1"/>
        </xdr:cNvSpPr>
      </xdr:nvSpPr>
      <xdr:spPr bwMode="auto">
        <a:xfrm>
          <a:off x="24264938" y="4572000"/>
          <a:ext cx="4633912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171450</xdr:colOff>
      <xdr:row>16</xdr:row>
      <xdr:rowOff>152400</xdr:rowOff>
    </xdr:from>
    <xdr:to>
      <xdr:col>35</xdr:col>
      <xdr:colOff>557213</xdr:colOff>
      <xdr:row>32</xdr:row>
      <xdr:rowOff>9525</xdr:rowOff>
    </xdr:to>
    <xdr:graphicFrame macro="">
      <xdr:nvGraphicFramePr>
        <xdr:cNvPr id="18242715" name="Chart 24">
          <a:extLst>
            <a:ext uri="{FF2B5EF4-FFF2-40B4-BE49-F238E27FC236}">
              <a16:creationId xmlns:a16="http://schemas.microsoft.com/office/drawing/2014/main" id="{FB7FFCE3-DE36-0FDA-D719-37396C397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8AE3-B302-4AE9-8C4C-619540691BC4}">
  <dimension ref="A1:R592"/>
  <sheetViews>
    <sheetView showGridLines="0" zoomScale="75" zoomScaleNormal="75" zoomScaleSheetLayoutView="64" workbookViewId="0">
      <pane xSplit="1" ySplit="4" topLeftCell="B275" activePane="bottomRight" state="frozen"/>
      <selection pane="topRight" activeCell="B1" sqref="B1"/>
      <selection pane="bottomLeft" activeCell="A5" sqref="A5"/>
      <selection pane="bottomRight" activeCell="D279" sqref="D279"/>
    </sheetView>
  </sheetViews>
  <sheetFormatPr defaultColWidth="9.1328125" defaultRowHeight="12.75" x14ac:dyDescent="0.35"/>
  <cols>
    <col min="1" max="1" width="15.3984375" style="4" customWidth="1"/>
    <col min="2" max="2" width="11.3984375" style="4" customWidth="1"/>
    <col min="3" max="4" width="14.73046875" style="4" customWidth="1"/>
    <col min="5" max="5" width="14" style="4" customWidth="1"/>
    <col min="6" max="6" width="14.59765625" style="4" customWidth="1"/>
    <col min="7" max="7" width="13.265625" style="4" customWidth="1"/>
    <col min="8" max="8" width="13.73046875" style="4" customWidth="1"/>
    <col min="9" max="9" width="11.86328125" style="4" customWidth="1"/>
    <col min="10" max="11" width="14.1328125" style="4" customWidth="1"/>
    <col min="12" max="12" width="13.3984375" style="4" customWidth="1"/>
    <col min="13" max="16384" width="9.1328125" style="4"/>
  </cols>
  <sheetData>
    <row r="1" spans="1:12" ht="23.25" customHeight="1" x14ac:dyDescent="0.35">
      <c r="A1" s="116" t="s">
        <v>13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2" spans="1:12" ht="7.5" customHeight="1" thickBo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2" s="6" customFormat="1" ht="35.25" customHeight="1" thickBot="1" x14ac:dyDescent="0.4">
      <c r="A3" s="38" t="s">
        <v>14</v>
      </c>
      <c r="B3" s="42" t="s">
        <v>15</v>
      </c>
      <c r="C3" s="39" t="s">
        <v>17</v>
      </c>
      <c r="D3" s="39" t="s">
        <v>353</v>
      </c>
      <c r="E3" s="51" t="s">
        <v>16</v>
      </c>
      <c r="F3" s="51" t="s">
        <v>28</v>
      </c>
      <c r="G3" s="52" t="s">
        <v>4</v>
      </c>
      <c r="H3" s="51" t="s">
        <v>19</v>
      </c>
      <c r="I3" s="51" t="s">
        <v>7</v>
      </c>
      <c r="J3" s="53" t="s">
        <v>20</v>
      </c>
      <c r="K3" s="40" t="s">
        <v>30</v>
      </c>
      <c r="L3" s="41" t="s">
        <v>31</v>
      </c>
    </row>
    <row r="4" spans="1:12" s="6" customFormat="1" ht="23.25" customHeight="1" thickBot="1" x14ac:dyDescent="0.4">
      <c r="A4" s="64" t="s">
        <v>26</v>
      </c>
      <c r="B4" s="65" t="s">
        <v>12</v>
      </c>
      <c r="C4" s="66" t="s">
        <v>27</v>
      </c>
      <c r="D4" s="66"/>
      <c r="E4" s="66" t="s">
        <v>29</v>
      </c>
      <c r="F4" s="66" t="s">
        <v>11</v>
      </c>
      <c r="G4" s="67" t="s">
        <v>11</v>
      </c>
      <c r="H4" s="66" t="s">
        <v>11</v>
      </c>
      <c r="I4" s="66" t="s">
        <v>11</v>
      </c>
      <c r="J4" s="66" t="s">
        <v>11</v>
      </c>
      <c r="K4" s="66" t="s">
        <v>11</v>
      </c>
      <c r="L4" s="68" t="s">
        <v>11</v>
      </c>
    </row>
    <row r="5" spans="1:12" s="10" customFormat="1" ht="28.5" customHeight="1" x14ac:dyDescent="0.35">
      <c r="A5" s="100">
        <v>45537</v>
      </c>
      <c r="B5" s="1">
        <v>7.8</v>
      </c>
      <c r="C5" s="1" t="s">
        <v>51</v>
      </c>
      <c r="D5" s="1"/>
      <c r="E5" s="76">
        <v>269</v>
      </c>
      <c r="F5" s="12">
        <v>180</v>
      </c>
      <c r="G5" s="12">
        <v>132</v>
      </c>
      <c r="H5" s="12">
        <v>73</v>
      </c>
      <c r="I5" s="12">
        <v>31</v>
      </c>
      <c r="J5" s="12" t="s">
        <v>51</v>
      </c>
      <c r="K5" s="12" t="s">
        <v>51</v>
      </c>
      <c r="L5" s="77" t="s">
        <v>32</v>
      </c>
    </row>
    <row r="6" spans="1:12" s="10" customFormat="1" ht="28.5" customHeight="1" x14ac:dyDescent="0.35">
      <c r="A6" s="100">
        <v>45538</v>
      </c>
      <c r="B6" s="2">
        <v>7.75</v>
      </c>
      <c r="C6" s="63" t="s">
        <v>51</v>
      </c>
      <c r="D6" s="63"/>
      <c r="E6" s="25">
        <v>269</v>
      </c>
      <c r="F6" s="17">
        <v>180</v>
      </c>
      <c r="G6" s="17">
        <v>132</v>
      </c>
      <c r="H6" s="17">
        <v>73</v>
      </c>
      <c r="I6" s="17">
        <v>29</v>
      </c>
      <c r="J6" s="17" t="s">
        <v>51</v>
      </c>
      <c r="K6" s="17" t="s">
        <v>51</v>
      </c>
      <c r="L6" s="75" t="s">
        <v>32</v>
      </c>
    </row>
    <row r="7" spans="1:12" s="10" customFormat="1" ht="28.5" customHeight="1" x14ac:dyDescent="0.35">
      <c r="A7" s="100">
        <v>45539</v>
      </c>
      <c r="B7" s="2">
        <v>7.64</v>
      </c>
      <c r="C7" s="63" t="s">
        <v>51</v>
      </c>
      <c r="D7" s="63"/>
      <c r="E7" s="25">
        <v>253</v>
      </c>
      <c r="F7" s="17">
        <v>170</v>
      </c>
      <c r="G7" s="17">
        <v>135</v>
      </c>
      <c r="H7" s="17">
        <v>75</v>
      </c>
      <c r="I7" s="17">
        <v>32</v>
      </c>
      <c r="J7" s="17" t="s">
        <v>51</v>
      </c>
      <c r="K7" s="17" t="s">
        <v>51</v>
      </c>
      <c r="L7" s="75" t="s">
        <v>32</v>
      </c>
    </row>
    <row r="8" spans="1:12" s="10" customFormat="1" ht="28.5" customHeight="1" x14ac:dyDescent="0.35">
      <c r="A8" s="100">
        <v>45540</v>
      </c>
      <c r="B8" s="2">
        <v>7.8</v>
      </c>
      <c r="C8" s="63" t="s">
        <v>51</v>
      </c>
      <c r="D8" s="63"/>
      <c r="E8" s="25">
        <v>269</v>
      </c>
      <c r="F8" s="25">
        <v>180</v>
      </c>
      <c r="G8" s="17">
        <v>140</v>
      </c>
      <c r="H8" s="17">
        <v>80</v>
      </c>
      <c r="I8" s="17">
        <v>35</v>
      </c>
      <c r="J8" s="17" t="s">
        <v>51</v>
      </c>
      <c r="K8" s="17" t="s">
        <v>51</v>
      </c>
      <c r="L8" s="75" t="s">
        <v>32</v>
      </c>
    </row>
    <row r="9" spans="1:12" s="10" customFormat="1" ht="28.5" customHeight="1" x14ac:dyDescent="0.35">
      <c r="A9" s="100">
        <v>45541</v>
      </c>
      <c r="B9" s="2">
        <v>7.8</v>
      </c>
      <c r="C9" s="63" t="s">
        <v>51</v>
      </c>
      <c r="D9" s="63"/>
      <c r="E9" s="25">
        <v>284</v>
      </c>
      <c r="F9" s="25">
        <v>190</v>
      </c>
      <c r="G9" s="17">
        <v>144</v>
      </c>
      <c r="H9" s="17">
        <v>93</v>
      </c>
      <c r="I9" s="17">
        <v>29</v>
      </c>
      <c r="J9" s="17" t="s">
        <v>51</v>
      </c>
      <c r="K9" s="17">
        <v>150</v>
      </c>
      <c r="L9" s="75" t="s">
        <v>32</v>
      </c>
    </row>
    <row r="10" spans="1:12" s="10" customFormat="1" ht="28.5" customHeight="1" x14ac:dyDescent="0.35">
      <c r="A10" s="100">
        <v>45542</v>
      </c>
      <c r="B10" s="2">
        <v>7.93</v>
      </c>
      <c r="C10" s="63" t="s">
        <v>51</v>
      </c>
      <c r="D10" s="63"/>
      <c r="E10" s="25">
        <v>291</v>
      </c>
      <c r="F10" s="17">
        <v>195</v>
      </c>
      <c r="G10" s="17">
        <v>140</v>
      </c>
      <c r="H10" s="17">
        <v>89</v>
      </c>
      <c r="I10" s="17">
        <v>33</v>
      </c>
      <c r="J10" s="17" t="s">
        <v>51</v>
      </c>
      <c r="K10" s="17">
        <v>310</v>
      </c>
      <c r="L10" s="75" t="s">
        <v>32</v>
      </c>
    </row>
    <row r="11" spans="1:12" s="10" customFormat="1" ht="28.5" customHeight="1" x14ac:dyDescent="0.35">
      <c r="A11" s="100">
        <v>45544</v>
      </c>
      <c r="B11" s="2">
        <v>8.0399999999999991</v>
      </c>
      <c r="C11" s="63" t="s">
        <v>51</v>
      </c>
      <c r="D11" s="63"/>
      <c r="E11" s="25">
        <v>299</v>
      </c>
      <c r="F11" s="17">
        <v>200</v>
      </c>
      <c r="G11" s="17">
        <v>153</v>
      </c>
      <c r="H11" s="17">
        <v>98</v>
      </c>
      <c r="I11" s="17">
        <v>39</v>
      </c>
      <c r="J11" s="17" t="s">
        <v>51</v>
      </c>
      <c r="K11" s="17">
        <v>143</v>
      </c>
      <c r="L11" s="44" t="s">
        <v>32</v>
      </c>
    </row>
    <row r="12" spans="1:12" s="10" customFormat="1" ht="28.5" customHeight="1" x14ac:dyDescent="0.35">
      <c r="A12" s="100">
        <v>45545</v>
      </c>
      <c r="B12" s="2">
        <v>7.92</v>
      </c>
      <c r="C12" s="2" t="s">
        <v>51</v>
      </c>
      <c r="D12" s="2"/>
      <c r="E12" s="25">
        <v>286</v>
      </c>
      <c r="F12" s="25">
        <v>190</v>
      </c>
      <c r="G12" s="25">
        <v>144</v>
      </c>
      <c r="H12" s="25">
        <v>84</v>
      </c>
      <c r="I12" s="25">
        <v>37</v>
      </c>
      <c r="J12" s="17" t="s">
        <v>51</v>
      </c>
      <c r="K12" s="17">
        <v>140</v>
      </c>
      <c r="L12" s="44" t="s">
        <v>32</v>
      </c>
    </row>
    <row r="13" spans="1:12" s="10" customFormat="1" ht="28.5" customHeight="1" x14ac:dyDescent="0.35">
      <c r="A13" s="100" t="s">
        <v>52</v>
      </c>
      <c r="B13" s="2">
        <v>7.84</v>
      </c>
      <c r="C13" s="63" t="s">
        <v>51</v>
      </c>
      <c r="D13" s="63"/>
      <c r="E13" s="25">
        <v>279</v>
      </c>
      <c r="F13" s="17">
        <v>185</v>
      </c>
      <c r="G13" s="17">
        <v>150</v>
      </c>
      <c r="H13" s="17">
        <v>93</v>
      </c>
      <c r="I13" s="17">
        <v>40</v>
      </c>
      <c r="J13" s="17" t="s">
        <v>51</v>
      </c>
      <c r="K13" s="17">
        <v>146</v>
      </c>
      <c r="L13" s="44" t="s">
        <v>32</v>
      </c>
    </row>
    <row r="14" spans="1:12" s="10" customFormat="1" ht="28.5" customHeight="1" x14ac:dyDescent="0.35">
      <c r="A14" s="100" t="s">
        <v>53</v>
      </c>
      <c r="B14" s="2">
        <v>7.82</v>
      </c>
      <c r="C14" s="63" t="s">
        <v>51</v>
      </c>
      <c r="D14" s="63"/>
      <c r="E14" s="25">
        <v>269</v>
      </c>
      <c r="F14" s="17">
        <v>180</v>
      </c>
      <c r="G14" s="17">
        <v>140</v>
      </c>
      <c r="H14" s="17">
        <v>90</v>
      </c>
      <c r="I14" s="17">
        <v>39</v>
      </c>
      <c r="J14" s="17" t="s">
        <v>51</v>
      </c>
      <c r="K14" s="17">
        <v>148</v>
      </c>
      <c r="L14" s="44" t="s">
        <v>32</v>
      </c>
    </row>
    <row r="15" spans="1:12" s="10" customFormat="1" ht="28.5" customHeight="1" x14ac:dyDescent="0.35">
      <c r="A15" s="100">
        <v>45548</v>
      </c>
      <c r="B15" s="2">
        <v>8.08</v>
      </c>
      <c r="C15" s="63" t="s">
        <v>51</v>
      </c>
      <c r="D15" s="63"/>
      <c r="E15" s="25">
        <v>263</v>
      </c>
      <c r="F15" s="17">
        <v>175</v>
      </c>
      <c r="G15" s="17">
        <v>147</v>
      </c>
      <c r="H15" s="17">
        <v>82</v>
      </c>
      <c r="I15" s="17">
        <v>32</v>
      </c>
      <c r="J15" s="17" t="s">
        <v>51</v>
      </c>
      <c r="K15" s="17">
        <v>139</v>
      </c>
      <c r="L15" s="44" t="s">
        <v>32</v>
      </c>
    </row>
    <row r="16" spans="1:12" s="10" customFormat="1" ht="28.5" customHeight="1" x14ac:dyDescent="0.35">
      <c r="A16" s="100">
        <v>45549</v>
      </c>
      <c r="B16" s="2">
        <v>8.8000000000000007</v>
      </c>
      <c r="C16" s="2" t="s">
        <v>51</v>
      </c>
      <c r="D16" s="2"/>
      <c r="E16" s="25">
        <v>268</v>
      </c>
      <c r="F16" s="17">
        <v>180</v>
      </c>
      <c r="G16" s="17">
        <v>144</v>
      </c>
      <c r="H16" s="17">
        <v>80</v>
      </c>
      <c r="I16" s="17">
        <v>35</v>
      </c>
      <c r="J16" s="17" t="s">
        <v>51</v>
      </c>
      <c r="K16" s="17">
        <v>143</v>
      </c>
      <c r="L16" s="44" t="s">
        <v>32</v>
      </c>
    </row>
    <row r="17" spans="1:12" s="10" customFormat="1" ht="28.5" customHeight="1" x14ac:dyDescent="0.35">
      <c r="A17" s="100">
        <v>45551</v>
      </c>
      <c r="B17" s="2">
        <v>8.1</v>
      </c>
      <c r="C17" s="63" t="s">
        <v>51</v>
      </c>
      <c r="D17" s="63"/>
      <c r="E17" s="25">
        <v>279</v>
      </c>
      <c r="F17" s="17">
        <v>180</v>
      </c>
      <c r="G17" s="17">
        <v>147</v>
      </c>
      <c r="H17" s="17">
        <v>95</v>
      </c>
      <c r="I17" s="17">
        <v>22</v>
      </c>
      <c r="J17" s="17" t="s">
        <v>51</v>
      </c>
      <c r="K17" s="17">
        <v>139</v>
      </c>
      <c r="L17" s="44" t="s">
        <v>32</v>
      </c>
    </row>
    <row r="18" spans="1:12" s="10" customFormat="1" ht="28.5" customHeight="1" x14ac:dyDescent="0.35">
      <c r="A18" s="100" t="s">
        <v>54</v>
      </c>
      <c r="B18" s="2">
        <v>8.02</v>
      </c>
      <c r="C18" s="2" t="s">
        <v>51</v>
      </c>
      <c r="D18" s="2"/>
      <c r="E18" s="25">
        <v>291</v>
      </c>
      <c r="F18" s="17">
        <v>195</v>
      </c>
      <c r="G18" s="17">
        <v>153</v>
      </c>
      <c r="H18" s="17">
        <v>98</v>
      </c>
      <c r="I18" s="17">
        <v>24</v>
      </c>
      <c r="J18" s="17" t="s">
        <v>51</v>
      </c>
      <c r="K18" s="17">
        <v>148</v>
      </c>
      <c r="L18" s="44" t="s">
        <v>32</v>
      </c>
    </row>
    <row r="19" spans="1:12" s="10" customFormat="1" ht="28.5" customHeight="1" x14ac:dyDescent="0.35">
      <c r="A19" s="100">
        <v>45553</v>
      </c>
      <c r="B19" s="2">
        <v>8.1</v>
      </c>
      <c r="C19" s="63" t="s">
        <v>51</v>
      </c>
      <c r="D19" s="63"/>
      <c r="E19" s="25">
        <v>269</v>
      </c>
      <c r="F19" s="17">
        <v>180</v>
      </c>
      <c r="G19" s="17">
        <v>148</v>
      </c>
      <c r="H19" s="17">
        <v>92</v>
      </c>
      <c r="I19" s="17">
        <v>23</v>
      </c>
      <c r="J19" s="17" t="s">
        <v>51</v>
      </c>
      <c r="K19" s="17">
        <v>139</v>
      </c>
      <c r="L19" s="44" t="s">
        <v>32</v>
      </c>
    </row>
    <row r="20" spans="1:12" s="10" customFormat="1" ht="28.5" customHeight="1" x14ac:dyDescent="0.35">
      <c r="A20" s="100">
        <v>45554</v>
      </c>
      <c r="B20" s="2">
        <v>8.1</v>
      </c>
      <c r="C20" s="63" t="s">
        <v>51</v>
      </c>
      <c r="D20" s="63"/>
      <c r="E20" s="25">
        <v>284</v>
      </c>
      <c r="F20" s="17">
        <v>190</v>
      </c>
      <c r="G20" s="17">
        <v>156</v>
      </c>
      <c r="H20" s="17">
        <v>99</v>
      </c>
      <c r="I20" s="17">
        <v>26</v>
      </c>
      <c r="J20" s="17" t="s">
        <v>51</v>
      </c>
      <c r="K20" s="17">
        <v>140</v>
      </c>
      <c r="L20" s="44" t="s">
        <v>32</v>
      </c>
    </row>
    <row r="21" spans="1:12" s="10" customFormat="1" ht="28.5" customHeight="1" x14ac:dyDescent="0.35">
      <c r="A21" s="100">
        <v>45555</v>
      </c>
      <c r="B21" s="2">
        <v>7.98</v>
      </c>
      <c r="C21" s="2" t="s">
        <v>51</v>
      </c>
      <c r="D21" s="2"/>
      <c r="E21" s="25">
        <v>285</v>
      </c>
      <c r="F21" s="17">
        <v>192</v>
      </c>
      <c r="G21" s="17">
        <v>159</v>
      </c>
      <c r="H21" s="17">
        <v>98</v>
      </c>
      <c r="I21" s="17">
        <v>24</v>
      </c>
      <c r="J21" s="17" t="s">
        <v>51</v>
      </c>
      <c r="K21" s="17">
        <v>153</v>
      </c>
      <c r="L21" s="44" t="s">
        <v>32</v>
      </c>
    </row>
    <row r="22" spans="1:12" s="10" customFormat="1" ht="28.5" customHeight="1" x14ac:dyDescent="0.35">
      <c r="A22" s="100">
        <v>45556</v>
      </c>
      <c r="B22" s="2">
        <v>8.2200000000000006</v>
      </c>
      <c r="C22" s="2" t="s">
        <v>51</v>
      </c>
      <c r="D22" s="2"/>
      <c r="E22" s="25">
        <v>272</v>
      </c>
      <c r="F22" s="17">
        <v>185</v>
      </c>
      <c r="G22" s="17">
        <v>140</v>
      </c>
      <c r="H22" s="17">
        <v>82</v>
      </c>
      <c r="I22" s="17">
        <v>26</v>
      </c>
      <c r="J22" s="17" t="s">
        <v>51</v>
      </c>
      <c r="K22" s="17">
        <v>133</v>
      </c>
      <c r="L22" s="44" t="s">
        <v>32</v>
      </c>
    </row>
    <row r="23" spans="1:12" s="10" customFormat="1" ht="28.5" customHeight="1" x14ac:dyDescent="0.35">
      <c r="A23" s="100">
        <v>45558</v>
      </c>
      <c r="B23" s="2">
        <v>8.17</v>
      </c>
      <c r="C23" s="63" t="s">
        <v>51</v>
      </c>
      <c r="D23" s="63"/>
      <c r="E23" s="25">
        <v>268</v>
      </c>
      <c r="F23" s="17">
        <v>180</v>
      </c>
      <c r="G23" s="17">
        <v>132</v>
      </c>
      <c r="H23" s="17">
        <v>80</v>
      </c>
      <c r="I23" s="17">
        <v>30</v>
      </c>
      <c r="J23" s="17" t="s">
        <v>51</v>
      </c>
      <c r="K23" s="17">
        <v>145</v>
      </c>
      <c r="L23" s="44" t="s">
        <v>32</v>
      </c>
    </row>
    <row r="24" spans="1:12" s="10" customFormat="1" ht="28.5" customHeight="1" x14ac:dyDescent="0.35">
      <c r="A24" s="100">
        <v>45559</v>
      </c>
      <c r="B24" s="2">
        <v>8.1999999999999993</v>
      </c>
      <c r="C24" s="63" t="s">
        <v>51</v>
      </c>
      <c r="D24" s="63"/>
      <c r="E24" s="25">
        <v>268</v>
      </c>
      <c r="F24" s="17">
        <v>180</v>
      </c>
      <c r="G24" s="17">
        <v>127</v>
      </c>
      <c r="H24" s="17">
        <v>80</v>
      </c>
      <c r="I24" s="17">
        <v>25</v>
      </c>
      <c r="J24" s="17" t="s">
        <v>51</v>
      </c>
      <c r="K24" s="17">
        <v>142</v>
      </c>
      <c r="L24" s="44" t="s">
        <v>32</v>
      </c>
    </row>
    <row r="25" spans="1:12" s="10" customFormat="1" ht="28.5" customHeight="1" x14ac:dyDescent="0.35">
      <c r="A25" s="100">
        <v>45560</v>
      </c>
      <c r="B25" s="2">
        <v>8.02</v>
      </c>
      <c r="C25" s="63" t="s">
        <v>51</v>
      </c>
      <c r="D25" s="63"/>
      <c r="E25" s="25">
        <v>284</v>
      </c>
      <c r="F25" s="25">
        <v>190</v>
      </c>
      <c r="G25" s="25">
        <v>157</v>
      </c>
      <c r="H25" s="25">
        <v>98</v>
      </c>
      <c r="I25" s="25">
        <v>28</v>
      </c>
      <c r="J25" s="25" t="s">
        <v>51</v>
      </c>
      <c r="K25" s="17">
        <v>150</v>
      </c>
      <c r="L25" s="44" t="s">
        <v>32</v>
      </c>
    </row>
    <row r="26" spans="1:12" s="10" customFormat="1" ht="28.5" customHeight="1" x14ac:dyDescent="0.35">
      <c r="A26" s="100">
        <v>45561</v>
      </c>
      <c r="B26" s="2">
        <v>7.94</v>
      </c>
      <c r="C26" s="63" t="s">
        <v>51</v>
      </c>
      <c r="D26" s="63"/>
      <c r="E26" s="25">
        <v>279</v>
      </c>
      <c r="F26" s="25">
        <v>185</v>
      </c>
      <c r="G26" s="25">
        <v>149</v>
      </c>
      <c r="H26" s="25">
        <v>82</v>
      </c>
      <c r="I26" s="25">
        <v>30</v>
      </c>
      <c r="J26" s="25" t="s">
        <v>51</v>
      </c>
      <c r="K26" s="17">
        <v>146</v>
      </c>
      <c r="L26" s="44" t="s">
        <v>32</v>
      </c>
    </row>
    <row r="27" spans="1:12" s="10" customFormat="1" ht="28.5" customHeight="1" x14ac:dyDescent="0.35">
      <c r="A27" s="100">
        <v>45562</v>
      </c>
      <c r="B27" s="2">
        <v>8.1</v>
      </c>
      <c r="C27" s="63" t="s">
        <v>51</v>
      </c>
      <c r="D27" s="63"/>
      <c r="E27" s="25">
        <v>276</v>
      </c>
      <c r="F27" s="17">
        <v>180</v>
      </c>
      <c r="G27" s="17">
        <v>139</v>
      </c>
      <c r="H27" s="17">
        <v>80</v>
      </c>
      <c r="I27" s="17">
        <v>29</v>
      </c>
      <c r="J27" s="17" t="s">
        <v>51</v>
      </c>
      <c r="K27" s="17">
        <v>142</v>
      </c>
      <c r="L27" s="44" t="s">
        <v>32</v>
      </c>
    </row>
    <row r="28" spans="1:12" s="10" customFormat="1" ht="28.5" customHeight="1" x14ac:dyDescent="0.35">
      <c r="A28" s="70">
        <v>45563</v>
      </c>
      <c r="B28" s="2">
        <v>8.1</v>
      </c>
      <c r="C28" s="63" t="s">
        <v>51</v>
      </c>
      <c r="D28" s="63"/>
      <c r="E28" s="25">
        <v>284</v>
      </c>
      <c r="F28" s="17">
        <v>190</v>
      </c>
      <c r="G28" s="17">
        <v>133</v>
      </c>
      <c r="H28" s="17">
        <v>84</v>
      </c>
      <c r="I28" s="17">
        <v>30</v>
      </c>
      <c r="J28" s="17" t="s">
        <v>51</v>
      </c>
      <c r="K28" s="17">
        <v>142</v>
      </c>
      <c r="L28" s="44" t="s">
        <v>32</v>
      </c>
    </row>
    <row r="29" spans="1:12" s="10" customFormat="1" ht="28.5" customHeight="1" thickBot="1" x14ac:dyDescent="0.4">
      <c r="A29" s="111">
        <v>45565</v>
      </c>
      <c r="B29" s="2">
        <v>8.15</v>
      </c>
      <c r="C29" s="63" t="s">
        <v>51</v>
      </c>
      <c r="D29" s="63"/>
      <c r="E29" s="25">
        <v>284</v>
      </c>
      <c r="F29" s="17">
        <v>190</v>
      </c>
      <c r="G29" s="17">
        <v>135</v>
      </c>
      <c r="H29" s="17">
        <v>84</v>
      </c>
      <c r="I29" s="17">
        <v>35</v>
      </c>
      <c r="J29" s="17" t="s">
        <v>51</v>
      </c>
      <c r="K29" s="17">
        <v>142</v>
      </c>
      <c r="L29" s="44" t="s">
        <v>32</v>
      </c>
    </row>
    <row r="30" spans="1:12" s="10" customFormat="1" ht="28.5" customHeight="1" x14ac:dyDescent="0.35">
      <c r="A30" s="110">
        <v>45566</v>
      </c>
      <c r="B30" s="1">
        <v>8.1</v>
      </c>
      <c r="C30" s="1" t="s">
        <v>51</v>
      </c>
      <c r="D30" s="1"/>
      <c r="E30" s="76">
        <v>276</v>
      </c>
      <c r="F30" s="12">
        <v>185</v>
      </c>
      <c r="G30" s="12">
        <v>137</v>
      </c>
      <c r="H30" s="12">
        <v>84</v>
      </c>
      <c r="I30" s="12">
        <v>38</v>
      </c>
      <c r="J30" s="12" t="s">
        <v>51</v>
      </c>
      <c r="K30" s="12">
        <v>137</v>
      </c>
      <c r="L30" s="77" t="s">
        <v>32</v>
      </c>
    </row>
    <row r="31" spans="1:12" s="10" customFormat="1" ht="28.5" customHeight="1" x14ac:dyDescent="0.35">
      <c r="A31" s="100">
        <v>45567</v>
      </c>
      <c r="B31" s="2">
        <v>8.24</v>
      </c>
      <c r="C31" s="63" t="s">
        <v>51</v>
      </c>
      <c r="D31" s="63"/>
      <c r="E31" s="25">
        <v>284</v>
      </c>
      <c r="F31" s="17">
        <v>190</v>
      </c>
      <c r="G31" s="17">
        <v>128</v>
      </c>
      <c r="H31" s="17">
        <v>69</v>
      </c>
      <c r="I31" s="17">
        <v>26</v>
      </c>
      <c r="J31" s="17" t="s">
        <v>51</v>
      </c>
      <c r="K31" s="17">
        <v>134</v>
      </c>
      <c r="L31" s="75" t="s">
        <v>32</v>
      </c>
    </row>
    <row r="32" spans="1:12" s="10" customFormat="1" ht="28.5" customHeight="1" x14ac:dyDescent="0.35">
      <c r="A32" s="100" t="s">
        <v>56</v>
      </c>
      <c r="B32" s="2">
        <v>8.33</v>
      </c>
      <c r="C32" s="63" t="s">
        <v>51</v>
      </c>
      <c r="D32" s="63"/>
      <c r="E32" s="25">
        <v>286</v>
      </c>
      <c r="F32" s="17">
        <v>195</v>
      </c>
      <c r="G32" s="17">
        <v>118</v>
      </c>
      <c r="H32" s="17">
        <v>74</v>
      </c>
      <c r="I32" s="17">
        <v>37</v>
      </c>
      <c r="J32" s="17" t="s">
        <v>51</v>
      </c>
      <c r="K32" s="17">
        <v>129</v>
      </c>
      <c r="L32" s="75" t="s">
        <v>32</v>
      </c>
    </row>
    <row r="33" spans="1:12" s="10" customFormat="1" ht="28.5" customHeight="1" x14ac:dyDescent="0.35">
      <c r="A33" s="100">
        <v>45569</v>
      </c>
      <c r="B33" s="2">
        <v>8.3000000000000007</v>
      </c>
      <c r="C33" s="63" t="s">
        <v>51</v>
      </c>
      <c r="D33" s="63"/>
      <c r="E33" s="25">
        <v>283</v>
      </c>
      <c r="F33" s="25">
        <v>190</v>
      </c>
      <c r="G33" s="17">
        <v>112</v>
      </c>
      <c r="H33" s="17">
        <v>75</v>
      </c>
      <c r="I33" s="17">
        <v>35</v>
      </c>
      <c r="J33" s="17" t="s">
        <v>51</v>
      </c>
      <c r="K33" s="17">
        <v>125</v>
      </c>
      <c r="L33" s="75" t="s">
        <v>32</v>
      </c>
    </row>
    <row r="34" spans="1:12" s="10" customFormat="1" ht="28.5" customHeight="1" x14ac:dyDescent="0.35">
      <c r="A34" s="100">
        <v>45570</v>
      </c>
      <c r="B34" s="2">
        <v>8.25</v>
      </c>
      <c r="C34" s="63" t="s">
        <v>51</v>
      </c>
      <c r="D34" s="63"/>
      <c r="E34" s="25">
        <v>276</v>
      </c>
      <c r="F34" s="25">
        <v>185</v>
      </c>
      <c r="G34" s="17">
        <v>117</v>
      </c>
      <c r="H34" s="17">
        <v>72</v>
      </c>
      <c r="I34" s="17">
        <v>37</v>
      </c>
      <c r="J34" s="17" t="s">
        <v>51</v>
      </c>
      <c r="K34" s="17">
        <v>121</v>
      </c>
      <c r="L34" s="75" t="s">
        <v>32</v>
      </c>
    </row>
    <row r="35" spans="1:12" s="10" customFormat="1" ht="28.5" customHeight="1" x14ac:dyDescent="0.35">
      <c r="A35" s="100">
        <v>45572</v>
      </c>
      <c r="B35" s="2">
        <v>8.24</v>
      </c>
      <c r="C35" s="63" t="s">
        <v>51</v>
      </c>
      <c r="D35" s="63"/>
      <c r="E35" s="25">
        <v>276</v>
      </c>
      <c r="F35" s="17">
        <v>185</v>
      </c>
      <c r="G35" s="17">
        <v>110</v>
      </c>
      <c r="H35" s="17">
        <v>74</v>
      </c>
      <c r="I35" s="17">
        <v>30</v>
      </c>
      <c r="J35" s="17" t="s">
        <v>51</v>
      </c>
      <c r="K35" s="17">
        <v>130</v>
      </c>
      <c r="L35" s="75" t="s">
        <v>32</v>
      </c>
    </row>
    <row r="36" spans="1:12" s="10" customFormat="1" ht="28.5" customHeight="1" x14ac:dyDescent="0.35">
      <c r="A36" s="100">
        <v>45573</v>
      </c>
      <c r="B36" s="2">
        <v>7.98</v>
      </c>
      <c r="C36" s="63" t="s">
        <v>51</v>
      </c>
      <c r="D36" s="63"/>
      <c r="E36" s="25">
        <v>284</v>
      </c>
      <c r="F36" s="17">
        <v>190</v>
      </c>
      <c r="G36" s="17">
        <v>116</v>
      </c>
      <c r="H36" s="17">
        <v>84</v>
      </c>
      <c r="I36" s="17">
        <v>29</v>
      </c>
      <c r="J36" s="17" t="s">
        <v>51</v>
      </c>
      <c r="K36" s="17">
        <v>132</v>
      </c>
      <c r="L36" s="44" t="s">
        <v>32</v>
      </c>
    </row>
    <row r="37" spans="1:12" s="10" customFormat="1" ht="28.5" customHeight="1" x14ac:dyDescent="0.35">
      <c r="A37" s="100">
        <v>45574</v>
      </c>
      <c r="B37" s="2">
        <v>8.4</v>
      </c>
      <c r="C37" s="2" t="s">
        <v>51</v>
      </c>
      <c r="D37" s="2"/>
      <c r="E37" s="25">
        <v>299</v>
      </c>
      <c r="F37" s="25">
        <v>200</v>
      </c>
      <c r="G37" s="25">
        <v>133</v>
      </c>
      <c r="H37" s="25">
        <v>93</v>
      </c>
      <c r="I37" s="25">
        <v>37</v>
      </c>
      <c r="J37" s="17" t="s">
        <v>51</v>
      </c>
      <c r="K37" s="17">
        <v>140</v>
      </c>
      <c r="L37" s="44" t="s">
        <v>32</v>
      </c>
    </row>
    <row r="38" spans="1:12" s="10" customFormat="1" ht="28.5" customHeight="1" x14ac:dyDescent="0.35">
      <c r="A38" s="100" t="s">
        <v>57</v>
      </c>
      <c r="B38" s="2">
        <v>8.35</v>
      </c>
      <c r="C38" s="63" t="s">
        <v>51</v>
      </c>
      <c r="D38" s="63"/>
      <c r="E38" s="25">
        <v>299</v>
      </c>
      <c r="F38" s="17">
        <v>200</v>
      </c>
      <c r="G38" s="17">
        <v>138</v>
      </c>
      <c r="H38" s="17">
        <v>93</v>
      </c>
      <c r="I38" s="17">
        <v>34</v>
      </c>
      <c r="J38" s="17" t="s">
        <v>51</v>
      </c>
      <c r="K38" s="17">
        <v>136</v>
      </c>
      <c r="L38" s="44" t="s">
        <v>32</v>
      </c>
    </row>
    <row r="39" spans="1:12" s="10" customFormat="1" ht="28.5" customHeight="1" x14ac:dyDescent="0.35">
      <c r="A39" s="100" t="s">
        <v>58</v>
      </c>
      <c r="B39" s="2">
        <v>8.33</v>
      </c>
      <c r="C39" s="63" t="s">
        <v>51</v>
      </c>
      <c r="D39" s="63"/>
      <c r="E39" s="25">
        <v>291</v>
      </c>
      <c r="F39" s="17">
        <v>195</v>
      </c>
      <c r="G39" s="17">
        <v>139</v>
      </c>
      <c r="H39" s="17">
        <v>88</v>
      </c>
      <c r="I39" s="17">
        <v>40</v>
      </c>
      <c r="J39" s="17" t="s">
        <v>51</v>
      </c>
      <c r="K39" s="17">
        <v>130</v>
      </c>
      <c r="L39" s="44" t="s">
        <v>32</v>
      </c>
    </row>
    <row r="40" spans="1:12" s="10" customFormat="1" ht="28.5" customHeight="1" x14ac:dyDescent="0.35">
      <c r="A40" s="100">
        <v>45577</v>
      </c>
      <c r="B40" s="2">
        <v>8.3000000000000007</v>
      </c>
      <c r="C40" s="63" t="s">
        <v>51</v>
      </c>
      <c r="D40" s="63"/>
      <c r="E40" s="25">
        <v>291</v>
      </c>
      <c r="F40" s="17">
        <v>195</v>
      </c>
      <c r="G40" s="17">
        <v>132</v>
      </c>
      <c r="H40" s="17">
        <v>81</v>
      </c>
      <c r="I40" s="17">
        <v>44</v>
      </c>
      <c r="J40" s="17" t="s">
        <v>51</v>
      </c>
      <c r="K40" s="17">
        <v>133</v>
      </c>
      <c r="L40" s="44" t="s">
        <v>32</v>
      </c>
    </row>
    <row r="41" spans="1:12" s="10" customFormat="1" ht="28.5" customHeight="1" x14ac:dyDescent="0.35">
      <c r="A41" s="100">
        <v>45579</v>
      </c>
      <c r="B41" s="2">
        <v>8.2200000000000006</v>
      </c>
      <c r="C41" s="2" t="s">
        <v>51</v>
      </c>
      <c r="D41" s="2"/>
      <c r="E41" s="25">
        <v>313</v>
      </c>
      <c r="F41" s="17">
        <v>210</v>
      </c>
      <c r="G41" s="17">
        <v>132</v>
      </c>
      <c r="H41" s="17">
        <v>89</v>
      </c>
      <c r="I41" s="17">
        <v>40</v>
      </c>
      <c r="J41" s="17" t="s">
        <v>51</v>
      </c>
      <c r="K41" s="17">
        <v>129</v>
      </c>
      <c r="L41" s="44" t="s">
        <v>32</v>
      </c>
    </row>
    <row r="42" spans="1:12" s="10" customFormat="1" ht="28.5" customHeight="1" x14ac:dyDescent="0.35">
      <c r="A42" s="100" t="s">
        <v>59</v>
      </c>
      <c r="B42" s="2">
        <v>8.18</v>
      </c>
      <c r="C42" s="63" t="s">
        <v>51</v>
      </c>
      <c r="D42" s="63"/>
      <c r="E42" s="25">
        <v>323</v>
      </c>
      <c r="F42" s="17">
        <v>217</v>
      </c>
      <c r="G42" s="17">
        <v>137</v>
      </c>
      <c r="H42" s="17">
        <v>90</v>
      </c>
      <c r="I42" s="17">
        <v>45</v>
      </c>
      <c r="J42" s="17" t="s">
        <v>51</v>
      </c>
      <c r="K42" s="17">
        <v>123</v>
      </c>
      <c r="L42" s="44" t="s">
        <v>32</v>
      </c>
    </row>
    <row r="43" spans="1:12" s="10" customFormat="1" ht="28.5" customHeight="1" x14ac:dyDescent="0.35">
      <c r="A43" s="100" t="s">
        <v>60</v>
      </c>
      <c r="B43" s="2">
        <v>8.5399999999999991</v>
      </c>
      <c r="C43" s="2" t="s">
        <v>51</v>
      </c>
      <c r="D43" s="2"/>
      <c r="E43" s="25">
        <v>328</v>
      </c>
      <c r="F43" s="17">
        <v>220</v>
      </c>
      <c r="G43" s="17">
        <v>150</v>
      </c>
      <c r="H43" s="17">
        <v>102</v>
      </c>
      <c r="I43" s="17">
        <v>42</v>
      </c>
      <c r="J43" s="17" t="s">
        <v>51</v>
      </c>
      <c r="K43" s="17">
        <v>144</v>
      </c>
      <c r="L43" s="44" t="s">
        <v>32</v>
      </c>
    </row>
    <row r="44" spans="1:12" s="10" customFormat="1" ht="28.5" customHeight="1" x14ac:dyDescent="0.35">
      <c r="A44" s="100" t="s">
        <v>61</v>
      </c>
      <c r="B44" s="2">
        <v>8.34</v>
      </c>
      <c r="C44" s="63" t="s">
        <v>51</v>
      </c>
      <c r="D44" s="63"/>
      <c r="E44" s="25">
        <v>358</v>
      </c>
      <c r="F44" s="17">
        <v>240</v>
      </c>
      <c r="G44" s="17">
        <v>160</v>
      </c>
      <c r="H44" s="17">
        <v>106</v>
      </c>
      <c r="I44" s="17">
        <v>46</v>
      </c>
      <c r="J44" s="17" t="s">
        <v>51</v>
      </c>
      <c r="K44" s="17">
        <v>150</v>
      </c>
      <c r="L44" s="44" t="s">
        <v>32</v>
      </c>
    </row>
    <row r="45" spans="1:12" s="10" customFormat="1" ht="28.5" customHeight="1" x14ac:dyDescent="0.35">
      <c r="A45" s="100" t="s">
        <v>62</v>
      </c>
      <c r="B45" s="2">
        <v>8.3000000000000007</v>
      </c>
      <c r="C45" s="63" t="s">
        <v>51</v>
      </c>
      <c r="D45" s="63"/>
      <c r="E45" s="25">
        <v>328</v>
      </c>
      <c r="F45" s="17">
        <v>220</v>
      </c>
      <c r="G45" s="17">
        <v>158</v>
      </c>
      <c r="H45" s="17">
        <v>102</v>
      </c>
      <c r="I45" s="17">
        <v>40</v>
      </c>
      <c r="J45" s="17" t="s">
        <v>51</v>
      </c>
      <c r="K45" s="17">
        <v>142</v>
      </c>
      <c r="L45" s="44" t="s">
        <v>32</v>
      </c>
    </row>
    <row r="46" spans="1:12" s="10" customFormat="1" ht="28.5" customHeight="1" x14ac:dyDescent="0.35">
      <c r="A46" s="100" t="s">
        <v>63</v>
      </c>
      <c r="B46" s="2">
        <v>8.25</v>
      </c>
      <c r="C46" s="2" t="s">
        <v>51</v>
      </c>
      <c r="D46" s="2"/>
      <c r="E46" s="25">
        <v>328</v>
      </c>
      <c r="F46" s="17">
        <v>220</v>
      </c>
      <c r="G46" s="17">
        <v>165</v>
      </c>
      <c r="H46" s="17">
        <v>105</v>
      </c>
      <c r="I46" s="17">
        <v>43</v>
      </c>
      <c r="J46" s="17" t="s">
        <v>51</v>
      </c>
      <c r="K46" s="17">
        <v>183</v>
      </c>
      <c r="L46" s="44" t="s">
        <v>32</v>
      </c>
    </row>
    <row r="47" spans="1:12" s="10" customFormat="1" ht="28.5" customHeight="1" x14ac:dyDescent="0.35">
      <c r="A47" s="100" t="s">
        <v>64</v>
      </c>
      <c r="B47" s="2">
        <v>8.3000000000000007</v>
      </c>
      <c r="C47" s="2" t="s">
        <v>51</v>
      </c>
      <c r="D47" s="2"/>
      <c r="E47" s="25">
        <v>313</v>
      </c>
      <c r="F47" s="17">
        <v>210</v>
      </c>
      <c r="G47" s="17">
        <v>160</v>
      </c>
      <c r="H47" s="17">
        <v>100</v>
      </c>
      <c r="I47" s="17">
        <v>40</v>
      </c>
      <c r="J47" s="17" t="s">
        <v>51</v>
      </c>
      <c r="K47" s="17">
        <v>130</v>
      </c>
      <c r="L47" s="44" t="s">
        <v>32</v>
      </c>
    </row>
    <row r="48" spans="1:12" s="10" customFormat="1" ht="28.5" customHeight="1" x14ac:dyDescent="0.35">
      <c r="A48" s="100" t="s">
        <v>65</v>
      </c>
      <c r="B48" s="2">
        <v>8.1999999999999993</v>
      </c>
      <c r="C48" s="63" t="s">
        <v>51</v>
      </c>
      <c r="D48" s="63"/>
      <c r="E48" s="25">
        <v>328</v>
      </c>
      <c r="F48" s="17">
        <v>220</v>
      </c>
      <c r="G48" s="17">
        <v>168</v>
      </c>
      <c r="H48" s="17">
        <v>116</v>
      </c>
      <c r="I48" s="17">
        <v>36</v>
      </c>
      <c r="J48" s="17" t="s">
        <v>51</v>
      </c>
      <c r="K48" s="17">
        <v>135</v>
      </c>
      <c r="L48" s="44" t="s">
        <v>32</v>
      </c>
    </row>
    <row r="49" spans="1:12" s="10" customFormat="1" ht="28.5" customHeight="1" x14ac:dyDescent="0.35">
      <c r="A49" s="100">
        <v>45588</v>
      </c>
      <c r="B49" s="2">
        <v>8.25</v>
      </c>
      <c r="C49" s="63" t="s">
        <v>51</v>
      </c>
      <c r="D49" s="63"/>
      <c r="E49" s="25">
        <v>316</v>
      </c>
      <c r="F49" s="17">
        <v>212</v>
      </c>
      <c r="G49" s="17">
        <v>162</v>
      </c>
      <c r="H49" s="17">
        <v>113</v>
      </c>
      <c r="I49" s="17">
        <v>32</v>
      </c>
      <c r="J49" s="17" t="s">
        <v>51</v>
      </c>
      <c r="K49" s="17">
        <v>129</v>
      </c>
      <c r="L49" s="44" t="s">
        <v>32</v>
      </c>
    </row>
    <row r="50" spans="1:12" s="10" customFormat="1" ht="28.5" customHeight="1" x14ac:dyDescent="0.35">
      <c r="A50" s="100" t="s">
        <v>66</v>
      </c>
      <c r="B50" s="2">
        <v>8.48</v>
      </c>
      <c r="C50" s="63" t="s">
        <v>51</v>
      </c>
      <c r="D50" s="63"/>
      <c r="E50" s="25">
        <v>325</v>
      </c>
      <c r="F50" s="25">
        <v>218</v>
      </c>
      <c r="G50" s="25">
        <v>173</v>
      </c>
      <c r="H50" s="25">
        <v>118</v>
      </c>
      <c r="I50" s="25">
        <v>38</v>
      </c>
      <c r="J50" s="25" t="s">
        <v>51</v>
      </c>
      <c r="K50" s="17">
        <v>133</v>
      </c>
      <c r="L50" s="44" t="s">
        <v>32</v>
      </c>
    </row>
    <row r="51" spans="1:12" s="10" customFormat="1" ht="28.5" customHeight="1" x14ac:dyDescent="0.35">
      <c r="A51" s="100" t="s">
        <v>67</v>
      </c>
      <c r="B51" s="2">
        <v>8.34</v>
      </c>
      <c r="C51" s="63" t="s">
        <v>51</v>
      </c>
      <c r="D51" s="63"/>
      <c r="E51" s="25">
        <v>313</v>
      </c>
      <c r="F51" s="25">
        <v>210</v>
      </c>
      <c r="G51" s="25">
        <v>169</v>
      </c>
      <c r="H51" s="25">
        <v>116</v>
      </c>
      <c r="I51" s="25">
        <v>36</v>
      </c>
      <c r="J51" s="25" t="s">
        <v>51</v>
      </c>
      <c r="K51" s="17">
        <v>140</v>
      </c>
      <c r="L51" s="44" t="s">
        <v>32</v>
      </c>
    </row>
    <row r="52" spans="1:12" s="10" customFormat="1" ht="28.5" customHeight="1" x14ac:dyDescent="0.35">
      <c r="A52" s="100" t="s">
        <v>68</v>
      </c>
      <c r="B52" s="2">
        <v>8.24</v>
      </c>
      <c r="C52" s="63" t="s">
        <v>51</v>
      </c>
      <c r="D52" s="63"/>
      <c r="E52" s="25">
        <v>330</v>
      </c>
      <c r="F52" s="17">
        <v>220</v>
      </c>
      <c r="G52" s="17">
        <v>158</v>
      </c>
      <c r="H52" s="17">
        <v>102</v>
      </c>
      <c r="I52" s="17">
        <v>37</v>
      </c>
      <c r="J52" s="17" t="s">
        <v>51</v>
      </c>
      <c r="K52" s="17">
        <v>146</v>
      </c>
      <c r="L52" s="44" t="s">
        <v>32</v>
      </c>
    </row>
    <row r="53" spans="1:12" s="10" customFormat="1" ht="28.5" customHeight="1" x14ac:dyDescent="0.35">
      <c r="A53" s="70">
        <v>45593</v>
      </c>
      <c r="B53" s="2">
        <v>8.1999999999999993</v>
      </c>
      <c r="C53" s="63" t="s">
        <v>51</v>
      </c>
      <c r="D53" s="63"/>
      <c r="E53" s="25">
        <v>347</v>
      </c>
      <c r="F53" s="17">
        <v>233</v>
      </c>
      <c r="G53" s="17">
        <v>156</v>
      </c>
      <c r="H53" s="17">
        <v>100</v>
      </c>
      <c r="I53" s="17">
        <v>34</v>
      </c>
      <c r="J53" s="17" t="s">
        <v>51</v>
      </c>
      <c r="K53" s="17">
        <v>150</v>
      </c>
      <c r="L53" s="44" t="s">
        <v>32</v>
      </c>
    </row>
    <row r="54" spans="1:12" s="10" customFormat="1" ht="28.5" customHeight="1" x14ac:dyDescent="0.35">
      <c r="A54" s="100" t="s">
        <v>69</v>
      </c>
      <c r="B54" s="2">
        <v>8.27</v>
      </c>
      <c r="C54" s="63" t="s">
        <v>51</v>
      </c>
      <c r="D54" s="63"/>
      <c r="E54" s="25">
        <v>347</v>
      </c>
      <c r="F54" s="17">
        <v>233</v>
      </c>
      <c r="G54" s="17">
        <v>151</v>
      </c>
      <c r="H54" s="17">
        <v>100</v>
      </c>
      <c r="I54" s="17">
        <v>37</v>
      </c>
      <c r="J54" s="17" t="s">
        <v>51</v>
      </c>
      <c r="K54" s="17">
        <v>153</v>
      </c>
      <c r="L54" s="44" t="s">
        <v>32</v>
      </c>
    </row>
    <row r="55" spans="1:12" s="10" customFormat="1" ht="28.5" customHeight="1" x14ac:dyDescent="0.35">
      <c r="A55" s="100" t="s">
        <v>70</v>
      </c>
      <c r="B55" s="2">
        <v>8.42</v>
      </c>
      <c r="C55" s="63" t="s">
        <v>51</v>
      </c>
      <c r="D55" s="63"/>
      <c r="E55" s="25">
        <v>328</v>
      </c>
      <c r="F55" s="25">
        <v>220</v>
      </c>
      <c r="G55" s="25">
        <v>175</v>
      </c>
      <c r="H55" s="25">
        <v>109</v>
      </c>
      <c r="I55" s="25">
        <v>36</v>
      </c>
      <c r="J55" s="25" t="s">
        <v>51</v>
      </c>
      <c r="K55" s="25">
        <v>153</v>
      </c>
      <c r="L55" s="44" t="s">
        <v>32</v>
      </c>
    </row>
    <row r="56" spans="1:12" s="10" customFormat="1" ht="28.5" customHeight="1" thickBot="1" x14ac:dyDescent="0.4">
      <c r="A56" s="111" t="s">
        <v>71</v>
      </c>
      <c r="B56" s="3">
        <v>8.39</v>
      </c>
      <c r="C56" s="115" t="s">
        <v>51</v>
      </c>
      <c r="D56" s="115"/>
      <c r="E56" s="84">
        <v>371</v>
      </c>
      <c r="F56" s="84">
        <v>249</v>
      </c>
      <c r="G56" s="84">
        <v>180</v>
      </c>
      <c r="H56" s="84">
        <v>116</v>
      </c>
      <c r="I56" s="84">
        <v>34</v>
      </c>
      <c r="J56" s="84" t="s">
        <v>51</v>
      </c>
      <c r="K56" s="84">
        <v>146</v>
      </c>
      <c r="L56" s="49" t="s">
        <v>32</v>
      </c>
    </row>
    <row r="57" spans="1:12" s="10" customFormat="1" ht="28.5" customHeight="1" x14ac:dyDescent="0.35">
      <c r="A57" s="110" t="s">
        <v>76</v>
      </c>
      <c r="B57" s="112">
        <v>8.2200000000000006</v>
      </c>
      <c r="C57" s="112" t="s">
        <v>51</v>
      </c>
      <c r="D57" s="112"/>
      <c r="E57" s="113">
        <v>328</v>
      </c>
      <c r="F57" s="43">
        <v>220</v>
      </c>
      <c r="G57" s="43">
        <v>174</v>
      </c>
      <c r="H57" s="43">
        <v>110</v>
      </c>
      <c r="I57" s="43">
        <v>30</v>
      </c>
      <c r="J57" s="43" t="s">
        <v>51</v>
      </c>
      <c r="K57" s="43">
        <v>140</v>
      </c>
      <c r="L57" s="114" t="s">
        <v>32</v>
      </c>
    </row>
    <row r="58" spans="1:12" s="10" customFormat="1" ht="28.5" customHeight="1" x14ac:dyDescent="0.35">
      <c r="A58" s="100" t="s">
        <v>77</v>
      </c>
      <c r="B58" s="2">
        <v>8.3000000000000007</v>
      </c>
      <c r="C58" s="63" t="s">
        <v>51</v>
      </c>
      <c r="D58" s="63"/>
      <c r="E58" s="25">
        <v>373</v>
      </c>
      <c r="F58" s="17">
        <v>250</v>
      </c>
      <c r="G58" s="17">
        <v>180</v>
      </c>
      <c r="H58" s="17">
        <v>118</v>
      </c>
      <c r="I58" s="17">
        <v>33</v>
      </c>
      <c r="J58" s="17" t="s">
        <v>51</v>
      </c>
      <c r="K58" s="17">
        <v>150</v>
      </c>
      <c r="L58" s="75" t="s">
        <v>32</v>
      </c>
    </row>
    <row r="59" spans="1:12" s="10" customFormat="1" ht="28.5" customHeight="1" x14ac:dyDescent="0.35">
      <c r="A59" s="100" t="s">
        <v>78</v>
      </c>
      <c r="B59" s="2">
        <v>8.3699999999999992</v>
      </c>
      <c r="C59" s="63" t="s">
        <v>51</v>
      </c>
      <c r="D59" s="63"/>
      <c r="E59" s="25">
        <v>373</v>
      </c>
      <c r="F59" s="17">
        <v>250</v>
      </c>
      <c r="G59" s="17">
        <v>175</v>
      </c>
      <c r="H59" s="17">
        <v>117</v>
      </c>
      <c r="I59" s="17">
        <v>33</v>
      </c>
      <c r="J59" s="17" t="s">
        <v>51</v>
      </c>
      <c r="K59" s="17">
        <v>158</v>
      </c>
      <c r="L59" s="75" t="s">
        <v>32</v>
      </c>
    </row>
    <row r="60" spans="1:12" s="10" customFormat="1" ht="28.5" customHeight="1" x14ac:dyDescent="0.35">
      <c r="A60" s="100">
        <v>45603</v>
      </c>
      <c r="B60" s="2">
        <v>8.3699999999999992</v>
      </c>
      <c r="C60" s="63" t="s">
        <v>51</v>
      </c>
      <c r="D60" s="63"/>
      <c r="E60" s="25">
        <v>359</v>
      </c>
      <c r="F60" s="25">
        <v>241</v>
      </c>
      <c r="G60" s="17">
        <v>170</v>
      </c>
      <c r="H60" s="17">
        <v>115</v>
      </c>
      <c r="I60" s="17">
        <v>37</v>
      </c>
      <c r="J60" s="17" t="s">
        <v>51</v>
      </c>
      <c r="K60" s="17">
        <v>152</v>
      </c>
      <c r="L60" s="75" t="s">
        <v>32</v>
      </c>
    </row>
    <row r="61" spans="1:12" s="10" customFormat="1" ht="28.5" customHeight="1" x14ac:dyDescent="0.35">
      <c r="A61" s="100" t="s">
        <v>79</v>
      </c>
      <c r="B61" s="2">
        <v>8.33</v>
      </c>
      <c r="C61" s="63" t="s">
        <v>51</v>
      </c>
      <c r="D61" s="63"/>
      <c r="E61" s="25">
        <v>348</v>
      </c>
      <c r="F61" s="25">
        <v>235</v>
      </c>
      <c r="G61" s="17">
        <v>164</v>
      </c>
      <c r="H61" s="17">
        <v>109</v>
      </c>
      <c r="I61" s="17">
        <v>36</v>
      </c>
      <c r="J61" s="17" t="s">
        <v>51</v>
      </c>
      <c r="K61" s="17">
        <v>148</v>
      </c>
      <c r="L61" s="75" t="s">
        <v>32</v>
      </c>
    </row>
    <row r="62" spans="1:12" s="10" customFormat="1" ht="28.5" customHeight="1" x14ac:dyDescent="0.35">
      <c r="A62" s="100" t="s">
        <v>80</v>
      </c>
      <c r="B62" s="2">
        <v>8.2899999999999991</v>
      </c>
      <c r="C62" s="63" t="s">
        <v>51</v>
      </c>
      <c r="D62" s="63"/>
      <c r="E62" s="25">
        <v>328</v>
      </c>
      <c r="F62" s="17">
        <v>220</v>
      </c>
      <c r="G62" s="17">
        <v>159</v>
      </c>
      <c r="H62" s="17">
        <v>98</v>
      </c>
      <c r="I62" s="17">
        <v>34</v>
      </c>
      <c r="J62" s="17" t="s">
        <v>51</v>
      </c>
      <c r="K62" s="17">
        <v>140</v>
      </c>
      <c r="L62" s="75" t="s">
        <v>32</v>
      </c>
    </row>
    <row r="63" spans="1:12" s="10" customFormat="1" ht="28.5" customHeight="1" x14ac:dyDescent="0.35">
      <c r="A63" s="100" t="s">
        <v>81</v>
      </c>
      <c r="B63" s="2">
        <v>8.39</v>
      </c>
      <c r="C63" s="63" t="s">
        <v>51</v>
      </c>
      <c r="D63" s="63"/>
      <c r="E63" s="25">
        <v>373</v>
      </c>
      <c r="F63" s="17">
        <v>250</v>
      </c>
      <c r="G63" s="17">
        <v>178</v>
      </c>
      <c r="H63" s="17">
        <v>110</v>
      </c>
      <c r="I63" s="17">
        <v>39</v>
      </c>
      <c r="J63" s="17" t="s">
        <v>51</v>
      </c>
      <c r="K63" s="17">
        <v>159</v>
      </c>
      <c r="L63" s="44" t="s">
        <v>32</v>
      </c>
    </row>
    <row r="64" spans="1:12" s="10" customFormat="1" ht="28.5" customHeight="1" x14ac:dyDescent="0.35">
      <c r="A64" s="100" t="s">
        <v>82</v>
      </c>
      <c r="B64" s="2">
        <v>8.24</v>
      </c>
      <c r="C64" s="2" t="s">
        <v>51</v>
      </c>
      <c r="D64" s="2"/>
      <c r="E64" s="25">
        <v>362</v>
      </c>
      <c r="F64" s="25">
        <v>243</v>
      </c>
      <c r="G64" s="25">
        <v>180</v>
      </c>
      <c r="H64" s="25">
        <v>118</v>
      </c>
      <c r="I64" s="25">
        <v>39</v>
      </c>
      <c r="J64" s="17" t="s">
        <v>51</v>
      </c>
      <c r="K64" s="17">
        <v>156</v>
      </c>
      <c r="L64" s="44" t="s">
        <v>32</v>
      </c>
    </row>
    <row r="65" spans="1:12" s="10" customFormat="1" ht="28.5" customHeight="1" x14ac:dyDescent="0.35">
      <c r="A65" s="100" t="s">
        <v>83</v>
      </c>
      <c r="B65" s="2">
        <v>8.27</v>
      </c>
      <c r="C65" s="63" t="s">
        <v>51</v>
      </c>
      <c r="D65" s="63"/>
      <c r="E65" s="25">
        <v>362</v>
      </c>
      <c r="F65" s="17">
        <v>243</v>
      </c>
      <c r="G65" s="17">
        <v>176</v>
      </c>
      <c r="H65" s="17">
        <v>109</v>
      </c>
      <c r="I65" s="17">
        <v>43</v>
      </c>
      <c r="J65" s="17" t="s">
        <v>51</v>
      </c>
      <c r="K65" s="17">
        <v>150</v>
      </c>
      <c r="L65" s="44" t="s">
        <v>32</v>
      </c>
    </row>
    <row r="66" spans="1:12" s="10" customFormat="1" ht="28.5" customHeight="1" x14ac:dyDescent="0.35">
      <c r="A66" s="100" t="s">
        <v>84</v>
      </c>
      <c r="B66" s="2">
        <v>8.18</v>
      </c>
      <c r="C66" s="63" t="s">
        <v>51</v>
      </c>
      <c r="D66" s="63"/>
      <c r="E66" s="25">
        <v>358</v>
      </c>
      <c r="F66" s="17">
        <v>240</v>
      </c>
      <c r="G66" s="17">
        <v>168</v>
      </c>
      <c r="H66" s="17">
        <v>92</v>
      </c>
      <c r="I66" s="17">
        <v>40</v>
      </c>
      <c r="J66" s="17" t="s">
        <v>51</v>
      </c>
      <c r="K66" s="17">
        <v>146</v>
      </c>
      <c r="L66" s="44" t="s">
        <v>32</v>
      </c>
    </row>
    <row r="67" spans="1:12" s="10" customFormat="1" ht="28.5" customHeight="1" x14ac:dyDescent="0.35">
      <c r="A67" s="100" t="s">
        <v>85</v>
      </c>
      <c r="B67" s="2">
        <v>8.2200000000000006</v>
      </c>
      <c r="C67" s="63" t="s">
        <v>51</v>
      </c>
      <c r="D67" s="63"/>
      <c r="E67" s="25">
        <v>365</v>
      </c>
      <c r="F67" s="17">
        <v>245</v>
      </c>
      <c r="G67" s="17">
        <v>165</v>
      </c>
      <c r="H67" s="17">
        <v>102</v>
      </c>
      <c r="I67" s="17">
        <v>46</v>
      </c>
      <c r="J67" s="17" t="s">
        <v>51</v>
      </c>
      <c r="K67" s="17">
        <v>150</v>
      </c>
      <c r="L67" s="44" t="s">
        <v>32</v>
      </c>
    </row>
    <row r="68" spans="1:12" s="10" customFormat="1" ht="28.5" customHeight="1" x14ac:dyDescent="0.35">
      <c r="A68" s="100" t="s">
        <v>86</v>
      </c>
      <c r="B68" s="2">
        <v>8.26</v>
      </c>
      <c r="C68" s="2" t="s">
        <v>51</v>
      </c>
      <c r="D68" s="2"/>
      <c r="E68" s="25">
        <v>352</v>
      </c>
      <c r="F68" s="17">
        <v>236</v>
      </c>
      <c r="G68" s="17">
        <v>160</v>
      </c>
      <c r="H68" s="17">
        <v>99</v>
      </c>
      <c r="I68" s="17">
        <v>36</v>
      </c>
      <c r="J68" s="17" t="s">
        <v>51</v>
      </c>
      <c r="K68" s="17">
        <v>145</v>
      </c>
      <c r="L68" s="44" t="s">
        <v>32</v>
      </c>
    </row>
    <row r="69" spans="1:12" s="10" customFormat="1" ht="28.5" customHeight="1" x14ac:dyDescent="0.35">
      <c r="A69" s="100" t="s">
        <v>87</v>
      </c>
      <c r="B69" s="2">
        <v>8.3000000000000007</v>
      </c>
      <c r="C69" s="63" t="s">
        <v>51</v>
      </c>
      <c r="D69" s="63"/>
      <c r="E69" s="25">
        <v>343</v>
      </c>
      <c r="F69" s="17">
        <v>230</v>
      </c>
      <c r="G69" s="17">
        <v>152</v>
      </c>
      <c r="H69" s="17">
        <v>94</v>
      </c>
      <c r="I69" s="17">
        <v>40</v>
      </c>
      <c r="J69" s="17" t="s">
        <v>51</v>
      </c>
      <c r="K69" s="17">
        <v>145</v>
      </c>
      <c r="L69" s="44" t="s">
        <v>32</v>
      </c>
    </row>
    <row r="70" spans="1:12" s="10" customFormat="1" ht="28.5" customHeight="1" x14ac:dyDescent="0.35">
      <c r="A70" s="100" t="s">
        <v>88</v>
      </c>
      <c r="B70" s="2">
        <v>8.43</v>
      </c>
      <c r="C70" s="2" t="s">
        <v>51</v>
      </c>
      <c r="D70" s="2"/>
      <c r="E70" s="25">
        <v>329</v>
      </c>
      <c r="F70" s="17">
        <v>220</v>
      </c>
      <c r="G70" s="17">
        <v>170</v>
      </c>
      <c r="H70" s="17">
        <v>89</v>
      </c>
      <c r="I70" s="17">
        <v>30</v>
      </c>
      <c r="J70" s="17" t="s">
        <v>51</v>
      </c>
      <c r="K70" s="17">
        <v>100</v>
      </c>
      <c r="L70" s="44" t="s">
        <v>32</v>
      </c>
    </row>
    <row r="71" spans="1:12" s="10" customFormat="1" ht="28.5" customHeight="1" x14ac:dyDescent="0.35">
      <c r="A71" s="100" t="s">
        <v>89</v>
      </c>
      <c r="B71" s="2">
        <v>8.4600000000000009</v>
      </c>
      <c r="C71" s="63" t="s">
        <v>51</v>
      </c>
      <c r="D71" s="63"/>
      <c r="E71" s="25">
        <v>343</v>
      </c>
      <c r="F71" s="17">
        <v>230</v>
      </c>
      <c r="G71" s="17">
        <v>166</v>
      </c>
      <c r="H71" s="17">
        <v>81</v>
      </c>
      <c r="I71" s="17">
        <v>39</v>
      </c>
      <c r="J71" s="17" t="s">
        <v>51</v>
      </c>
      <c r="K71" s="17">
        <v>146</v>
      </c>
      <c r="L71" s="44" t="s">
        <v>32</v>
      </c>
    </row>
    <row r="72" spans="1:12" s="10" customFormat="1" ht="28.5" customHeight="1" x14ac:dyDescent="0.35">
      <c r="A72" s="100" t="s">
        <v>90</v>
      </c>
      <c r="B72" s="117" t="s">
        <v>91</v>
      </c>
      <c r="C72" s="118"/>
      <c r="D72" s="118"/>
      <c r="E72" s="118"/>
      <c r="F72" s="118"/>
      <c r="G72" s="118"/>
      <c r="H72" s="118"/>
      <c r="I72" s="118"/>
      <c r="J72" s="118"/>
      <c r="K72" s="118"/>
      <c r="L72" s="119"/>
    </row>
    <row r="73" spans="1:12" s="10" customFormat="1" ht="28.5" customHeight="1" x14ac:dyDescent="0.35">
      <c r="A73" s="100" t="s">
        <v>92</v>
      </c>
      <c r="B73" s="2">
        <v>6.5</v>
      </c>
      <c r="C73" s="2" t="s">
        <v>51</v>
      </c>
      <c r="D73" s="2"/>
      <c r="E73" s="25">
        <v>41</v>
      </c>
      <c r="F73" s="17">
        <v>28</v>
      </c>
      <c r="G73" s="17" t="s">
        <v>32</v>
      </c>
      <c r="H73" s="17" t="s">
        <v>32</v>
      </c>
      <c r="I73" s="17">
        <v>23</v>
      </c>
      <c r="J73" s="17" t="s">
        <v>51</v>
      </c>
      <c r="K73" s="17">
        <v>16</v>
      </c>
      <c r="L73" s="44" t="s">
        <v>32</v>
      </c>
    </row>
    <row r="74" spans="1:12" s="10" customFormat="1" ht="28.5" customHeight="1" x14ac:dyDescent="0.35">
      <c r="A74" s="100" t="s">
        <v>93</v>
      </c>
      <c r="B74" s="117" t="s">
        <v>91</v>
      </c>
      <c r="C74" s="118"/>
      <c r="D74" s="118"/>
      <c r="E74" s="118"/>
      <c r="F74" s="118"/>
      <c r="G74" s="118"/>
      <c r="H74" s="118"/>
      <c r="I74" s="118"/>
      <c r="J74" s="118"/>
      <c r="K74" s="118"/>
      <c r="L74" s="119"/>
    </row>
    <row r="75" spans="1:12" s="10" customFormat="1" ht="28.5" customHeight="1" x14ac:dyDescent="0.35">
      <c r="A75" s="100" t="s">
        <v>94</v>
      </c>
      <c r="B75" s="2">
        <v>8.64</v>
      </c>
      <c r="C75" s="63" t="s">
        <v>51</v>
      </c>
      <c r="D75" s="63"/>
      <c r="E75" s="25">
        <v>315</v>
      </c>
      <c r="F75" s="17">
        <v>210</v>
      </c>
      <c r="G75" s="17">
        <v>175</v>
      </c>
      <c r="H75" s="17">
        <v>93</v>
      </c>
      <c r="I75" s="17">
        <v>36</v>
      </c>
      <c r="J75" s="17" t="s">
        <v>51</v>
      </c>
      <c r="K75" s="17">
        <v>150</v>
      </c>
      <c r="L75" s="44">
        <v>2</v>
      </c>
    </row>
    <row r="76" spans="1:12" s="10" customFormat="1" ht="28.5" customHeight="1" x14ac:dyDescent="0.35">
      <c r="A76" s="100" t="s">
        <v>95</v>
      </c>
      <c r="B76" s="2">
        <v>8.1999999999999993</v>
      </c>
      <c r="C76" s="63" t="s">
        <v>51</v>
      </c>
      <c r="D76" s="63"/>
      <c r="E76" s="25">
        <v>328</v>
      </c>
      <c r="F76" s="17">
        <v>220</v>
      </c>
      <c r="G76" s="17">
        <v>165</v>
      </c>
      <c r="H76" s="17">
        <v>85</v>
      </c>
      <c r="I76" s="17">
        <v>34</v>
      </c>
      <c r="J76" s="17" t="s">
        <v>51</v>
      </c>
      <c r="K76" s="17">
        <v>146</v>
      </c>
      <c r="L76" s="44" t="s">
        <v>32</v>
      </c>
    </row>
    <row r="77" spans="1:12" s="10" customFormat="1" ht="28.5" customHeight="1" x14ac:dyDescent="0.35">
      <c r="A77" s="100" t="s">
        <v>96</v>
      </c>
      <c r="B77" s="2">
        <v>6.8</v>
      </c>
      <c r="C77" s="63" t="s">
        <v>51</v>
      </c>
      <c r="D77" s="63"/>
      <c r="E77" s="25">
        <v>38</v>
      </c>
      <c r="F77" s="25">
        <v>26</v>
      </c>
      <c r="G77" s="25" t="s">
        <v>32</v>
      </c>
      <c r="H77" s="25" t="s">
        <v>32</v>
      </c>
      <c r="I77" s="25">
        <v>23</v>
      </c>
      <c r="J77" s="25" t="s">
        <v>51</v>
      </c>
      <c r="K77" s="17">
        <v>20</v>
      </c>
      <c r="L77" s="44" t="s">
        <v>32</v>
      </c>
    </row>
    <row r="78" spans="1:12" s="10" customFormat="1" ht="28.5" customHeight="1" x14ac:dyDescent="0.35">
      <c r="A78" s="100" t="s">
        <v>97</v>
      </c>
      <c r="B78" s="2">
        <v>8.65</v>
      </c>
      <c r="C78" s="63" t="s">
        <v>51</v>
      </c>
      <c r="D78" s="63"/>
      <c r="E78" s="25">
        <v>314</v>
      </c>
      <c r="F78" s="25">
        <v>211</v>
      </c>
      <c r="G78" s="25">
        <v>175</v>
      </c>
      <c r="H78" s="25">
        <v>108</v>
      </c>
      <c r="I78" s="25">
        <v>36</v>
      </c>
      <c r="J78" s="25" t="s">
        <v>51</v>
      </c>
      <c r="K78" s="17">
        <v>140</v>
      </c>
      <c r="L78" s="44" t="s">
        <v>32</v>
      </c>
    </row>
    <row r="79" spans="1:12" s="10" customFormat="1" ht="28.5" customHeight="1" x14ac:dyDescent="0.35">
      <c r="A79" s="100" t="s">
        <v>98</v>
      </c>
      <c r="B79" s="2">
        <v>7</v>
      </c>
      <c r="C79" s="63" t="s">
        <v>51</v>
      </c>
      <c r="D79" s="63"/>
      <c r="E79" s="25">
        <v>37</v>
      </c>
      <c r="F79" s="17">
        <v>25</v>
      </c>
      <c r="G79" s="17" t="s">
        <v>32</v>
      </c>
      <c r="H79" s="17" t="s">
        <v>32</v>
      </c>
      <c r="I79" s="17">
        <v>21</v>
      </c>
      <c r="J79" s="17" t="s">
        <v>51</v>
      </c>
      <c r="K79" s="17">
        <v>15</v>
      </c>
      <c r="L79" s="44" t="s">
        <v>32</v>
      </c>
    </row>
    <row r="80" spans="1:12" s="10" customFormat="1" ht="28.5" customHeight="1" thickBot="1" x14ac:dyDescent="0.4">
      <c r="A80" s="73" t="s">
        <v>99</v>
      </c>
      <c r="B80" s="117" t="s">
        <v>91</v>
      </c>
      <c r="C80" s="118"/>
      <c r="D80" s="118"/>
      <c r="E80" s="118"/>
      <c r="F80" s="118"/>
      <c r="G80" s="118"/>
      <c r="H80" s="118"/>
      <c r="I80" s="118"/>
      <c r="J80" s="118"/>
      <c r="K80" s="118"/>
      <c r="L80" s="119"/>
    </row>
    <row r="81" spans="1:12" s="10" customFormat="1" ht="28.5" customHeight="1" x14ac:dyDescent="0.35">
      <c r="A81" s="110" t="s">
        <v>101</v>
      </c>
      <c r="B81" s="1">
        <v>8.3000000000000007</v>
      </c>
      <c r="C81" s="1" t="s">
        <v>51</v>
      </c>
      <c r="D81" s="1"/>
      <c r="E81" s="76">
        <v>316</v>
      </c>
      <c r="F81" s="12">
        <v>212</v>
      </c>
      <c r="G81" s="12">
        <v>172</v>
      </c>
      <c r="H81" s="12">
        <v>106</v>
      </c>
      <c r="I81" s="12">
        <v>34</v>
      </c>
      <c r="J81" s="12" t="s">
        <v>51</v>
      </c>
      <c r="K81" s="12">
        <v>115</v>
      </c>
      <c r="L81" s="77" t="s">
        <v>32</v>
      </c>
    </row>
    <row r="82" spans="1:12" s="10" customFormat="1" ht="28.5" customHeight="1" x14ac:dyDescent="0.35">
      <c r="A82" s="100" t="s">
        <v>102</v>
      </c>
      <c r="B82" s="117" t="s">
        <v>91</v>
      </c>
      <c r="C82" s="118"/>
      <c r="D82" s="118"/>
      <c r="E82" s="118"/>
      <c r="F82" s="118"/>
      <c r="G82" s="118"/>
      <c r="H82" s="118"/>
      <c r="I82" s="118"/>
      <c r="J82" s="118"/>
      <c r="K82" s="118"/>
      <c r="L82" s="119"/>
    </row>
    <row r="83" spans="1:12" s="10" customFormat="1" ht="28.5" customHeight="1" x14ac:dyDescent="0.35">
      <c r="A83" s="100" t="s">
        <v>103</v>
      </c>
      <c r="B83" s="2">
        <v>8.5500000000000007</v>
      </c>
      <c r="C83" s="63" t="s">
        <v>51</v>
      </c>
      <c r="D83" s="63"/>
      <c r="E83" s="25">
        <v>343</v>
      </c>
      <c r="F83" s="17">
        <v>230</v>
      </c>
      <c r="G83" s="17">
        <v>175</v>
      </c>
      <c r="H83" s="17">
        <v>108</v>
      </c>
      <c r="I83" s="17">
        <v>40</v>
      </c>
      <c r="J83" s="17" t="s">
        <v>51</v>
      </c>
      <c r="K83" s="17">
        <v>140</v>
      </c>
      <c r="L83" s="75" t="s">
        <v>32</v>
      </c>
    </row>
    <row r="84" spans="1:12" s="10" customFormat="1" ht="28.5" customHeight="1" x14ac:dyDescent="0.35">
      <c r="A84" s="100" t="s">
        <v>104</v>
      </c>
      <c r="B84" s="2">
        <v>8.1</v>
      </c>
      <c r="C84" s="63" t="s">
        <v>51</v>
      </c>
      <c r="D84" s="63"/>
      <c r="E84" s="25">
        <v>268</v>
      </c>
      <c r="F84" s="25">
        <v>180</v>
      </c>
      <c r="G84" s="17">
        <v>120</v>
      </c>
      <c r="H84" s="17">
        <v>74</v>
      </c>
      <c r="I84" s="17">
        <v>28</v>
      </c>
      <c r="J84" s="17" t="s">
        <v>51</v>
      </c>
      <c r="K84" s="17">
        <v>160</v>
      </c>
      <c r="L84" s="75" t="s">
        <v>32</v>
      </c>
    </row>
    <row r="85" spans="1:12" s="10" customFormat="1" ht="28.5" customHeight="1" x14ac:dyDescent="0.35">
      <c r="A85" s="100" t="s">
        <v>105</v>
      </c>
      <c r="B85" s="117" t="s">
        <v>91</v>
      </c>
      <c r="C85" s="118"/>
      <c r="D85" s="118"/>
      <c r="E85" s="118"/>
      <c r="F85" s="118"/>
      <c r="G85" s="118"/>
      <c r="H85" s="118"/>
      <c r="I85" s="118"/>
      <c r="J85" s="118"/>
      <c r="K85" s="118"/>
      <c r="L85" s="119"/>
    </row>
    <row r="86" spans="1:12" s="10" customFormat="1" ht="28.5" customHeight="1" x14ac:dyDescent="0.35">
      <c r="A86" s="100" t="s">
        <v>106</v>
      </c>
      <c r="B86" s="2">
        <v>8.1999999999999993</v>
      </c>
      <c r="C86" s="63" t="s">
        <v>51</v>
      </c>
      <c r="D86" s="63"/>
      <c r="E86" s="25">
        <v>284</v>
      </c>
      <c r="F86" s="17">
        <v>190</v>
      </c>
      <c r="G86" s="17">
        <v>133</v>
      </c>
      <c r="H86" s="17">
        <v>83</v>
      </c>
      <c r="I86" s="17">
        <v>30</v>
      </c>
      <c r="J86" s="17" t="s">
        <v>51</v>
      </c>
      <c r="K86" s="17">
        <v>158</v>
      </c>
      <c r="L86" s="75" t="s">
        <v>32</v>
      </c>
    </row>
    <row r="87" spans="1:12" s="10" customFormat="1" ht="28.5" customHeight="1" x14ac:dyDescent="0.35">
      <c r="A87" s="100" t="s">
        <v>107</v>
      </c>
      <c r="B87" s="2">
        <v>6.5</v>
      </c>
      <c r="C87" s="63" t="s">
        <v>51</v>
      </c>
      <c r="D87" s="63"/>
      <c r="E87" s="25">
        <v>22</v>
      </c>
      <c r="F87" s="17">
        <v>15</v>
      </c>
      <c r="G87" s="17" t="s">
        <v>51</v>
      </c>
      <c r="H87" s="17" t="s">
        <v>51</v>
      </c>
      <c r="I87" s="17">
        <v>11</v>
      </c>
      <c r="J87" s="17" t="s">
        <v>51</v>
      </c>
      <c r="K87" s="17">
        <v>10</v>
      </c>
      <c r="L87" s="44" t="s">
        <v>32</v>
      </c>
    </row>
    <row r="88" spans="1:12" s="10" customFormat="1" ht="28.5" customHeight="1" x14ac:dyDescent="0.35">
      <c r="A88" s="100" t="s">
        <v>108</v>
      </c>
      <c r="B88" s="2">
        <v>6.5</v>
      </c>
      <c r="C88" s="2" t="s">
        <v>51</v>
      </c>
      <c r="D88" s="2"/>
      <c r="E88" s="25">
        <v>27</v>
      </c>
      <c r="F88" s="25">
        <v>18</v>
      </c>
      <c r="G88" s="17" t="s">
        <v>51</v>
      </c>
      <c r="H88" s="17" t="s">
        <v>51</v>
      </c>
      <c r="I88" s="25">
        <v>14</v>
      </c>
      <c r="J88" s="17" t="s">
        <v>51</v>
      </c>
      <c r="K88" s="17">
        <v>12</v>
      </c>
      <c r="L88" s="44" t="s">
        <v>32</v>
      </c>
    </row>
    <row r="89" spans="1:12" s="10" customFormat="1" ht="28.5" customHeight="1" x14ac:dyDescent="0.35">
      <c r="A89" s="100" t="s">
        <v>109</v>
      </c>
      <c r="B89" s="117" t="s">
        <v>91</v>
      </c>
      <c r="C89" s="118"/>
      <c r="D89" s="118"/>
      <c r="E89" s="118"/>
      <c r="F89" s="118"/>
      <c r="G89" s="118"/>
      <c r="H89" s="118"/>
      <c r="I89" s="118"/>
      <c r="J89" s="118"/>
      <c r="K89" s="118"/>
      <c r="L89" s="119"/>
    </row>
    <row r="90" spans="1:12" s="10" customFormat="1" ht="28.5" customHeight="1" x14ac:dyDescent="0.35">
      <c r="A90" s="100" t="s">
        <v>110</v>
      </c>
      <c r="B90" s="2">
        <v>6.5</v>
      </c>
      <c r="C90" s="63" t="s">
        <v>51</v>
      </c>
      <c r="D90" s="63"/>
      <c r="E90" s="25">
        <v>24</v>
      </c>
      <c r="F90" s="17">
        <v>16</v>
      </c>
      <c r="G90" s="17" t="s">
        <v>51</v>
      </c>
      <c r="H90" s="17" t="s">
        <v>51</v>
      </c>
      <c r="I90" s="17">
        <v>9</v>
      </c>
      <c r="J90" s="17" t="s">
        <v>51</v>
      </c>
      <c r="K90" s="17">
        <v>10</v>
      </c>
      <c r="L90" s="44" t="s">
        <v>32</v>
      </c>
    </row>
    <row r="91" spans="1:12" s="10" customFormat="1" ht="28.5" customHeight="1" x14ac:dyDescent="0.35">
      <c r="A91" s="100" t="s">
        <v>111</v>
      </c>
      <c r="B91" s="117" t="s">
        <v>91</v>
      </c>
      <c r="C91" s="118"/>
      <c r="D91" s="118"/>
      <c r="E91" s="118"/>
      <c r="F91" s="118"/>
      <c r="G91" s="118"/>
      <c r="H91" s="118"/>
      <c r="I91" s="118"/>
      <c r="J91" s="118"/>
      <c r="K91" s="118"/>
      <c r="L91" s="119"/>
    </row>
    <row r="92" spans="1:12" s="10" customFormat="1" ht="28.5" customHeight="1" x14ac:dyDescent="0.35">
      <c r="A92" s="100" t="s">
        <v>112</v>
      </c>
      <c r="B92" s="2">
        <v>6.5</v>
      </c>
      <c r="C92" s="2" t="s">
        <v>51</v>
      </c>
      <c r="D92" s="2"/>
      <c r="E92" s="25">
        <v>27</v>
      </c>
      <c r="F92" s="17">
        <v>18</v>
      </c>
      <c r="G92" s="17" t="s">
        <v>51</v>
      </c>
      <c r="H92" s="17" t="s">
        <v>51</v>
      </c>
      <c r="I92" s="17">
        <v>12</v>
      </c>
      <c r="J92" s="17" t="s">
        <v>51</v>
      </c>
      <c r="K92" s="17">
        <v>10</v>
      </c>
      <c r="L92" s="44" t="s">
        <v>32</v>
      </c>
    </row>
    <row r="93" spans="1:12" s="10" customFormat="1" ht="28.5" customHeight="1" x14ac:dyDescent="0.35">
      <c r="A93" s="100" t="s">
        <v>113</v>
      </c>
      <c r="B93" s="117" t="s">
        <v>91</v>
      </c>
      <c r="C93" s="118"/>
      <c r="D93" s="118"/>
      <c r="E93" s="118"/>
      <c r="F93" s="118"/>
      <c r="G93" s="118"/>
      <c r="H93" s="118"/>
      <c r="I93" s="118"/>
      <c r="J93" s="118"/>
      <c r="K93" s="118"/>
      <c r="L93" s="119"/>
    </row>
    <row r="94" spans="1:12" s="10" customFormat="1" ht="28.5" customHeight="1" x14ac:dyDescent="0.35">
      <c r="A94" s="100" t="s">
        <v>114</v>
      </c>
      <c r="B94" s="117" t="s">
        <v>91</v>
      </c>
      <c r="C94" s="118"/>
      <c r="D94" s="118"/>
      <c r="E94" s="118"/>
      <c r="F94" s="118"/>
      <c r="G94" s="118"/>
      <c r="H94" s="118"/>
      <c r="I94" s="118"/>
      <c r="J94" s="118"/>
      <c r="K94" s="118"/>
      <c r="L94" s="119"/>
    </row>
    <row r="95" spans="1:12" s="10" customFormat="1" ht="28.5" customHeight="1" x14ac:dyDescent="0.35">
      <c r="A95" s="100" t="s">
        <v>115</v>
      </c>
      <c r="B95" s="117" t="s">
        <v>91</v>
      </c>
      <c r="C95" s="118"/>
      <c r="D95" s="118"/>
      <c r="E95" s="118"/>
      <c r="F95" s="118"/>
      <c r="G95" s="118"/>
      <c r="H95" s="118"/>
      <c r="I95" s="118"/>
      <c r="J95" s="118"/>
      <c r="K95" s="118"/>
      <c r="L95" s="119"/>
    </row>
    <row r="96" spans="1:12" s="10" customFormat="1" ht="28.5" customHeight="1" x14ac:dyDescent="0.35">
      <c r="A96" s="100" t="s">
        <v>116</v>
      </c>
      <c r="B96" s="2">
        <v>8</v>
      </c>
      <c r="C96" s="2" t="s">
        <v>51</v>
      </c>
      <c r="D96" s="2"/>
      <c r="E96" s="25">
        <v>268</v>
      </c>
      <c r="F96" s="17">
        <v>180</v>
      </c>
      <c r="G96" s="17">
        <v>120</v>
      </c>
      <c r="H96" s="17">
        <v>74</v>
      </c>
      <c r="I96" s="17">
        <v>30</v>
      </c>
      <c r="J96" s="17" t="s">
        <v>51</v>
      </c>
      <c r="K96" s="17">
        <v>166</v>
      </c>
      <c r="L96" s="44" t="s">
        <v>32</v>
      </c>
    </row>
    <row r="97" spans="1:12" s="10" customFormat="1" ht="28.5" customHeight="1" x14ac:dyDescent="0.35">
      <c r="A97" s="100" t="s">
        <v>117</v>
      </c>
      <c r="B97" s="2">
        <v>8.14</v>
      </c>
      <c r="C97" s="2" t="s">
        <v>51</v>
      </c>
      <c r="D97" s="2"/>
      <c r="E97" s="25">
        <v>276</v>
      </c>
      <c r="F97" s="17">
        <v>185</v>
      </c>
      <c r="G97" s="17">
        <v>123</v>
      </c>
      <c r="H97" s="17">
        <v>76</v>
      </c>
      <c r="I97" s="17">
        <v>34</v>
      </c>
      <c r="J97" s="17" t="s">
        <v>51</v>
      </c>
      <c r="K97" s="17">
        <v>168</v>
      </c>
      <c r="L97" s="44" t="s">
        <v>32</v>
      </c>
    </row>
    <row r="98" spans="1:12" s="10" customFormat="1" ht="28.5" customHeight="1" x14ac:dyDescent="0.35">
      <c r="A98" s="100" t="s">
        <v>118</v>
      </c>
      <c r="B98" s="117" t="s">
        <v>91</v>
      </c>
      <c r="C98" s="118"/>
      <c r="D98" s="118"/>
      <c r="E98" s="118"/>
      <c r="F98" s="118"/>
      <c r="G98" s="118"/>
      <c r="H98" s="118"/>
      <c r="I98" s="118"/>
      <c r="J98" s="118"/>
      <c r="K98" s="118"/>
      <c r="L98" s="119"/>
    </row>
    <row r="99" spans="1:12" s="10" customFormat="1" ht="28.5" customHeight="1" x14ac:dyDescent="0.35">
      <c r="A99" s="100" t="s">
        <v>119</v>
      </c>
      <c r="B99" s="117" t="s">
        <v>91</v>
      </c>
      <c r="C99" s="118"/>
      <c r="D99" s="118"/>
      <c r="E99" s="118"/>
      <c r="F99" s="118"/>
      <c r="G99" s="118"/>
      <c r="H99" s="118"/>
      <c r="I99" s="118"/>
      <c r="J99" s="118"/>
      <c r="K99" s="118"/>
      <c r="L99" s="119"/>
    </row>
    <row r="100" spans="1:12" s="10" customFormat="1" ht="28.5" customHeight="1" x14ac:dyDescent="0.35">
      <c r="A100" s="100" t="s">
        <v>120</v>
      </c>
      <c r="B100" s="2">
        <v>8.35</v>
      </c>
      <c r="C100" s="63" t="s">
        <v>51</v>
      </c>
      <c r="D100" s="63"/>
      <c r="E100" s="25">
        <v>284</v>
      </c>
      <c r="F100" s="17">
        <v>190</v>
      </c>
      <c r="G100" s="17">
        <v>128</v>
      </c>
      <c r="H100" s="17">
        <v>93</v>
      </c>
      <c r="I100" s="17">
        <v>36</v>
      </c>
      <c r="J100" s="17" t="s">
        <v>51</v>
      </c>
      <c r="K100" s="17">
        <v>160</v>
      </c>
      <c r="L100" s="71">
        <v>2</v>
      </c>
    </row>
    <row r="101" spans="1:12" s="10" customFormat="1" ht="28.5" customHeight="1" x14ac:dyDescent="0.35">
      <c r="A101" s="100" t="s">
        <v>121</v>
      </c>
      <c r="B101" s="117" t="s">
        <v>91</v>
      </c>
      <c r="C101" s="118"/>
      <c r="D101" s="118"/>
      <c r="E101" s="118"/>
      <c r="F101" s="118"/>
      <c r="G101" s="118"/>
      <c r="H101" s="118"/>
      <c r="I101" s="118"/>
      <c r="J101" s="118"/>
      <c r="K101" s="118"/>
      <c r="L101" s="119"/>
    </row>
    <row r="102" spans="1:12" s="10" customFormat="1" ht="28.5" customHeight="1" x14ac:dyDescent="0.35">
      <c r="A102" s="100" t="s">
        <v>122</v>
      </c>
      <c r="B102" s="117" t="s">
        <v>91</v>
      </c>
      <c r="C102" s="118"/>
      <c r="D102" s="118"/>
      <c r="E102" s="118"/>
      <c r="F102" s="118"/>
      <c r="G102" s="118"/>
      <c r="H102" s="118"/>
      <c r="I102" s="118"/>
      <c r="J102" s="118"/>
      <c r="K102" s="118"/>
      <c r="L102" s="119"/>
    </row>
    <row r="103" spans="1:12" s="10" customFormat="1" ht="28.5" customHeight="1" x14ac:dyDescent="0.35">
      <c r="A103" s="100" t="s">
        <v>123</v>
      </c>
      <c r="B103" s="2">
        <v>8.3000000000000007</v>
      </c>
      <c r="C103" s="63" t="s">
        <v>51</v>
      </c>
      <c r="D103" s="63"/>
      <c r="E103" s="25">
        <v>276</v>
      </c>
      <c r="F103" s="17">
        <v>185</v>
      </c>
      <c r="G103" s="17">
        <v>125</v>
      </c>
      <c r="H103" s="17">
        <v>84</v>
      </c>
      <c r="I103" s="17">
        <v>34</v>
      </c>
      <c r="J103" s="17" t="s">
        <v>51</v>
      </c>
      <c r="K103" s="17">
        <v>158</v>
      </c>
      <c r="L103" s="44" t="s">
        <v>32</v>
      </c>
    </row>
    <row r="104" spans="1:12" s="10" customFormat="1" ht="28.5" customHeight="1" x14ac:dyDescent="0.35">
      <c r="A104" s="70" t="s">
        <v>124</v>
      </c>
      <c r="B104" s="2">
        <v>6.7</v>
      </c>
      <c r="C104" s="63" t="s">
        <v>51</v>
      </c>
      <c r="D104" s="63"/>
      <c r="E104" s="25">
        <v>25</v>
      </c>
      <c r="F104" s="17">
        <v>17</v>
      </c>
      <c r="G104" s="17" t="s">
        <v>51</v>
      </c>
      <c r="H104" s="17" t="s">
        <v>51</v>
      </c>
      <c r="I104" s="17">
        <v>10</v>
      </c>
      <c r="J104" s="17" t="s">
        <v>51</v>
      </c>
      <c r="K104" s="17">
        <v>9</v>
      </c>
      <c r="L104" s="44" t="s">
        <v>32</v>
      </c>
    </row>
    <row r="105" spans="1:12" s="10" customFormat="1" ht="28.5" customHeight="1" x14ac:dyDescent="0.35">
      <c r="A105" s="100" t="s">
        <v>125</v>
      </c>
      <c r="B105" s="2">
        <v>6.7</v>
      </c>
      <c r="C105" s="63" t="s">
        <v>51</v>
      </c>
      <c r="D105" s="63"/>
      <c r="E105" s="25">
        <v>25</v>
      </c>
      <c r="F105" s="17">
        <v>19</v>
      </c>
      <c r="G105" s="17" t="s">
        <v>51</v>
      </c>
      <c r="H105" s="17" t="s">
        <v>51</v>
      </c>
      <c r="I105" s="17">
        <v>10</v>
      </c>
      <c r="J105" s="17"/>
      <c r="K105" s="17">
        <v>11</v>
      </c>
      <c r="L105" s="44" t="s">
        <v>32</v>
      </c>
    </row>
    <row r="106" spans="1:12" s="10" customFormat="1" ht="28.5" customHeight="1" thickBot="1" x14ac:dyDescent="0.4">
      <c r="A106" s="111" t="s">
        <v>126</v>
      </c>
      <c r="B106" s="120" t="s">
        <v>91</v>
      </c>
      <c r="C106" s="121"/>
      <c r="D106" s="121"/>
      <c r="E106" s="121"/>
      <c r="F106" s="121"/>
      <c r="G106" s="121"/>
      <c r="H106" s="121"/>
      <c r="I106" s="121"/>
      <c r="J106" s="121"/>
      <c r="K106" s="121"/>
      <c r="L106" s="122"/>
    </row>
    <row r="107" spans="1:12" s="10" customFormat="1" ht="28.5" customHeight="1" x14ac:dyDescent="0.35">
      <c r="A107" s="110" t="s">
        <v>127</v>
      </c>
      <c r="B107" s="123" t="s">
        <v>91</v>
      </c>
      <c r="C107" s="124"/>
      <c r="D107" s="124"/>
      <c r="E107" s="124"/>
      <c r="F107" s="124"/>
      <c r="G107" s="124"/>
      <c r="H107" s="124"/>
      <c r="I107" s="124"/>
      <c r="J107" s="124"/>
      <c r="K107" s="124"/>
      <c r="L107" s="125"/>
    </row>
    <row r="108" spans="1:12" s="10" customFormat="1" ht="28.5" customHeight="1" x14ac:dyDescent="0.35">
      <c r="A108" s="100" t="s">
        <v>128</v>
      </c>
      <c r="B108" s="2">
        <v>6.7</v>
      </c>
      <c r="C108" s="2" t="s">
        <v>51</v>
      </c>
      <c r="D108" s="2"/>
      <c r="E108" s="17">
        <v>22</v>
      </c>
      <c r="F108" s="17">
        <v>15</v>
      </c>
      <c r="G108" s="2" t="s">
        <v>32</v>
      </c>
      <c r="H108" s="2" t="s">
        <v>32</v>
      </c>
      <c r="I108" s="17">
        <v>10</v>
      </c>
      <c r="J108" s="17" t="s">
        <v>51</v>
      </c>
      <c r="K108" s="17">
        <v>13</v>
      </c>
      <c r="L108" s="2" t="s">
        <v>32</v>
      </c>
    </row>
    <row r="109" spans="1:12" s="10" customFormat="1" ht="28.5" customHeight="1" x14ac:dyDescent="0.35">
      <c r="A109" s="100" t="s">
        <v>129</v>
      </c>
      <c r="B109" s="2">
        <v>7</v>
      </c>
      <c r="C109" s="63" t="s">
        <v>51</v>
      </c>
      <c r="D109" s="63"/>
      <c r="E109" s="25">
        <v>29</v>
      </c>
      <c r="F109" s="17">
        <v>20</v>
      </c>
      <c r="G109" s="17" t="s">
        <v>32</v>
      </c>
      <c r="H109" s="17" t="s">
        <v>32</v>
      </c>
      <c r="I109" s="17">
        <v>9</v>
      </c>
      <c r="J109" s="17" t="s">
        <v>51</v>
      </c>
      <c r="K109" s="17">
        <v>10</v>
      </c>
      <c r="L109" s="103" t="s">
        <v>32</v>
      </c>
    </row>
    <row r="110" spans="1:12" s="10" customFormat="1" ht="28.5" customHeight="1" x14ac:dyDescent="0.35">
      <c r="A110" s="100" t="s">
        <v>130</v>
      </c>
      <c r="B110" s="2">
        <v>7</v>
      </c>
      <c r="C110" s="63" t="s">
        <v>51</v>
      </c>
      <c r="D110" s="63"/>
      <c r="E110" s="25">
        <v>26</v>
      </c>
      <c r="F110" s="25">
        <v>18</v>
      </c>
      <c r="G110" s="17" t="s">
        <v>32</v>
      </c>
      <c r="H110" s="17" t="s">
        <v>32</v>
      </c>
      <c r="I110" s="17">
        <v>8</v>
      </c>
      <c r="J110" s="17" t="s">
        <v>51</v>
      </c>
      <c r="K110" s="17">
        <v>9</v>
      </c>
      <c r="L110" s="103" t="s">
        <v>32</v>
      </c>
    </row>
    <row r="111" spans="1:12" s="10" customFormat="1" ht="28.5" customHeight="1" x14ac:dyDescent="0.35">
      <c r="A111" s="100" t="s">
        <v>131</v>
      </c>
      <c r="B111" s="2">
        <v>8.4</v>
      </c>
      <c r="C111" s="2" t="s">
        <v>51</v>
      </c>
      <c r="D111" s="2"/>
      <c r="E111" s="25">
        <v>253</v>
      </c>
      <c r="F111" s="25">
        <v>170</v>
      </c>
      <c r="G111" s="25">
        <v>129</v>
      </c>
      <c r="H111" s="25">
        <v>79</v>
      </c>
      <c r="I111" s="25">
        <v>35</v>
      </c>
      <c r="J111" s="2" t="s">
        <v>51</v>
      </c>
      <c r="K111" s="25">
        <v>152</v>
      </c>
      <c r="L111" s="2" t="s">
        <v>32</v>
      </c>
    </row>
    <row r="112" spans="1:12" s="10" customFormat="1" ht="28.5" customHeight="1" x14ac:dyDescent="0.35">
      <c r="A112" s="100" t="s">
        <v>132</v>
      </c>
      <c r="B112" s="117" t="s">
        <v>91</v>
      </c>
      <c r="C112" s="118"/>
      <c r="D112" s="118"/>
      <c r="E112" s="118"/>
      <c r="F112" s="118"/>
      <c r="G112" s="118"/>
      <c r="H112" s="118"/>
      <c r="I112" s="118"/>
      <c r="J112" s="118"/>
      <c r="K112" s="118"/>
      <c r="L112" s="126"/>
    </row>
    <row r="113" spans="1:12" s="10" customFormat="1" ht="28.5" customHeight="1" x14ac:dyDescent="0.35">
      <c r="A113" s="100" t="s">
        <v>133</v>
      </c>
      <c r="B113" s="2">
        <v>8.35</v>
      </c>
      <c r="C113" s="63" t="s">
        <v>51</v>
      </c>
      <c r="D113" s="63"/>
      <c r="E113" s="25">
        <v>299</v>
      </c>
      <c r="F113" s="17">
        <v>200</v>
      </c>
      <c r="G113" s="17">
        <v>138</v>
      </c>
      <c r="H113" s="17">
        <v>84</v>
      </c>
      <c r="I113" s="17">
        <v>36</v>
      </c>
      <c r="J113" s="17" t="s">
        <v>51</v>
      </c>
      <c r="K113" s="17">
        <v>160</v>
      </c>
      <c r="L113" s="57" t="s">
        <v>32</v>
      </c>
    </row>
    <row r="114" spans="1:12" s="10" customFormat="1" ht="28.5" customHeight="1" x14ac:dyDescent="0.35">
      <c r="A114" s="100" t="s">
        <v>134</v>
      </c>
      <c r="B114" s="2">
        <v>8.3000000000000007</v>
      </c>
      <c r="C114" s="2" t="s">
        <v>51</v>
      </c>
      <c r="D114" s="2"/>
      <c r="E114" s="25">
        <v>313</v>
      </c>
      <c r="F114" s="25">
        <v>210</v>
      </c>
      <c r="G114" s="17">
        <v>120</v>
      </c>
      <c r="H114" s="17">
        <v>76</v>
      </c>
      <c r="I114" s="25">
        <v>37</v>
      </c>
      <c r="J114" s="17" t="s">
        <v>51</v>
      </c>
      <c r="K114" s="17">
        <v>150</v>
      </c>
      <c r="L114" s="57" t="s">
        <v>32</v>
      </c>
    </row>
    <row r="115" spans="1:12" s="10" customFormat="1" ht="28.5" customHeight="1" x14ac:dyDescent="0.35">
      <c r="A115" s="100" t="s">
        <v>135</v>
      </c>
      <c r="B115" s="2">
        <v>8.2899999999999991</v>
      </c>
      <c r="C115" s="2" t="s">
        <v>51</v>
      </c>
      <c r="D115" s="2"/>
      <c r="E115" s="25">
        <v>267</v>
      </c>
      <c r="F115" s="25">
        <v>180</v>
      </c>
      <c r="G115" s="17">
        <v>124</v>
      </c>
      <c r="H115" s="17">
        <v>80</v>
      </c>
      <c r="I115" s="25">
        <v>35</v>
      </c>
      <c r="J115" s="17" t="s">
        <v>51</v>
      </c>
      <c r="K115" s="17">
        <v>145</v>
      </c>
      <c r="L115" s="57" t="s">
        <v>32</v>
      </c>
    </row>
    <row r="116" spans="1:12" s="10" customFormat="1" ht="28.5" customHeight="1" x14ac:dyDescent="0.35">
      <c r="A116" s="100" t="s">
        <v>136</v>
      </c>
      <c r="B116" s="2">
        <v>7</v>
      </c>
      <c r="C116" s="63" t="s">
        <v>51</v>
      </c>
      <c r="D116" s="63"/>
      <c r="E116" s="25">
        <v>22</v>
      </c>
      <c r="F116" s="17">
        <v>15</v>
      </c>
      <c r="G116" s="17" t="s">
        <v>32</v>
      </c>
      <c r="H116" s="17" t="s">
        <v>32</v>
      </c>
      <c r="I116" s="17">
        <v>6</v>
      </c>
      <c r="J116" s="17" t="s">
        <v>51</v>
      </c>
      <c r="K116" s="17">
        <v>8</v>
      </c>
      <c r="L116" s="57" t="s">
        <v>32</v>
      </c>
    </row>
    <row r="117" spans="1:12" s="10" customFormat="1" ht="28.5" customHeight="1" x14ac:dyDescent="0.35">
      <c r="A117" s="100" t="s">
        <v>137</v>
      </c>
      <c r="B117" s="117" t="s">
        <v>91</v>
      </c>
      <c r="C117" s="118"/>
      <c r="D117" s="118"/>
      <c r="E117" s="118"/>
      <c r="F117" s="118"/>
      <c r="G117" s="118"/>
      <c r="H117" s="118"/>
      <c r="I117" s="118"/>
      <c r="J117" s="118"/>
      <c r="K117" s="118"/>
      <c r="L117" s="126"/>
    </row>
    <row r="118" spans="1:12" s="10" customFormat="1" ht="28.5" customHeight="1" x14ac:dyDescent="0.35">
      <c r="A118" s="100" t="s">
        <v>138</v>
      </c>
      <c r="B118" s="2">
        <v>8.35</v>
      </c>
      <c r="C118" s="2" t="s">
        <v>51</v>
      </c>
      <c r="D118" s="2"/>
      <c r="E118" s="25">
        <v>253</v>
      </c>
      <c r="F118" s="17">
        <v>170</v>
      </c>
      <c r="G118" s="17">
        <v>120</v>
      </c>
      <c r="H118" s="17">
        <v>74</v>
      </c>
      <c r="I118" s="17">
        <v>30</v>
      </c>
      <c r="J118" s="17" t="s">
        <v>51</v>
      </c>
      <c r="K118" s="17">
        <v>147</v>
      </c>
      <c r="L118" s="57" t="s">
        <v>32</v>
      </c>
    </row>
    <row r="119" spans="1:12" s="10" customFormat="1" ht="28.5" customHeight="1" x14ac:dyDescent="0.35">
      <c r="A119" s="100" t="s">
        <v>139</v>
      </c>
      <c r="B119" s="117" t="s">
        <v>91</v>
      </c>
      <c r="C119" s="118"/>
      <c r="D119" s="118"/>
      <c r="E119" s="118"/>
      <c r="F119" s="118"/>
      <c r="G119" s="118"/>
      <c r="H119" s="118"/>
      <c r="I119" s="118"/>
      <c r="J119" s="118"/>
      <c r="K119" s="118"/>
      <c r="L119" s="126"/>
    </row>
    <row r="120" spans="1:12" s="10" customFormat="1" ht="28.5" customHeight="1" x14ac:dyDescent="0.35">
      <c r="A120" s="100" t="s">
        <v>140</v>
      </c>
      <c r="B120" s="2">
        <v>8.5500000000000007</v>
      </c>
      <c r="C120" s="2" t="s">
        <v>51</v>
      </c>
      <c r="D120" s="2"/>
      <c r="E120" s="25">
        <v>358</v>
      </c>
      <c r="F120" s="17">
        <v>240</v>
      </c>
      <c r="G120" s="17">
        <v>185</v>
      </c>
      <c r="H120" s="17">
        <v>114</v>
      </c>
      <c r="I120" s="17">
        <v>32</v>
      </c>
      <c r="J120" s="17" t="s">
        <v>51</v>
      </c>
      <c r="K120" s="17">
        <v>140</v>
      </c>
      <c r="L120" s="57" t="s">
        <v>32</v>
      </c>
    </row>
    <row r="121" spans="1:12" s="10" customFormat="1" ht="28.5" customHeight="1" x14ac:dyDescent="0.35">
      <c r="A121" s="100" t="s">
        <v>141</v>
      </c>
      <c r="B121" s="2">
        <v>8.5299999999999994</v>
      </c>
      <c r="C121" s="2" t="s">
        <v>51</v>
      </c>
      <c r="D121" s="2"/>
      <c r="E121" s="25">
        <v>328</v>
      </c>
      <c r="F121" s="17">
        <v>220</v>
      </c>
      <c r="G121" s="17">
        <v>173</v>
      </c>
      <c r="H121" s="17">
        <v>107</v>
      </c>
      <c r="I121" s="17">
        <v>36</v>
      </c>
      <c r="J121" s="17" t="s">
        <v>51</v>
      </c>
      <c r="K121" s="17">
        <v>145</v>
      </c>
      <c r="L121" s="57" t="s">
        <v>32</v>
      </c>
    </row>
    <row r="122" spans="1:12" s="10" customFormat="1" ht="28.5" customHeight="1" x14ac:dyDescent="0.35">
      <c r="A122" s="100" t="s">
        <v>142</v>
      </c>
      <c r="B122" s="117" t="s">
        <v>91</v>
      </c>
      <c r="C122" s="118"/>
      <c r="D122" s="118"/>
      <c r="E122" s="118"/>
      <c r="F122" s="118"/>
      <c r="G122" s="118"/>
      <c r="H122" s="118"/>
      <c r="I122" s="118"/>
      <c r="J122" s="118"/>
      <c r="K122" s="118"/>
      <c r="L122" s="126"/>
    </row>
    <row r="123" spans="1:12" s="10" customFormat="1" ht="28.5" customHeight="1" x14ac:dyDescent="0.35">
      <c r="A123" s="100" t="s">
        <v>143</v>
      </c>
      <c r="B123" s="2">
        <v>6.9</v>
      </c>
      <c r="C123" s="2" t="s">
        <v>51</v>
      </c>
      <c r="D123" s="2"/>
      <c r="E123" s="25">
        <v>25</v>
      </c>
      <c r="F123" s="17">
        <v>17</v>
      </c>
      <c r="G123" s="17" t="s">
        <v>32</v>
      </c>
      <c r="H123" s="17" t="s">
        <v>32</v>
      </c>
      <c r="I123" s="17">
        <v>8</v>
      </c>
      <c r="J123" s="17" t="s">
        <v>51</v>
      </c>
      <c r="K123" s="17">
        <v>9</v>
      </c>
      <c r="L123" s="57" t="s">
        <v>32</v>
      </c>
    </row>
    <row r="124" spans="1:12" s="10" customFormat="1" ht="28.5" customHeight="1" x14ac:dyDescent="0.35">
      <c r="A124" s="100" t="s">
        <v>144</v>
      </c>
      <c r="B124" s="2">
        <v>7</v>
      </c>
      <c r="C124" s="2" t="s">
        <v>51</v>
      </c>
      <c r="D124" s="2"/>
      <c r="E124" s="25">
        <v>24</v>
      </c>
      <c r="F124" s="17">
        <v>15</v>
      </c>
      <c r="G124" s="17" t="s">
        <v>32</v>
      </c>
      <c r="H124" s="17" t="s">
        <v>32</v>
      </c>
      <c r="I124" s="17">
        <v>7</v>
      </c>
      <c r="J124" s="17" t="s">
        <v>51</v>
      </c>
      <c r="K124" s="17">
        <v>10</v>
      </c>
      <c r="L124" s="57" t="s">
        <v>32</v>
      </c>
    </row>
    <row r="125" spans="1:12" s="10" customFormat="1" ht="28.5" customHeight="1" x14ac:dyDescent="0.35">
      <c r="A125" s="100" t="s">
        <v>145</v>
      </c>
      <c r="B125" s="2">
        <v>7</v>
      </c>
      <c r="C125" s="2" t="s">
        <v>51</v>
      </c>
      <c r="D125" s="2"/>
      <c r="E125" s="25">
        <v>21</v>
      </c>
      <c r="F125" s="17">
        <v>14</v>
      </c>
      <c r="G125" s="17" t="s">
        <v>32</v>
      </c>
      <c r="H125" s="17" t="s">
        <v>32</v>
      </c>
      <c r="I125" s="17">
        <v>7</v>
      </c>
      <c r="J125" s="17" t="s">
        <v>51</v>
      </c>
      <c r="K125" s="17">
        <v>8</v>
      </c>
      <c r="L125" s="57" t="s">
        <v>32</v>
      </c>
    </row>
    <row r="126" spans="1:12" s="10" customFormat="1" ht="28.5" customHeight="1" x14ac:dyDescent="0.35">
      <c r="A126" s="100" t="s">
        <v>146</v>
      </c>
      <c r="B126" s="117" t="s">
        <v>91</v>
      </c>
      <c r="C126" s="118"/>
      <c r="D126" s="118"/>
      <c r="E126" s="118"/>
      <c r="F126" s="118"/>
      <c r="G126" s="118"/>
      <c r="H126" s="118"/>
      <c r="I126" s="118"/>
      <c r="J126" s="118"/>
      <c r="K126" s="118"/>
      <c r="L126" s="126"/>
    </row>
    <row r="127" spans="1:12" s="10" customFormat="1" ht="28.5" customHeight="1" x14ac:dyDescent="0.35">
      <c r="A127" s="100" t="s">
        <v>147</v>
      </c>
      <c r="B127" s="2">
        <v>8.4</v>
      </c>
      <c r="C127" s="2" t="s">
        <v>51</v>
      </c>
      <c r="D127" s="2"/>
      <c r="E127" s="25">
        <v>298</v>
      </c>
      <c r="F127" s="17">
        <v>200</v>
      </c>
      <c r="G127" s="17">
        <v>160</v>
      </c>
      <c r="H127" s="17">
        <v>99</v>
      </c>
      <c r="I127" s="17">
        <v>30</v>
      </c>
      <c r="J127" s="17" t="s">
        <v>51</v>
      </c>
      <c r="K127" s="17">
        <v>132</v>
      </c>
      <c r="L127" s="57" t="s">
        <v>32</v>
      </c>
    </row>
    <row r="128" spans="1:12" s="10" customFormat="1" ht="28.5" customHeight="1" x14ac:dyDescent="0.35">
      <c r="A128" s="100" t="s">
        <v>148</v>
      </c>
      <c r="B128" s="117" t="s">
        <v>91</v>
      </c>
      <c r="C128" s="118"/>
      <c r="D128" s="118"/>
      <c r="E128" s="118"/>
      <c r="F128" s="118"/>
      <c r="G128" s="118"/>
      <c r="H128" s="118"/>
      <c r="I128" s="118"/>
      <c r="J128" s="118"/>
      <c r="K128" s="118"/>
      <c r="L128" s="126"/>
    </row>
    <row r="129" spans="1:12" s="10" customFormat="1" ht="28.5" customHeight="1" x14ac:dyDescent="0.35">
      <c r="A129" s="100" t="s">
        <v>149</v>
      </c>
      <c r="B129" s="2">
        <v>6.8</v>
      </c>
      <c r="C129" s="2" t="s">
        <v>51</v>
      </c>
      <c r="D129" s="2"/>
      <c r="E129" s="25">
        <v>23</v>
      </c>
      <c r="F129" s="17">
        <v>16</v>
      </c>
      <c r="G129" s="17" t="s">
        <v>32</v>
      </c>
      <c r="H129" s="17" t="s">
        <v>32</v>
      </c>
      <c r="I129" s="17">
        <v>8</v>
      </c>
      <c r="J129" s="17" t="s">
        <v>51</v>
      </c>
      <c r="K129" s="17">
        <v>9</v>
      </c>
      <c r="L129" s="57" t="s">
        <v>32</v>
      </c>
    </row>
    <row r="130" spans="1:12" s="10" customFormat="1" ht="28.5" customHeight="1" thickBot="1" x14ac:dyDescent="0.4">
      <c r="A130" s="111" t="s">
        <v>150</v>
      </c>
      <c r="B130" s="120" t="s">
        <v>91</v>
      </c>
      <c r="C130" s="121"/>
      <c r="D130" s="121"/>
      <c r="E130" s="121"/>
      <c r="F130" s="121"/>
      <c r="G130" s="121"/>
      <c r="H130" s="121"/>
      <c r="I130" s="121"/>
      <c r="J130" s="121"/>
      <c r="K130" s="121"/>
      <c r="L130" s="127"/>
    </row>
    <row r="131" spans="1:12" s="10" customFormat="1" ht="28.5" customHeight="1" x14ac:dyDescent="0.35">
      <c r="A131" s="110" t="s">
        <v>151</v>
      </c>
      <c r="B131" s="112">
        <v>8.5</v>
      </c>
      <c r="C131" s="112"/>
      <c r="D131" s="112"/>
      <c r="E131" s="43">
        <v>283</v>
      </c>
      <c r="F131" s="43">
        <v>190</v>
      </c>
      <c r="G131" s="43">
        <v>180</v>
      </c>
      <c r="H131" s="43">
        <v>111</v>
      </c>
      <c r="I131" s="43">
        <v>40</v>
      </c>
      <c r="J131" s="112"/>
      <c r="K131" s="112"/>
      <c r="L131" s="112"/>
    </row>
    <row r="132" spans="1:12" s="10" customFormat="1" ht="28.5" customHeight="1" x14ac:dyDescent="0.35">
      <c r="A132" s="100" t="s">
        <v>152</v>
      </c>
      <c r="B132" s="2">
        <v>6.9</v>
      </c>
      <c r="C132" s="2"/>
      <c r="D132" s="2"/>
      <c r="E132" s="17">
        <v>21</v>
      </c>
      <c r="F132" s="17">
        <v>14</v>
      </c>
      <c r="G132" s="2" t="s">
        <v>32</v>
      </c>
      <c r="H132" s="2" t="s">
        <v>32</v>
      </c>
      <c r="I132" s="17">
        <v>7</v>
      </c>
      <c r="J132" s="17"/>
      <c r="K132" s="17"/>
      <c r="L132" s="2"/>
    </row>
    <row r="133" spans="1:12" s="10" customFormat="1" ht="28.5" customHeight="1" x14ac:dyDescent="0.35">
      <c r="A133" s="100" t="s">
        <v>153</v>
      </c>
      <c r="B133" s="2">
        <v>8.2799999999999994</v>
      </c>
      <c r="C133" s="63"/>
      <c r="D133" s="63"/>
      <c r="E133" s="25">
        <v>299</v>
      </c>
      <c r="F133" s="17">
        <v>200</v>
      </c>
      <c r="G133" s="17">
        <v>138</v>
      </c>
      <c r="H133" s="17">
        <v>80</v>
      </c>
      <c r="I133" s="17">
        <v>36</v>
      </c>
      <c r="J133" s="17"/>
      <c r="K133" s="17">
        <v>140</v>
      </c>
      <c r="L133" s="103" t="s">
        <v>32</v>
      </c>
    </row>
    <row r="134" spans="1:12" s="10" customFormat="1" ht="28.5" customHeight="1" x14ac:dyDescent="0.35">
      <c r="A134" s="100" t="s">
        <v>154</v>
      </c>
      <c r="B134" s="117" t="s">
        <v>91</v>
      </c>
      <c r="C134" s="118"/>
      <c r="D134" s="118"/>
      <c r="E134" s="118"/>
      <c r="F134" s="118"/>
      <c r="G134" s="118"/>
      <c r="H134" s="118"/>
      <c r="I134" s="118"/>
      <c r="J134" s="118"/>
      <c r="K134" s="118"/>
      <c r="L134" s="126"/>
    </row>
    <row r="135" spans="1:12" s="10" customFormat="1" ht="28.5" customHeight="1" x14ac:dyDescent="0.35">
      <c r="A135" s="100" t="s">
        <v>155</v>
      </c>
      <c r="B135" s="2">
        <v>8.25</v>
      </c>
      <c r="C135" s="2"/>
      <c r="D135" s="2"/>
      <c r="E135" s="25">
        <v>328</v>
      </c>
      <c r="F135" s="25">
        <v>220</v>
      </c>
      <c r="G135" s="25">
        <v>160</v>
      </c>
      <c r="H135" s="25">
        <v>109</v>
      </c>
      <c r="I135" s="25">
        <v>40</v>
      </c>
      <c r="J135" s="2"/>
      <c r="K135" s="25">
        <v>150</v>
      </c>
      <c r="L135" s="2" t="s">
        <v>32</v>
      </c>
    </row>
    <row r="136" spans="1:12" s="10" customFormat="1" ht="28.5" customHeight="1" x14ac:dyDescent="0.35">
      <c r="A136" s="100" t="s">
        <v>156</v>
      </c>
      <c r="B136" s="117" t="s">
        <v>91</v>
      </c>
      <c r="C136" s="118"/>
      <c r="D136" s="118"/>
      <c r="E136" s="118"/>
      <c r="F136" s="118"/>
      <c r="G136" s="118"/>
      <c r="H136" s="118"/>
      <c r="I136" s="118"/>
      <c r="J136" s="118"/>
      <c r="K136" s="118"/>
      <c r="L136" s="126"/>
    </row>
    <row r="137" spans="1:12" s="10" customFormat="1" ht="28.5" customHeight="1" x14ac:dyDescent="0.35">
      <c r="A137" s="100" t="s">
        <v>157</v>
      </c>
      <c r="B137" s="2">
        <v>8.25</v>
      </c>
      <c r="C137" s="63"/>
      <c r="D137" s="63"/>
      <c r="E137" s="25">
        <v>299</v>
      </c>
      <c r="F137" s="17">
        <v>200</v>
      </c>
      <c r="G137" s="17">
        <v>139</v>
      </c>
      <c r="H137" s="17">
        <v>83</v>
      </c>
      <c r="I137" s="17">
        <v>43</v>
      </c>
      <c r="J137" s="17"/>
      <c r="K137" s="17">
        <v>144</v>
      </c>
      <c r="L137" s="57" t="s">
        <v>32</v>
      </c>
    </row>
    <row r="138" spans="1:12" s="10" customFormat="1" ht="28.5" customHeight="1" x14ac:dyDescent="0.35">
      <c r="A138" s="100" t="s">
        <v>158</v>
      </c>
      <c r="B138" s="2">
        <v>8.1999999999999993</v>
      </c>
      <c r="C138" s="2"/>
      <c r="D138" s="2"/>
      <c r="E138" s="25">
        <v>328</v>
      </c>
      <c r="F138" s="25">
        <v>220</v>
      </c>
      <c r="G138" s="17">
        <v>144</v>
      </c>
      <c r="H138" s="17">
        <v>90</v>
      </c>
      <c r="I138" s="25">
        <v>40</v>
      </c>
      <c r="J138" s="17"/>
      <c r="K138" s="17">
        <v>150</v>
      </c>
      <c r="L138" s="57" t="s">
        <v>32</v>
      </c>
    </row>
    <row r="139" spans="1:12" s="10" customFormat="1" ht="28.5" customHeight="1" x14ac:dyDescent="0.35">
      <c r="A139" s="100" t="s">
        <v>159</v>
      </c>
      <c r="B139" s="2">
        <v>8.3000000000000007</v>
      </c>
      <c r="C139" s="2"/>
      <c r="D139" s="2"/>
      <c r="E139" s="25">
        <v>284</v>
      </c>
      <c r="F139" s="25">
        <v>190</v>
      </c>
      <c r="G139" s="17">
        <v>138</v>
      </c>
      <c r="H139" s="17">
        <v>84</v>
      </c>
      <c r="I139" s="25">
        <v>36</v>
      </c>
      <c r="J139" s="17"/>
      <c r="K139" s="17">
        <v>146</v>
      </c>
      <c r="L139" s="57" t="s">
        <v>32</v>
      </c>
    </row>
    <row r="140" spans="1:12" s="10" customFormat="1" ht="28.5" customHeight="1" x14ac:dyDescent="0.35">
      <c r="A140" s="100" t="s">
        <v>160</v>
      </c>
      <c r="B140" s="2">
        <v>8.4</v>
      </c>
      <c r="C140" s="63"/>
      <c r="D140" s="63"/>
      <c r="E140" s="25">
        <v>271</v>
      </c>
      <c r="F140" s="17">
        <v>182</v>
      </c>
      <c r="G140" s="17">
        <v>130</v>
      </c>
      <c r="H140" s="17">
        <v>80</v>
      </c>
      <c r="I140" s="17">
        <v>36</v>
      </c>
      <c r="J140" s="17"/>
      <c r="K140" s="17">
        <v>133</v>
      </c>
      <c r="L140" s="57" t="s">
        <v>32</v>
      </c>
    </row>
    <row r="141" spans="1:12" s="10" customFormat="1" ht="28.5" customHeight="1" x14ac:dyDescent="0.35">
      <c r="A141" s="100" t="s">
        <v>161</v>
      </c>
      <c r="B141" s="117" t="s">
        <v>91</v>
      </c>
      <c r="C141" s="118"/>
      <c r="D141" s="118"/>
      <c r="E141" s="118"/>
      <c r="F141" s="118"/>
      <c r="G141" s="118"/>
      <c r="H141" s="118"/>
      <c r="I141" s="118"/>
      <c r="J141" s="118"/>
      <c r="K141" s="118"/>
      <c r="L141" s="126"/>
    </row>
    <row r="142" spans="1:12" s="10" customFormat="1" ht="28.5" customHeight="1" x14ac:dyDescent="0.35">
      <c r="A142" s="100" t="s">
        <v>162</v>
      </c>
      <c r="B142" s="117" t="s">
        <v>91</v>
      </c>
      <c r="C142" s="118"/>
      <c r="D142" s="118"/>
      <c r="E142" s="118"/>
      <c r="F142" s="118"/>
      <c r="G142" s="118"/>
      <c r="H142" s="118"/>
      <c r="I142" s="118"/>
      <c r="J142" s="118"/>
      <c r="K142" s="118"/>
      <c r="L142" s="126"/>
    </row>
    <row r="143" spans="1:12" s="10" customFormat="1" ht="28.5" customHeight="1" x14ac:dyDescent="0.35">
      <c r="A143" s="100" t="s">
        <v>163</v>
      </c>
      <c r="B143" s="117" t="s">
        <v>91</v>
      </c>
      <c r="C143" s="118"/>
      <c r="D143" s="118"/>
      <c r="E143" s="118"/>
      <c r="F143" s="118"/>
      <c r="G143" s="118"/>
      <c r="H143" s="118"/>
      <c r="I143" s="118"/>
      <c r="J143" s="118"/>
      <c r="K143" s="118"/>
      <c r="L143" s="126"/>
    </row>
    <row r="144" spans="1:12" s="10" customFormat="1" ht="28.5" customHeight="1" x14ac:dyDescent="0.35">
      <c r="A144" s="100" t="s">
        <v>164</v>
      </c>
      <c r="B144" s="117" t="s">
        <v>91</v>
      </c>
      <c r="C144" s="118"/>
      <c r="D144" s="118"/>
      <c r="E144" s="118"/>
      <c r="F144" s="118"/>
      <c r="G144" s="118"/>
      <c r="H144" s="118"/>
      <c r="I144" s="118"/>
      <c r="J144" s="118"/>
      <c r="K144" s="118"/>
      <c r="L144" s="126"/>
    </row>
    <row r="145" spans="1:12" s="10" customFormat="1" ht="28.5" customHeight="1" x14ac:dyDescent="0.35">
      <c r="A145" s="100" t="s">
        <v>165</v>
      </c>
      <c r="B145" s="2">
        <v>8.35</v>
      </c>
      <c r="C145" s="2" t="s">
        <v>51</v>
      </c>
      <c r="D145" s="2"/>
      <c r="E145" s="25">
        <v>291</v>
      </c>
      <c r="F145" s="17">
        <v>195</v>
      </c>
      <c r="G145" s="17">
        <v>125</v>
      </c>
      <c r="H145" s="17">
        <v>77</v>
      </c>
      <c r="I145" s="17">
        <v>31</v>
      </c>
      <c r="J145" s="17"/>
      <c r="K145" s="17">
        <v>127</v>
      </c>
      <c r="L145" s="57" t="s">
        <v>32</v>
      </c>
    </row>
    <row r="146" spans="1:12" s="10" customFormat="1" ht="28.5" customHeight="1" x14ac:dyDescent="0.35">
      <c r="A146" s="100" t="s">
        <v>166</v>
      </c>
      <c r="B146" s="117" t="s">
        <v>91</v>
      </c>
      <c r="C146" s="118"/>
      <c r="D146" s="118"/>
      <c r="E146" s="118"/>
      <c r="F146" s="118"/>
      <c r="G146" s="118"/>
      <c r="H146" s="118"/>
      <c r="I146" s="118"/>
      <c r="J146" s="118"/>
      <c r="K146" s="118"/>
      <c r="L146" s="126"/>
    </row>
    <row r="147" spans="1:12" s="10" customFormat="1" ht="28.5" customHeight="1" x14ac:dyDescent="0.35">
      <c r="A147" s="100" t="s">
        <v>167</v>
      </c>
      <c r="B147" s="117" t="s">
        <v>91</v>
      </c>
      <c r="C147" s="118"/>
      <c r="D147" s="118"/>
      <c r="E147" s="118"/>
      <c r="F147" s="118"/>
      <c r="G147" s="118"/>
      <c r="H147" s="118"/>
      <c r="I147" s="118"/>
      <c r="J147" s="118"/>
      <c r="K147" s="118"/>
      <c r="L147" s="126"/>
    </row>
    <row r="148" spans="1:12" s="10" customFormat="1" ht="28.5" customHeight="1" x14ac:dyDescent="0.35">
      <c r="A148" s="100" t="s">
        <v>168</v>
      </c>
      <c r="B148" s="117" t="s">
        <v>91</v>
      </c>
      <c r="C148" s="118"/>
      <c r="D148" s="118"/>
      <c r="E148" s="118"/>
      <c r="F148" s="118"/>
      <c r="G148" s="118"/>
      <c r="H148" s="118"/>
      <c r="I148" s="118"/>
      <c r="J148" s="118"/>
      <c r="K148" s="118"/>
      <c r="L148" s="126"/>
    </row>
    <row r="149" spans="1:12" s="10" customFormat="1" ht="28.5" customHeight="1" x14ac:dyDescent="0.35">
      <c r="A149" s="100" t="s">
        <v>169</v>
      </c>
      <c r="B149" s="117" t="s">
        <v>91</v>
      </c>
      <c r="C149" s="118"/>
      <c r="D149" s="118"/>
      <c r="E149" s="118"/>
      <c r="F149" s="118"/>
      <c r="G149" s="118"/>
      <c r="H149" s="118"/>
      <c r="I149" s="118"/>
      <c r="J149" s="118"/>
      <c r="K149" s="118"/>
      <c r="L149" s="126"/>
    </row>
    <row r="150" spans="1:12" s="10" customFormat="1" ht="28.5" customHeight="1" x14ac:dyDescent="0.35">
      <c r="A150" s="100" t="s">
        <v>170</v>
      </c>
      <c r="B150" s="2">
        <v>8.4499999999999993</v>
      </c>
      <c r="C150" s="2" t="s">
        <v>51</v>
      </c>
      <c r="D150" s="2"/>
      <c r="E150" s="25">
        <v>295</v>
      </c>
      <c r="F150" s="17">
        <v>198</v>
      </c>
      <c r="G150" s="17">
        <v>145</v>
      </c>
      <c r="H150" s="17">
        <v>89</v>
      </c>
      <c r="I150" s="17">
        <v>38</v>
      </c>
      <c r="J150" s="17" t="s">
        <v>51</v>
      </c>
      <c r="K150" s="17">
        <v>117</v>
      </c>
      <c r="L150" s="57" t="s">
        <v>51</v>
      </c>
    </row>
    <row r="151" spans="1:12" s="10" customFormat="1" ht="28.5" customHeight="1" x14ac:dyDescent="0.35">
      <c r="A151" s="100" t="s">
        <v>171</v>
      </c>
      <c r="B151" s="2">
        <v>7</v>
      </c>
      <c r="C151" s="2" t="s">
        <v>51</v>
      </c>
      <c r="D151" s="2"/>
      <c r="E151" s="25">
        <v>23</v>
      </c>
      <c r="F151" s="17">
        <v>16</v>
      </c>
      <c r="G151" s="17" t="s">
        <v>32</v>
      </c>
      <c r="H151" s="17" t="s">
        <v>32</v>
      </c>
      <c r="I151" s="17">
        <v>9</v>
      </c>
      <c r="J151" s="17" t="s">
        <v>51</v>
      </c>
      <c r="K151" s="17">
        <v>5</v>
      </c>
      <c r="L151" s="57" t="s">
        <v>51</v>
      </c>
    </row>
    <row r="152" spans="1:12" s="10" customFormat="1" ht="28.5" customHeight="1" x14ac:dyDescent="0.35">
      <c r="A152" s="100" t="s">
        <v>172</v>
      </c>
      <c r="B152" s="2">
        <v>8.4</v>
      </c>
      <c r="C152" s="2" t="s">
        <v>51</v>
      </c>
      <c r="D152" s="2"/>
      <c r="E152" s="25">
        <v>283</v>
      </c>
      <c r="F152" s="17">
        <v>190</v>
      </c>
      <c r="G152" s="17">
        <v>168</v>
      </c>
      <c r="H152" s="17">
        <v>104</v>
      </c>
      <c r="I152" s="17">
        <v>34</v>
      </c>
      <c r="J152" s="17" t="s">
        <v>51</v>
      </c>
      <c r="K152" s="17">
        <v>120</v>
      </c>
      <c r="L152" s="57" t="s">
        <v>51</v>
      </c>
    </row>
    <row r="153" spans="1:12" s="10" customFormat="1" ht="28.5" customHeight="1" thickBot="1" x14ac:dyDescent="0.4">
      <c r="A153" s="111" t="s">
        <v>173</v>
      </c>
      <c r="B153" s="3">
        <v>8.4</v>
      </c>
      <c r="C153" s="3" t="s">
        <v>51</v>
      </c>
      <c r="D153" s="3"/>
      <c r="E153" s="84">
        <v>277</v>
      </c>
      <c r="F153" s="14">
        <v>186</v>
      </c>
      <c r="G153" s="14">
        <v>180</v>
      </c>
      <c r="H153" s="14">
        <v>111</v>
      </c>
      <c r="I153" s="14">
        <v>30</v>
      </c>
      <c r="J153" s="14" t="s">
        <v>51</v>
      </c>
      <c r="K153" s="14">
        <v>127</v>
      </c>
      <c r="L153" s="74" t="s">
        <v>51</v>
      </c>
    </row>
    <row r="154" spans="1:12" s="10" customFormat="1" ht="28.5" customHeight="1" x14ac:dyDescent="0.35">
      <c r="A154" s="110" t="s">
        <v>198</v>
      </c>
      <c r="B154" s="123" t="s">
        <v>91</v>
      </c>
      <c r="C154" s="124"/>
      <c r="D154" s="124"/>
      <c r="E154" s="124"/>
      <c r="F154" s="124"/>
      <c r="G154" s="124"/>
      <c r="H154" s="124"/>
      <c r="I154" s="124"/>
      <c r="J154" s="124"/>
      <c r="K154" s="124"/>
      <c r="L154" s="128"/>
    </row>
    <row r="155" spans="1:12" s="10" customFormat="1" ht="28.5" customHeight="1" x14ac:dyDescent="0.35">
      <c r="A155" s="100" t="s">
        <v>199</v>
      </c>
      <c r="B155" s="2">
        <v>8.5</v>
      </c>
      <c r="C155" s="2" t="s">
        <v>51</v>
      </c>
      <c r="D155" s="2"/>
      <c r="E155" s="17">
        <v>256</v>
      </c>
      <c r="F155" s="17">
        <v>172</v>
      </c>
      <c r="G155" s="2">
        <v>168</v>
      </c>
      <c r="H155" s="2">
        <v>104</v>
      </c>
      <c r="I155" s="17">
        <v>33</v>
      </c>
      <c r="J155" s="17" t="s">
        <v>51</v>
      </c>
      <c r="K155" s="17" t="s">
        <v>51</v>
      </c>
      <c r="L155" s="2" t="s">
        <v>51</v>
      </c>
    </row>
    <row r="156" spans="1:12" s="10" customFormat="1" ht="28.5" customHeight="1" x14ac:dyDescent="0.35">
      <c r="A156" s="100" t="s">
        <v>200</v>
      </c>
      <c r="B156" s="117" t="s">
        <v>91</v>
      </c>
      <c r="C156" s="118"/>
      <c r="D156" s="118"/>
      <c r="E156" s="118"/>
      <c r="F156" s="118"/>
      <c r="G156" s="118"/>
      <c r="H156" s="118"/>
      <c r="I156" s="118"/>
      <c r="J156" s="118"/>
      <c r="K156" s="118"/>
      <c r="L156" s="126"/>
    </row>
    <row r="157" spans="1:12" s="10" customFormat="1" ht="28.5" customHeight="1" x14ac:dyDescent="0.35">
      <c r="A157" s="100" t="s">
        <v>201</v>
      </c>
      <c r="B157" s="2">
        <v>6.8</v>
      </c>
      <c r="C157" s="2" t="s">
        <v>51</v>
      </c>
      <c r="D157" s="2"/>
      <c r="E157" s="2">
        <v>26</v>
      </c>
      <c r="F157" s="2">
        <v>18</v>
      </c>
      <c r="G157" s="2" t="s">
        <v>32</v>
      </c>
      <c r="H157" s="2" t="s">
        <v>32</v>
      </c>
      <c r="I157" s="2">
        <v>7</v>
      </c>
      <c r="J157" s="2"/>
      <c r="K157" s="2">
        <v>4</v>
      </c>
      <c r="L157" s="2"/>
    </row>
    <row r="158" spans="1:12" s="10" customFormat="1" ht="28.5" customHeight="1" x14ac:dyDescent="0.35">
      <c r="A158" s="100" t="s">
        <v>202</v>
      </c>
      <c r="B158" s="117" t="s">
        <v>91</v>
      </c>
      <c r="C158" s="118"/>
      <c r="D158" s="118"/>
      <c r="E158" s="118"/>
      <c r="F158" s="118"/>
      <c r="G158" s="118"/>
      <c r="H158" s="118"/>
      <c r="I158" s="118"/>
      <c r="J158" s="118"/>
      <c r="K158" s="118"/>
      <c r="L158" s="126"/>
    </row>
    <row r="159" spans="1:12" s="10" customFormat="1" ht="28.5" customHeight="1" x14ac:dyDescent="0.35">
      <c r="A159" s="100" t="s">
        <v>203</v>
      </c>
      <c r="B159" s="2">
        <v>6.9</v>
      </c>
      <c r="C159" s="2" t="s">
        <v>51</v>
      </c>
      <c r="D159" s="2"/>
      <c r="E159" s="2">
        <v>22</v>
      </c>
      <c r="F159" s="2">
        <v>15</v>
      </c>
      <c r="G159" s="2" t="s">
        <v>32</v>
      </c>
      <c r="H159" s="2" t="s">
        <v>32</v>
      </c>
      <c r="I159" s="2">
        <v>5</v>
      </c>
      <c r="J159" s="2" t="s">
        <v>51</v>
      </c>
      <c r="K159" s="2">
        <v>6</v>
      </c>
      <c r="L159" s="2"/>
    </row>
    <row r="160" spans="1:12" s="10" customFormat="1" ht="28.5" customHeight="1" x14ac:dyDescent="0.35">
      <c r="A160" s="100" t="s">
        <v>204</v>
      </c>
      <c r="B160" s="117" t="s">
        <v>91</v>
      </c>
      <c r="C160" s="118"/>
      <c r="D160" s="118"/>
      <c r="E160" s="118"/>
      <c r="F160" s="118"/>
      <c r="G160" s="118"/>
      <c r="H160" s="118"/>
      <c r="I160" s="118"/>
      <c r="J160" s="118"/>
      <c r="K160" s="118"/>
      <c r="L160" s="126"/>
    </row>
    <row r="161" spans="1:12" s="10" customFormat="1" ht="28.5" customHeight="1" x14ac:dyDescent="0.35">
      <c r="A161" s="100" t="s">
        <v>205</v>
      </c>
      <c r="B161" s="117" t="s">
        <v>91</v>
      </c>
      <c r="C161" s="118"/>
      <c r="D161" s="118"/>
      <c r="E161" s="118"/>
      <c r="F161" s="118"/>
      <c r="G161" s="118"/>
      <c r="H161" s="118"/>
      <c r="I161" s="118"/>
      <c r="J161" s="118"/>
      <c r="K161" s="118"/>
      <c r="L161" s="126"/>
    </row>
    <row r="162" spans="1:12" s="10" customFormat="1" ht="28.5" customHeight="1" x14ac:dyDescent="0.35">
      <c r="A162" s="100" t="s">
        <v>206</v>
      </c>
      <c r="B162" s="2">
        <v>6.8</v>
      </c>
      <c r="C162" s="2" t="s">
        <v>51</v>
      </c>
      <c r="D162" s="2"/>
      <c r="E162" s="2">
        <v>20</v>
      </c>
      <c r="F162" s="2">
        <v>14</v>
      </c>
      <c r="G162" s="2" t="s">
        <v>32</v>
      </c>
      <c r="H162" s="2" t="s">
        <v>32</v>
      </c>
      <c r="I162" s="2">
        <v>5</v>
      </c>
      <c r="J162" s="2"/>
      <c r="K162" s="2">
        <v>6</v>
      </c>
      <c r="L162" s="2"/>
    </row>
    <row r="163" spans="1:12" s="10" customFormat="1" ht="28.5" customHeight="1" x14ac:dyDescent="0.35">
      <c r="A163" s="100" t="s">
        <v>207</v>
      </c>
      <c r="B163" s="2">
        <v>8.4</v>
      </c>
      <c r="C163" s="63" t="s">
        <v>51</v>
      </c>
      <c r="D163" s="63"/>
      <c r="E163" s="2">
        <v>246</v>
      </c>
      <c r="F163" s="2">
        <v>168</v>
      </c>
      <c r="G163" s="2">
        <v>160</v>
      </c>
      <c r="H163" s="2">
        <v>99</v>
      </c>
      <c r="I163" s="2">
        <v>36</v>
      </c>
      <c r="J163" s="2"/>
      <c r="K163" s="2">
        <v>127</v>
      </c>
      <c r="L163" s="2"/>
    </row>
    <row r="164" spans="1:12" s="10" customFormat="1" ht="28.5" customHeight="1" x14ac:dyDescent="0.35">
      <c r="A164" s="100" t="s">
        <v>208</v>
      </c>
      <c r="B164" s="2">
        <v>8.35</v>
      </c>
      <c r="C164" s="2" t="s">
        <v>51</v>
      </c>
      <c r="D164" s="2"/>
      <c r="E164" s="2">
        <v>284</v>
      </c>
      <c r="F164" s="2">
        <v>190</v>
      </c>
      <c r="G164" s="2">
        <v>152</v>
      </c>
      <c r="H164" s="2">
        <v>90</v>
      </c>
      <c r="I164" s="2">
        <v>39</v>
      </c>
      <c r="J164" s="2"/>
      <c r="K164" s="2">
        <v>122</v>
      </c>
      <c r="L164" s="2"/>
    </row>
    <row r="165" spans="1:12" s="10" customFormat="1" ht="28.5" customHeight="1" x14ac:dyDescent="0.35">
      <c r="A165" s="100" t="s">
        <v>209</v>
      </c>
      <c r="B165" s="2">
        <v>8.5</v>
      </c>
      <c r="C165" s="2" t="s">
        <v>51</v>
      </c>
      <c r="D165" s="2"/>
      <c r="E165" s="2">
        <v>261</v>
      </c>
      <c r="F165" s="2">
        <v>175</v>
      </c>
      <c r="G165" s="2">
        <v>160</v>
      </c>
      <c r="H165" s="2">
        <v>99</v>
      </c>
      <c r="I165" s="2">
        <v>39</v>
      </c>
      <c r="J165" s="2"/>
      <c r="K165" s="2">
        <v>116</v>
      </c>
      <c r="L165" s="2"/>
    </row>
    <row r="166" spans="1:12" s="10" customFormat="1" ht="28.5" customHeight="1" x14ac:dyDescent="0.35">
      <c r="A166" s="100" t="s">
        <v>210</v>
      </c>
      <c r="B166" s="2">
        <v>8.6</v>
      </c>
      <c r="C166" s="2" t="s">
        <v>51</v>
      </c>
      <c r="D166" s="2"/>
      <c r="E166" s="2">
        <v>283</v>
      </c>
      <c r="F166" s="2">
        <v>190</v>
      </c>
      <c r="G166" s="2">
        <v>152</v>
      </c>
      <c r="H166" s="2">
        <v>94</v>
      </c>
      <c r="I166" s="2">
        <v>41</v>
      </c>
      <c r="J166" s="2"/>
      <c r="K166" s="2">
        <v>121</v>
      </c>
      <c r="L166" s="2"/>
    </row>
    <row r="167" spans="1:12" s="10" customFormat="1" ht="28.5" customHeight="1" x14ac:dyDescent="0.35">
      <c r="A167" s="100" t="s">
        <v>211</v>
      </c>
      <c r="B167" s="117" t="s">
        <v>91</v>
      </c>
      <c r="C167" s="118"/>
      <c r="D167" s="118"/>
      <c r="E167" s="118"/>
      <c r="F167" s="118"/>
      <c r="G167" s="118"/>
      <c r="H167" s="118"/>
      <c r="I167" s="118"/>
      <c r="J167" s="118"/>
      <c r="K167" s="118"/>
      <c r="L167" s="126"/>
    </row>
    <row r="168" spans="1:12" s="10" customFormat="1" ht="28.5" customHeight="1" x14ac:dyDescent="0.35">
      <c r="A168" s="100" t="s">
        <v>212</v>
      </c>
      <c r="B168" s="2">
        <v>8.48</v>
      </c>
      <c r="C168" s="2" t="s">
        <v>51</v>
      </c>
      <c r="D168" s="2"/>
      <c r="E168" s="2">
        <v>313</v>
      </c>
      <c r="F168" s="2">
        <v>210</v>
      </c>
      <c r="G168" s="2">
        <v>159</v>
      </c>
      <c r="H168" s="2">
        <v>110</v>
      </c>
      <c r="I168" s="2">
        <v>46</v>
      </c>
      <c r="J168" s="17"/>
      <c r="K168" s="2">
        <v>128</v>
      </c>
      <c r="L168" s="57">
        <v>3</v>
      </c>
    </row>
    <row r="169" spans="1:12" s="10" customFormat="1" ht="28.5" customHeight="1" x14ac:dyDescent="0.35">
      <c r="A169" s="100" t="s">
        <v>213</v>
      </c>
      <c r="B169" s="2">
        <v>6.7</v>
      </c>
      <c r="C169" s="2" t="s">
        <v>51</v>
      </c>
      <c r="D169" s="2"/>
      <c r="E169" s="2">
        <v>23</v>
      </c>
      <c r="F169" s="2">
        <v>16</v>
      </c>
      <c r="G169" s="2" t="s">
        <v>32</v>
      </c>
      <c r="H169" s="2" t="s">
        <v>32</v>
      </c>
      <c r="I169" s="2">
        <v>8</v>
      </c>
      <c r="J169" s="2"/>
      <c r="K169" s="2">
        <v>6</v>
      </c>
      <c r="L169" s="2"/>
    </row>
    <row r="170" spans="1:12" s="10" customFormat="1" ht="28.5" customHeight="1" x14ac:dyDescent="0.35">
      <c r="A170" s="100" t="s">
        <v>214</v>
      </c>
      <c r="B170" s="2">
        <v>7</v>
      </c>
      <c r="C170" s="2" t="s">
        <v>51</v>
      </c>
      <c r="D170" s="2"/>
      <c r="E170" s="2">
        <v>23</v>
      </c>
      <c r="F170" s="2">
        <v>17</v>
      </c>
      <c r="G170" s="2" t="s">
        <v>32</v>
      </c>
      <c r="H170" s="2" t="s">
        <v>32</v>
      </c>
      <c r="I170" s="2">
        <v>8</v>
      </c>
      <c r="J170" s="2"/>
      <c r="K170" s="2">
        <v>5</v>
      </c>
      <c r="L170" s="2"/>
    </row>
    <row r="171" spans="1:12" s="10" customFormat="1" ht="28.5" customHeight="1" x14ac:dyDescent="0.35">
      <c r="A171" s="100" t="s">
        <v>215</v>
      </c>
      <c r="B171" s="117" t="s">
        <v>91</v>
      </c>
      <c r="C171" s="118"/>
      <c r="D171" s="118"/>
      <c r="E171" s="118"/>
      <c r="F171" s="118"/>
      <c r="G171" s="118"/>
      <c r="H171" s="118"/>
      <c r="I171" s="118"/>
      <c r="J171" s="118"/>
      <c r="K171" s="118"/>
      <c r="L171" s="126"/>
    </row>
    <row r="172" spans="1:12" s="10" customFormat="1" ht="28.5" customHeight="1" x14ac:dyDescent="0.35">
      <c r="A172" s="100" t="s">
        <v>216</v>
      </c>
      <c r="B172" s="2">
        <v>8.4</v>
      </c>
      <c r="C172" s="2" t="s">
        <v>51</v>
      </c>
      <c r="D172" s="2"/>
      <c r="E172" s="2">
        <v>283</v>
      </c>
      <c r="F172" s="2">
        <v>190</v>
      </c>
      <c r="G172" s="2">
        <v>152</v>
      </c>
      <c r="H172" s="2">
        <v>106</v>
      </c>
      <c r="I172" s="2">
        <v>40</v>
      </c>
      <c r="J172" s="2"/>
      <c r="K172" s="2">
        <v>130</v>
      </c>
      <c r="L172" s="2"/>
    </row>
    <row r="173" spans="1:12" s="10" customFormat="1" ht="28.5" customHeight="1" x14ac:dyDescent="0.35">
      <c r="A173" s="100" t="s">
        <v>217</v>
      </c>
      <c r="B173" s="2">
        <v>8.5</v>
      </c>
      <c r="C173" s="2" t="s">
        <v>51</v>
      </c>
      <c r="D173" s="2"/>
      <c r="E173" s="2">
        <v>291</v>
      </c>
      <c r="F173" s="2">
        <v>195</v>
      </c>
      <c r="G173" s="2">
        <v>160</v>
      </c>
      <c r="H173" s="2">
        <v>83</v>
      </c>
      <c r="I173" s="2">
        <v>35</v>
      </c>
      <c r="J173" s="2"/>
      <c r="K173" s="2">
        <v>135</v>
      </c>
      <c r="L173" s="2"/>
    </row>
    <row r="174" spans="1:12" s="10" customFormat="1" ht="28.5" customHeight="1" x14ac:dyDescent="0.35">
      <c r="A174" s="100" t="s">
        <v>218</v>
      </c>
      <c r="B174" s="2">
        <v>8.4</v>
      </c>
      <c r="C174" s="2" t="s">
        <v>51</v>
      </c>
      <c r="D174" s="2"/>
      <c r="E174" s="2">
        <v>268</v>
      </c>
      <c r="F174" s="2">
        <v>180</v>
      </c>
      <c r="G174" s="2">
        <v>151</v>
      </c>
      <c r="H174" s="2">
        <v>93</v>
      </c>
      <c r="I174" s="2">
        <v>35</v>
      </c>
      <c r="J174" s="2"/>
      <c r="K174" s="2">
        <v>125</v>
      </c>
      <c r="L174" s="57"/>
    </row>
    <row r="175" spans="1:12" s="10" customFormat="1" ht="28.5" customHeight="1" x14ac:dyDescent="0.35">
      <c r="A175" s="100" t="s">
        <v>219</v>
      </c>
      <c r="B175" s="2">
        <v>8.4</v>
      </c>
      <c r="C175" s="2" t="s">
        <v>51</v>
      </c>
      <c r="D175" s="2"/>
      <c r="E175" s="2">
        <v>256</v>
      </c>
      <c r="F175" s="2">
        <v>172</v>
      </c>
      <c r="G175" s="2">
        <v>116</v>
      </c>
      <c r="H175" s="2">
        <v>72</v>
      </c>
      <c r="I175" s="2">
        <v>25</v>
      </c>
      <c r="J175" s="2"/>
      <c r="K175" s="2">
        <v>150</v>
      </c>
      <c r="L175" s="57">
        <v>2</v>
      </c>
    </row>
    <row r="176" spans="1:12" s="10" customFormat="1" ht="28.5" customHeight="1" x14ac:dyDescent="0.35">
      <c r="A176" s="100" t="s">
        <v>220</v>
      </c>
      <c r="B176" s="2">
        <v>8.35</v>
      </c>
      <c r="C176" s="2" t="s">
        <v>51</v>
      </c>
      <c r="D176" s="2"/>
      <c r="E176" s="2">
        <v>261</v>
      </c>
      <c r="F176" s="2">
        <v>175</v>
      </c>
      <c r="G176" s="2">
        <v>110</v>
      </c>
      <c r="H176" s="2">
        <v>68</v>
      </c>
      <c r="I176" s="2">
        <v>25</v>
      </c>
      <c r="J176" s="2"/>
      <c r="K176" s="2">
        <v>152</v>
      </c>
      <c r="L176" s="57">
        <v>2</v>
      </c>
    </row>
    <row r="177" spans="1:12" s="10" customFormat="1" ht="28.5" customHeight="1" x14ac:dyDescent="0.35">
      <c r="A177" s="100" t="s">
        <v>221</v>
      </c>
      <c r="B177" s="2">
        <v>8.1999999999999993</v>
      </c>
      <c r="C177" s="2" t="s">
        <v>51</v>
      </c>
      <c r="D177" s="2"/>
      <c r="E177" s="2">
        <v>269</v>
      </c>
      <c r="F177" s="2">
        <v>180</v>
      </c>
      <c r="G177" s="2">
        <v>115</v>
      </c>
      <c r="H177" s="2">
        <v>70</v>
      </c>
      <c r="I177" s="2">
        <v>26</v>
      </c>
      <c r="J177" s="2"/>
      <c r="K177" s="2">
        <v>150</v>
      </c>
      <c r="L177" s="57"/>
    </row>
    <row r="178" spans="1:12" s="10" customFormat="1" ht="28.5" customHeight="1" thickBot="1" x14ac:dyDescent="0.4">
      <c r="A178" s="111" t="s">
        <v>222</v>
      </c>
      <c r="B178" s="3">
        <v>8.3000000000000007</v>
      </c>
      <c r="C178" s="3" t="s">
        <v>51</v>
      </c>
      <c r="D178" s="3"/>
      <c r="E178" s="3">
        <v>284</v>
      </c>
      <c r="F178" s="3">
        <v>190</v>
      </c>
      <c r="G178" s="3">
        <v>120</v>
      </c>
      <c r="H178" s="3">
        <v>74</v>
      </c>
      <c r="I178" s="3">
        <v>28</v>
      </c>
      <c r="J178" s="3"/>
      <c r="K178" s="3">
        <v>153</v>
      </c>
      <c r="L178" s="74"/>
    </row>
    <row r="179" spans="1:12" s="10" customFormat="1" ht="28.5" customHeight="1" x14ac:dyDescent="0.35">
      <c r="A179" s="110" t="s">
        <v>248</v>
      </c>
      <c r="B179" s="123" t="s">
        <v>91</v>
      </c>
      <c r="C179" s="124"/>
      <c r="D179" s="124"/>
      <c r="E179" s="124"/>
      <c r="F179" s="124"/>
      <c r="G179" s="124"/>
      <c r="H179" s="124"/>
      <c r="I179" s="124"/>
      <c r="J179" s="124"/>
      <c r="K179" s="124"/>
      <c r="L179" s="128"/>
    </row>
    <row r="180" spans="1:12" s="10" customFormat="1" ht="28.5" customHeight="1" x14ac:dyDescent="0.35">
      <c r="A180" s="100" t="s">
        <v>249</v>
      </c>
      <c r="B180" s="2">
        <v>8.3000000000000007</v>
      </c>
      <c r="C180" s="2" t="s">
        <v>51</v>
      </c>
      <c r="D180" s="2"/>
      <c r="E180" s="17">
        <v>291</v>
      </c>
      <c r="F180" s="17">
        <v>195</v>
      </c>
      <c r="G180" s="2">
        <v>130</v>
      </c>
      <c r="H180" s="2">
        <v>83</v>
      </c>
      <c r="I180" s="2">
        <v>27</v>
      </c>
      <c r="J180" s="17" t="s">
        <v>51</v>
      </c>
      <c r="K180" s="17">
        <v>155</v>
      </c>
      <c r="L180" s="2">
        <v>2</v>
      </c>
    </row>
    <row r="181" spans="1:12" s="10" customFormat="1" ht="28.5" customHeight="1" x14ac:dyDescent="0.35">
      <c r="A181" s="100" t="s">
        <v>250</v>
      </c>
      <c r="B181" s="2">
        <v>8.4</v>
      </c>
      <c r="C181" s="2" t="s">
        <v>51</v>
      </c>
      <c r="D181" s="2"/>
      <c r="E181" s="2">
        <v>284</v>
      </c>
      <c r="F181" s="2">
        <v>190</v>
      </c>
      <c r="G181" s="2">
        <v>140</v>
      </c>
      <c r="H181" s="2">
        <v>90</v>
      </c>
      <c r="I181" s="2">
        <v>29</v>
      </c>
      <c r="J181" s="2" t="s">
        <v>51</v>
      </c>
      <c r="K181" s="2">
        <v>153</v>
      </c>
      <c r="L181" s="2">
        <v>2</v>
      </c>
    </row>
    <row r="182" spans="1:12" s="10" customFormat="1" ht="28.5" customHeight="1" x14ac:dyDescent="0.35">
      <c r="A182" s="100" t="s">
        <v>251</v>
      </c>
      <c r="B182" s="117" t="s">
        <v>91</v>
      </c>
      <c r="C182" s="118"/>
      <c r="D182" s="118"/>
      <c r="E182" s="118"/>
      <c r="F182" s="118"/>
      <c r="G182" s="118"/>
      <c r="H182" s="118"/>
      <c r="I182" s="118"/>
      <c r="J182" s="118"/>
      <c r="K182" s="118"/>
      <c r="L182" s="126"/>
    </row>
    <row r="183" spans="1:12" s="10" customFormat="1" ht="28.5" customHeight="1" x14ac:dyDescent="0.35">
      <c r="A183" s="100" t="s">
        <v>252</v>
      </c>
      <c r="B183" s="117" t="s">
        <v>91</v>
      </c>
      <c r="C183" s="118"/>
      <c r="D183" s="118"/>
      <c r="E183" s="118"/>
      <c r="F183" s="118"/>
      <c r="G183" s="118"/>
      <c r="H183" s="118"/>
      <c r="I183" s="118"/>
      <c r="J183" s="118"/>
      <c r="K183" s="118"/>
      <c r="L183" s="126"/>
    </row>
    <row r="184" spans="1:12" s="10" customFormat="1" ht="28.5" customHeight="1" x14ac:dyDescent="0.35">
      <c r="A184" s="100" t="s">
        <v>253</v>
      </c>
      <c r="B184" s="2">
        <v>8.3000000000000007</v>
      </c>
      <c r="C184" s="2" t="s">
        <v>51</v>
      </c>
      <c r="D184" s="2"/>
      <c r="E184" s="2">
        <v>291</v>
      </c>
      <c r="F184" s="2">
        <v>195</v>
      </c>
      <c r="G184" s="2">
        <v>148</v>
      </c>
      <c r="H184" s="2">
        <v>91</v>
      </c>
      <c r="I184" s="2">
        <v>27</v>
      </c>
      <c r="J184" s="2" t="s">
        <v>51</v>
      </c>
      <c r="K184" s="2">
        <v>150</v>
      </c>
      <c r="L184" s="2">
        <v>2</v>
      </c>
    </row>
    <row r="185" spans="1:12" s="10" customFormat="1" ht="28.5" customHeight="1" x14ac:dyDescent="0.35">
      <c r="A185" s="100" t="s">
        <v>254</v>
      </c>
      <c r="B185" s="2">
        <v>8.4</v>
      </c>
      <c r="C185" s="2" t="s">
        <v>51</v>
      </c>
      <c r="D185" s="2"/>
      <c r="E185" s="2">
        <v>268</v>
      </c>
      <c r="F185" s="2">
        <v>180</v>
      </c>
      <c r="G185" s="2">
        <v>137</v>
      </c>
      <c r="H185" s="2">
        <v>84</v>
      </c>
      <c r="I185" s="2">
        <v>24</v>
      </c>
      <c r="J185" s="2" t="s">
        <v>51</v>
      </c>
      <c r="K185" s="2">
        <v>139</v>
      </c>
      <c r="L185" s="2">
        <v>2</v>
      </c>
    </row>
    <row r="186" spans="1:12" s="10" customFormat="1" ht="28.5" customHeight="1" x14ac:dyDescent="0.35">
      <c r="A186" s="100" t="s">
        <v>255</v>
      </c>
      <c r="B186" s="2">
        <v>8.5</v>
      </c>
      <c r="C186" s="2" t="s">
        <v>51</v>
      </c>
      <c r="D186" s="2"/>
      <c r="E186" s="2">
        <v>279</v>
      </c>
      <c r="F186" s="2">
        <v>187</v>
      </c>
      <c r="G186" s="2">
        <v>142</v>
      </c>
      <c r="H186" s="2">
        <v>88</v>
      </c>
      <c r="I186" s="2">
        <v>27</v>
      </c>
      <c r="J186" s="2" t="s">
        <v>51</v>
      </c>
      <c r="K186" s="2">
        <v>135</v>
      </c>
      <c r="L186" s="2">
        <v>2</v>
      </c>
    </row>
    <row r="187" spans="1:12" s="10" customFormat="1" ht="28.5" customHeight="1" x14ac:dyDescent="0.35">
      <c r="A187" s="100" t="s">
        <v>256</v>
      </c>
      <c r="B187" s="2">
        <v>8.1999999999999993</v>
      </c>
      <c r="C187" s="2" t="s">
        <v>51</v>
      </c>
      <c r="D187" s="2"/>
      <c r="E187" s="2">
        <v>261</v>
      </c>
      <c r="F187" s="2">
        <v>175</v>
      </c>
      <c r="G187" s="2">
        <v>137</v>
      </c>
      <c r="H187" s="2">
        <v>84</v>
      </c>
      <c r="I187" s="2">
        <v>24</v>
      </c>
      <c r="J187" s="2" t="s">
        <v>51</v>
      </c>
      <c r="K187" s="2">
        <v>131</v>
      </c>
      <c r="L187" s="2" t="s">
        <v>32</v>
      </c>
    </row>
    <row r="188" spans="1:12" s="10" customFormat="1" ht="28.5" customHeight="1" x14ac:dyDescent="0.35">
      <c r="A188" s="100" t="s">
        <v>257</v>
      </c>
      <c r="B188" s="117" t="s">
        <v>91</v>
      </c>
      <c r="C188" s="118"/>
      <c r="D188" s="118"/>
      <c r="E188" s="118"/>
      <c r="F188" s="118"/>
      <c r="G188" s="118"/>
      <c r="H188" s="118"/>
      <c r="I188" s="118"/>
      <c r="J188" s="118"/>
      <c r="K188" s="118"/>
      <c r="L188" s="126"/>
    </row>
    <row r="189" spans="1:12" s="10" customFormat="1" ht="28.5" customHeight="1" x14ac:dyDescent="0.35">
      <c r="A189" s="100" t="s">
        <v>258</v>
      </c>
      <c r="B189" s="2">
        <v>8.4</v>
      </c>
      <c r="C189" s="2" t="s">
        <v>51</v>
      </c>
      <c r="D189" s="2"/>
      <c r="E189" s="2">
        <v>244</v>
      </c>
      <c r="F189" s="2">
        <v>164</v>
      </c>
      <c r="G189" s="2">
        <v>8.4</v>
      </c>
      <c r="H189" s="2">
        <v>88</v>
      </c>
      <c r="I189" s="2">
        <v>24</v>
      </c>
      <c r="J189" s="2" t="s">
        <v>51</v>
      </c>
      <c r="K189" s="2">
        <v>126</v>
      </c>
      <c r="L189" s="2">
        <v>2</v>
      </c>
    </row>
    <row r="190" spans="1:12" s="10" customFormat="1" ht="28.5" customHeight="1" x14ac:dyDescent="0.35">
      <c r="A190" s="100" t="s">
        <v>259</v>
      </c>
      <c r="B190" s="2">
        <v>7</v>
      </c>
      <c r="C190" s="2" t="s">
        <v>51</v>
      </c>
      <c r="D190" s="2"/>
      <c r="E190" s="2">
        <v>28</v>
      </c>
      <c r="F190" s="2">
        <v>19</v>
      </c>
      <c r="G190" s="2" t="s">
        <v>32</v>
      </c>
      <c r="H190" s="2" t="s">
        <v>32</v>
      </c>
      <c r="I190" s="2">
        <v>8</v>
      </c>
      <c r="J190" s="2" t="s">
        <v>51</v>
      </c>
      <c r="K190" s="2">
        <v>14</v>
      </c>
      <c r="L190" s="2" t="s">
        <v>32</v>
      </c>
    </row>
    <row r="191" spans="1:12" s="10" customFormat="1" ht="28.5" customHeight="1" x14ac:dyDescent="0.35">
      <c r="A191" s="100" t="s">
        <v>260</v>
      </c>
      <c r="B191" s="2">
        <v>7</v>
      </c>
      <c r="C191" s="2" t="s">
        <v>51</v>
      </c>
      <c r="D191" s="2"/>
      <c r="E191" s="2">
        <v>44</v>
      </c>
      <c r="F191" s="2">
        <v>30</v>
      </c>
      <c r="G191" s="2" t="s">
        <v>32</v>
      </c>
      <c r="H191" s="2" t="s">
        <v>32</v>
      </c>
      <c r="I191" s="2">
        <v>7</v>
      </c>
      <c r="J191" s="2" t="s">
        <v>51</v>
      </c>
      <c r="K191" s="2">
        <v>16</v>
      </c>
      <c r="L191" s="2" t="s">
        <v>32</v>
      </c>
    </row>
    <row r="192" spans="1:12" s="10" customFormat="1" ht="28.5" customHeight="1" x14ac:dyDescent="0.35">
      <c r="A192" s="100" t="s">
        <v>261</v>
      </c>
      <c r="B192" s="2">
        <v>6.9</v>
      </c>
      <c r="C192" s="2" t="s">
        <v>51</v>
      </c>
      <c r="D192" s="2"/>
      <c r="E192" s="2">
        <v>32</v>
      </c>
      <c r="F192" s="2">
        <v>22</v>
      </c>
      <c r="G192" s="2" t="s">
        <v>32</v>
      </c>
      <c r="H192" s="2" t="s">
        <v>32</v>
      </c>
      <c r="I192" s="2">
        <v>6</v>
      </c>
      <c r="J192" s="2" t="s">
        <v>51</v>
      </c>
      <c r="K192" s="2">
        <v>13</v>
      </c>
      <c r="L192" s="2" t="s">
        <v>32</v>
      </c>
    </row>
    <row r="193" spans="1:12" s="10" customFormat="1" ht="28.5" customHeight="1" x14ac:dyDescent="0.35">
      <c r="A193" s="100" t="s">
        <v>262</v>
      </c>
      <c r="B193" s="117" t="s">
        <v>91</v>
      </c>
      <c r="C193" s="118"/>
      <c r="D193" s="118"/>
      <c r="E193" s="118"/>
      <c r="F193" s="118"/>
      <c r="G193" s="118"/>
      <c r="H193" s="118"/>
      <c r="I193" s="118"/>
      <c r="J193" s="118"/>
      <c r="K193" s="118"/>
      <c r="L193" s="126"/>
    </row>
    <row r="194" spans="1:12" s="10" customFormat="1" ht="28.5" customHeight="1" x14ac:dyDescent="0.35">
      <c r="A194" s="100" t="s">
        <v>263</v>
      </c>
      <c r="B194" s="2">
        <v>8.4</v>
      </c>
      <c r="C194" s="2" t="s">
        <v>51</v>
      </c>
      <c r="D194" s="2"/>
      <c r="E194" s="2">
        <v>238</v>
      </c>
      <c r="F194" s="2">
        <v>160</v>
      </c>
      <c r="G194" s="2">
        <v>100</v>
      </c>
      <c r="H194" s="2">
        <v>75</v>
      </c>
      <c r="I194" s="2">
        <v>25</v>
      </c>
      <c r="J194" s="2" t="s">
        <v>51</v>
      </c>
      <c r="K194" s="2">
        <v>117</v>
      </c>
      <c r="L194" s="2">
        <v>3</v>
      </c>
    </row>
    <row r="195" spans="1:12" s="10" customFormat="1" ht="28.5" customHeight="1" x14ac:dyDescent="0.35">
      <c r="A195" s="100" t="s">
        <v>264</v>
      </c>
      <c r="B195" s="2">
        <v>8</v>
      </c>
      <c r="C195" s="2" t="s">
        <v>51</v>
      </c>
      <c r="D195" s="2"/>
      <c r="E195" s="2">
        <v>261</v>
      </c>
      <c r="F195" s="2">
        <v>175</v>
      </c>
      <c r="G195" s="2">
        <v>110</v>
      </c>
      <c r="H195" s="2">
        <v>80</v>
      </c>
      <c r="I195" s="2">
        <v>24</v>
      </c>
      <c r="J195" s="2" t="s">
        <v>51</v>
      </c>
      <c r="K195" s="2">
        <v>122</v>
      </c>
      <c r="L195" s="2" t="s">
        <v>32</v>
      </c>
    </row>
    <row r="196" spans="1:12" s="10" customFormat="1" ht="28.5" customHeight="1" x14ac:dyDescent="0.35">
      <c r="A196" s="100" t="s">
        <v>265</v>
      </c>
      <c r="B196" s="2">
        <v>7</v>
      </c>
      <c r="C196" s="2" t="s">
        <v>51</v>
      </c>
      <c r="D196" s="2"/>
      <c r="E196" s="2">
        <v>40</v>
      </c>
      <c r="F196" s="2">
        <v>27</v>
      </c>
      <c r="G196" s="2" t="s">
        <v>32</v>
      </c>
      <c r="H196" s="2" t="s">
        <v>32</v>
      </c>
      <c r="I196" s="2">
        <v>9</v>
      </c>
      <c r="J196" s="2" t="s">
        <v>51</v>
      </c>
      <c r="K196" s="2">
        <v>11</v>
      </c>
      <c r="L196" s="2" t="s">
        <v>32</v>
      </c>
    </row>
    <row r="197" spans="1:12" s="10" customFormat="1" ht="28.5" customHeight="1" x14ac:dyDescent="0.35">
      <c r="A197" s="100" t="s">
        <v>266</v>
      </c>
      <c r="B197" s="2">
        <v>7</v>
      </c>
      <c r="C197" s="2" t="s">
        <v>51</v>
      </c>
      <c r="D197" s="2"/>
      <c r="E197" s="2">
        <v>35</v>
      </c>
      <c r="F197" s="2">
        <v>24</v>
      </c>
      <c r="G197" s="2" t="s">
        <v>32</v>
      </c>
      <c r="H197" s="2" t="s">
        <v>32</v>
      </c>
      <c r="I197" s="2">
        <v>7</v>
      </c>
      <c r="J197" s="2" t="s">
        <v>51</v>
      </c>
      <c r="K197" s="2">
        <v>13</v>
      </c>
      <c r="L197" s="2" t="s">
        <v>51</v>
      </c>
    </row>
    <row r="198" spans="1:12" s="10" customFormat="1" ht="28.5" customHeight="1" x14ac:dyDescent="0.35">
      <c r="A198" s="100" t="s">
        <v>267</v>
      </c>
      <c r="B198" s="2">
        <v>8.4</v>
      </c>
      <c r="C198" s="2" t="s">
        <v>51</v>
      </c>
      <c r="D198" s="2"/>
      <c r="E198" s="2">
        <v>269</v>
      </c>
      <c r="F198" s="2">
        <v>180</v>
      </c>
      <c r="G198" s="2">
        <v>100</v>
      </c>
      <c r="H198" s="2">
        <v>70</v>
      </c>
      <c r="I198" s="2">
        <v>25</v>
      </c>
      <c r="J198" s="2" t="s">
        <v>51</v>
      </c>
      <c r="K198" s="2">
        <v>139</v>
      </c>
      <c r="L198" s="2">
        <v>2</v>
      </c>
    </row>
    <row r="199" spans="1:12" s="10" customFormat="1" ht="28.5" customHeight="1" x14ac:dyDescent="0.35">
      <c r="A199" s="100" t="s">
        <v>268</v>
      </c>
      <c r="B199" s="2">
        <v>8.5</v>
      </c>
      <c r="C199" s="2" t="s">
        <v>51</v>
      </c>
      <c r="D199" s="2"/>
      <c r="E199" s="2">
        <v>255</v>
      </c>
      <c r="F199" s="2">
        <v>171</v>
      </c>
      <c r="G199" s="2">
        <v>110</v>
      </c>
      <c r="H199" s="2">
        <v>68</v>
      </c>
      <c r="I199" s="2">
        <v>27</v>
      </c>
      <c r="J199" s="2" t="s">
        <v>51</v>
      </c>
      <c r="K199" s="2">
        <v>135</v>
      </c>
      <c r="L199" s="2">
        <v>2</v>
      </c>
    </row>
    <row r="200" spans="1:12" s="10" customFormat="1" ht="28.5" customHeight="1" x14ac:dyDescent="0.35">
      <c r="A200" s="100" t="s">
        <v>269</v>
      </c>
      <c r="B200" s="2">
        <v>8.5</v>
      </c>
      <c r="C200" s="2" t="s">
        <v>51</v>
      </c>
      <c r="D200" s="2"/>
      <c r="E200" s="2">
        <v>244</v>
      </c>
      <c r="F200" s="2">
        <v>164</v>
      </c>
      <c r="G200" s="2">
        <v>116</v>
      </c>
      <c r="H200" s="2">
        <v>71</v>
      </c>
      <c r="I200" s="2">
        <v>25</v>
      </c>
      <c r="J200" s="2" t="s">
        <v>51</v>
      </c>
      <c r="K200" s="2">
        <v>129</v>
      </c>
      <c r="L200" s="2">
        <v>2</v>
      </c>
    </row>
    <row r="201" spans="1:12" s="10" customFormat="1" ht="28.5" customHeight="1" x14ac:dyDescent="0.35">
      <c r="A201" s="100" t="s">
        <v>270</v>
      </c>
      <c r="B201" s="117" t="s">
        <v>91</v>
      </c>
      <c r="C201" s="118"/>
      <c r="D201" s="118"/>
      <c r="E201" s="118"/>
      <c r="F201" s="118"/>
      <c r="G201" s="118"/>
      <c r="H201" s="118"/>
      <c r="I201" s="118"/>
      <c r="J201" s="118"/>
      <c r="K201" s="118"/>
      <c r="L201" s="126"/>
    </row>
    <row r="202" spans="1:12" s="10" customFormat="1" ht="28.5" customHeight="1" x14ac:dyDescent="0.35">
      <c r="A202" s="100" t="s">
        <v>271</v>
      </c>
      <c r="B202" s="2">
        <v>8.5</v>
      </c>
      <c r="C202" s="2" t="s">
        <v>51</v>
      </c>
      <c r="D202" s="2"/>
      <c r="E202" s="2">
        <v>238</v>
      </c>
      <c r="F202" s="2">
        <v>160</v>
      </c>
      <c r="G202" s="2">
        <v>121</v>
      </c>
      <c r="H202" s="2">
        <v>75</v>
      </c>
      <c r="I202" s="2">
        <v>21</v>
      </c>
      <c r="J202" s="2" t="s">
        <v>51</v>
      </c>
      <c r="K202" s="2">
        <v>122</v>
      </c>
      <c r="L202" s="2">
        <v>3</v>
      </c>
    </row>
    <row r="203" spans="1:12" s="10" customFormat="1" ht="28.5" customHeight="1" x14ac:dyDescent="0.35">
      <c r="A203" s="100" t="s">
        <v>272</v>
      </c>
      <c r="B203" s="2">
        <v>8.5</v>
      </c>
      <c r="C203" s="2" t="s">
        <v>51</v>
      </c>
      <c r="D203" s="2"/>
      <c r="E203" s="2">
        <v>255</v>
      </c>
      <c r="F203" s="2">
        <v>171</v>
      </c>
      <c r="G203" s="2">
        <v>116</v>
      </c>
      <c r="H203" s="2"/>
      <c r="I203" s="2">
        <v>26</v>
      </c>
      <c r="J203" s="2" t="s">
        <v>51</v>
      </c>
      <c r="K203" s="2">
        <v>117</v>
      </c>
      <c r="L203" s="2">
        <v>3</v>
      </c>
    </row>
    <row r="204" spans="1:12" s="10" customFormat="1" ht="28.5" customHeight="1" thickBot="1" x14ac:dyDescent="0.4">
      <c r="A204" s="111" t="s">
        <v>273</v>
      </c>
      <c r="B204" s="3">
        <v>7</v>
      </c>
      <c r="C204" s="3" t="s">
        <v>51</v>
      </c>
      <c r="D204" s="3"/>
      <c r="E204" s="3">
        <v>37</v>
      </c>
      <c r="F204" s="3">
        <v>25</v>
      </c>
      <c r="G204" s="3" t="s">
        <v>32</v>
      </c>
      <c r="H204" s="3" t="s">
        <v>32</v>
      </c>
      <c r="I204" s="3">
        <v>7</v>
      </c>
      <c r="J204" s="3" t="s">
        <v>51</v>
      </c>
      <c r="K204" s="3">
        <v>13</v>
      </c>
      <c r="L204" s="3" t="s">
        <v>32</v>
      </c>
    </row>
    <row r="205" spans="1:12" s="10" customFormat="1" ht="28.5" customHeight="1" x14ac:dyDescent="0.35">
      <c r="A205" s="110" t="s">
        <v>300</v>
      </c>
      <c r="B205" s="112">
        <v>8.4</v>
      </c>
      <c r="C205" s="112" t="s">
        <v>51</v>
      </c>
      <c r="D205" s="112"/>
      <c r="E205" s="112">
        <v>241</v>
      </c>
      <c r="F205" s="112">
        <v>162</v>
      </c>
      <c r="G205" s="112">
        <v>121</v>
      </c>
      <c r="H205" s="112">
        <v>75</v>
      </c>
      <c r="I205" s="112">
        <v>22</v>
      </c>
      <c r="J205" s="112" t="s">
        <v>51</v>
      </c>
      <c r="K205" s="112">
        <v>115</v>
      </c>
      <c r="L205" s="112">
        <v>2</v>
      </c>
    </row>
    <row r="206" spans="1:12" s="10" customFormat="1" ht="28.5" customHeight="1" x14ac:dyDescent="0.35">
      <c r="A206" s="100" t="s">
        <v>301</v>
      </c>
      <c r="B206" s="2">
        <v>7.2</v>
      </c>
      <c r="C206" s="2" t="s">
        <v>51</v>
      </c>
      <c r="D206" s="2"/>
      <c r="E206" s="2">
        <v>82</v>
      </c>
      <c r="F206" s="2">
        <v>55</v>
      </c>
      <c r="G206" s="2" t="s">
        <v>32</v>
      </c>
      <c r="H206" s="2" t="s">
        <v>32</v>
      </c>
      <c r="I206" s="2">
        <v>32</v>
      </c>
      <c r="J206" s="2" t="s">
        <v>51</v>
      </c>
      <c r="K206" s="2">
        <v>16</v>
      </c>
      <c r="L206" s="2" t="s">
        <v>32</v>
      </c>
    </row>
    <row r="207" spans="1:12" s="10" customFormat="1" ht="28.5" customHeight="1" x14ac:dyDescent="0.35">
      <c r="A207" s="100" t="s">
        <v>302</v>
      </c>
      <c r="B207" s="2">
        <v>8.4</v>
      </c>
      <c r="C207" s="2" t="s">
        <v>51</v>
      </c>
      <c r="D207" s="2"/>
      <c r="E207" s="2">
        <v>250</v>
      </c>
      <c r="F207" s="2">
        <v>170</v>
      </c>
      <c r="G207" s="2">
        <v>110</v>
      </c>
      <c r="H207" s="2">
        <v>70</v>
      </c>
      <c r="I207" s="2">
        <v>24</v>
      </c>
      <c r="J207" s="2" t="s">
        <v>51</v>
      </c>
      <c r="K207" s="2">
        <v>120</v>
      </c>
      <c r="L207" s="2">
        <v>2</v>
      </c>
    </row>
    <row r="208" spans="1:12" s="10" customFormat="1" ht="28.5" customHeight="1" x14ac:dyDescent="0.35">
      <c r="A208" s="100" t="s">
        <v>303</v>
      </c>
      <c r="B208" s="2">
        <v>7.1</v>
      </c>
      <c r="C208" s="2" t="s">
        <v>51</v>
      </c>
      <c r="D208" s="2"/>
      <c r="E208" s="2">
        <v>76</v>
      </c>
      <c r="F208" s="2">
        <v>51</v>
      </c>
      <c r="G208" s="2" t="s">
        <v>32</v>
      </c>
      <c r="H208" s="2" t="s">
        <v>32</v>
      </c>
      <c r="I208" s="2">
        <v>28</v>
      </c>
      <c r="J208" s="2" t="s">
        <v>51</v>
      </c>
      <c r="K208" s="2">
        <v>14</v>
      </c>
      <c r="L208" s="2" t="s">
        <v>32</v>
      </c>
    </row>
    <row r="209" spans="1:12" s="10" customFormat="1" ht="28.5" customHeight="1" x14ac:dyDescent="0.35">
      <c r="A209" s="100" t="s">
        <v>304</v>
      </c>
      <c r="B209" s="2">
        <v>7.5</v>
      </c>
      <c r="C209" s="2" t="s">
        <v>51</v>
      </c>
      <c r="D209" s="2"/>
      <c r="E209" s="2">
        <v>84</v>
      </c>
      <c r="F209" s="2">
        <v>56</v>
      </c>
      <c r="G209" s="2" t="s">
        <v>32</v>
      </c>
      <c r="H209" s="2" t="s">
        <v>32</v>
      </c>
      <c r="I209" s="2">
        <v>25</v>
      </c>
      <c r="J209" s="2" t="s">
        <v>51</v>
      </c>
      <c r="K209" s="2">
        <v>17</v>
      </c>
      <c r="L209" s="2" t="s">
        <v>32</v>
      </c>
    </row>
    <row r="210" spans="1:12" s="10" customFormat="1" ht="28.5" customHeight="1" x14ac:dyDescent="0.35">
      <c r="A210" s="100" t="s">
        <v>305</v>
      </c>
      <c r="B210" s="2">
        <v>7.4</v>
      </c>
      <c r="C210" s="2" t="s">
        <v>51</v>
      </c>
      <c r="D210" s="2"/>
      <c r="E210" s="2">
        <v>74</v>
      </c>
      <c r="F210" s="2">
        <v>50</v>
      </c>
      <c r="G210" s="2" t="s">
        <v>32</v>
      </c>
      <c r="H210" s="2" t="s">
        <v>32</v>
      </c>
      <c r="I210" s="2">
        <v>22</v>
      </c>
      <c r="J210" s="2" t="s">
        <v>51</v>
      </c>
      <c r="K210" s="2">
        <v>16</v>
      </c>
      <c r="L210" s="2" t="s">
        <v>32</v>
      </c>
    </row>
    <row r="211" spans="1:12" s="10" customFormat="1" ht="28.5" customHeight="1" x14ac:dyDescent="0.35">
      <c r="A211" s="100" t="s">
        <v>306</v>
      </c>
      <c r="B211" s="2">
        <v>7</v>
      </c>
      <c r="C211" s="2" t="s">
        <v>51</v>
      </c>
      <c r="D211" s="2"/>
      <c r="E211" s="2">
        <v>123</v>
      </c>
      <c r="F211" s="2">
        <v>83</v>
      </c>
      <c r="G211" s="2" t="s">
        <v>32</v>
      </c>
      <c r="H211" s="2" t="s">
        <v>32</v>
      </c>
      <c r="I211" s="2">
        <v>28</v>
      </c>
      <c r="J211" s="2" t="s">
        <v>51</v>
      </c>
      <c r="K211" s="2">
        <v>16</v>
      </c>
      <c r="L211" s="2" t="s">
        <v>32</v>
      </c>
    </row>
    <row r="212" spans="1:12" s="10" customFormat="1" ht="28.5" customHeight="1" x14ac:dyDescent="0.35">
      <c r="A212" s="100" t="s">
        <v>307</v>
      </c>
      <c r="B212" s="117" t="s">
        <v>308</v>
      </c>
      <c r="C212" s="118"/>
      <c r="D212" s="118"/>
      <c r="E212" s="118"/>
      <c r="F212" s="118"/>
      <c r="G212" s="118"/>
      <c r="H212" s="118"/>
      <c r="I212" s="118"/>
      <c r="J212" s="118"/>
      <c r="K212" s="118"/>
      <c r="L212" s="126"/>
    </row>
    <row r="213" spans="1:12" s="10" customFormat="1" ht="28.5" customHeight="1" x14ac:dyDescent="0.35">
      <c r="A213" s="100" t="s">
        <v>309</v>
      </c>
      <c r="B213" s="2">
        <v>8.3000000000000007</v>
      </c>
      <c r="C213" s="2" t="s">
        <v>51</v>
      </c>
      <c r="D213" s="2"/>
      <c r="E213" s="2">
        <v>232</v>
      </c>
      <c r="F213" s="2">
        <v>155</v>
      </c>
      <c r="G213" s="2">
        <v>120</v>
      </c>
      <c r="H213" s="2">
        <v>74</v>
      </c>
      <c r="I213" s="2">
        <v>25</v>
      </c>
      <c r="J213" s="2" t="s">
        <v>51</v>
      </c>
      <c r="K213" s="2">
        <v>110</v>
      </c>
      <c r="L213" s="2">
        <v>2</v>
      </c>
    </row>
    <row r="214" spans="1:12" s="10" customFormat="1" ht="28.5" customHeight="1" x14ac:dyDescent="0.35">
      <c r="A214" s="100" t="s">
        <v>310</v>
      </c>
      <c r="B214" s="2">
        <v>7.2</v>
      </c>
      <c r="C214" s="2" t="s">
        <v>51</v>
      </c>
      <c r="D214" s="2"/>
      <c r="E214" s="2">
        <v>116</v>
      </c>
      <c r="F214" s="2">
        <v>78</v>
      </c>
      <c r="G214" s="2" t="s">
        <v>32</v>
      </c>
      <c r="H214" s="2" t="s">
        <v>32</v>
      </c>
      <c r="I214" s="2">
        <v>34</v>
      </c>
      <c r="J214" s="2" t="s">
        <v>51</v>
      </c>
      <c r="K214" s="2">
        <v>13</v>
      </c>
      <c r="L214" s="2" t="s">
        <v>32</v>
      </c>
    </row>
    <row r="215" spans="1:12" s="10" customFormat="1" ht="28.5" customHeight="1" x14ac:dyDescent="0.35">
      <c r="A215" s="100" t="s">
        <v>311</v>
      </c>
      <c r="B215" s="2">
        <v>8.35</v>
      </c>
      <c r="C215" s="2" t="s">
        <v>51</v>
      </c>
      <c r="D215" s="2"/>
      <c r="E215" s="2">
        <v>250</v>
      </c>
      <c r="F215" s="2">
        <v>168</v>
      </c>
      <c r="G215" s="2">
        <v>115</v>
      </c>
      <c r="H215" s="2">
        <v>80</v>
      </c>
      <c r="I215" s="2">
        <v>23</v>
      </c>
      <c r="J215" s="2" t="s">
        <v>51</v>
      </c>
      <c r="K215" s="2">
        <v>120</v>
      </c>
      <c r="L215" s="2">
        <v>2</v>
      </c>
    </row>
    <row r="216" spans="1:12" s="10" customFormat="1" ht="28.5" customHeight="1" x14ac:dyDescent="0.35">
      <c r="A216" s="100" t="s">
        <v>312</v>
      </c>
      <c r="B216" s="2">
        <v>7.35</v>
      </c>
      <c r="C216" s="2" t="s">
        <v>51</v>
      </c>
      <c r="D216" s="2"/>
      <c r="E216" s="2">
        <v>111</v>
      </c>
      <c r="F216" s="2">
        <v>75</v>
      </c>
      <c r="G216" s="2" t="s">
        <v>32</v>
      </c>
      <c r="H216" s="2" t="s">
        <v>32</v>
      </c>
      <c r="I216" s="2">
        <v>29</v>
      </c>
      <c r="J216" s="2" t="s">
        <v>51</v>
      </c>
      <c r="K216" s="2">
        <v>15</v>
      </c>
      <c r="L216" s="2" t="s">
        <v>32</v>
      </c>
    </row>
    <row r="217" spans="1:12" s="10" customFormat="1" ht="28.5" customHeight="1" x14ac:dyDescent="0.35">
      <c r="A217" s="100" t="s">
        <v>313</v>
      </c>
      <c r="B217" s="2">
        <v>8.3000000000000007</v>
      </c>
      <c r="C217" s="2" t="s">
        <v>51</v>
      </c>
      <c r="D217" s="2"/>
      <c r="E217" s="2">
        <v>240</v>
      </c>
      <c r="F217" s="2">
        <v>160</v>
      </c>
      <c r="G217" s="2">
        <v>110</v>
      </c>
      <c r="H217" s="2">
        <v>68</v>
      </c>
      <c r="I217" s="2">
        <v>25</v>
      </c>
      <c r="J217" s="2" t="s">
        <v>51</v>
      </c>
      <c r="K217" s="2">
        <v>125</v>
      </c>
      <c r="L217" s="2">
        <v>2</v>
      </c>
    </row>
    <row r="218" spans="1:12" s="10" customFormat="1" ht="28.5" customHeight="1" x14ac:dyDescent="0.35">
      <c r="A218" s="100" t="s">
        <v>314</v>
      </c>
      <c r="B218" s="2">
        <v>8.35</v>
      </c>
      <c r="C218" s="2" t="s">
        <v>51</v>
      </c>
      <c r="D218" s="2"/>
      <c r="E218" s="2">
        <v>254</v>
      </c>
      <c r="F218" s="2">
        <v>170</v>
      </c>
      <c r="G218" s="2">
        <v>105</v>
      </c>
      <c r="H218" s="2">
        <v>63</v>
      </c>
      <c r="I218" s="2">
        <v>20</v>
      </c>
      <c r="J218" s="2" t="s">
        <v>51</v>
      </c>
      <c r="K218" s="2">
        <v>129</v>
      </c>
      <c r="L218" s="2">
        <v>2</v>
      </c>
    </row>
    <row r="219" spans="1:12" s="10" customFormat="1" ht="28.5" customHeight="1" x14ac:dyDescent="0.35">
      <c r="A219" s="100" t="s">
        <v>315</v>
      </c>
      <c r="B219" s="117" t="s">
        <v>308</v>
      </c>
      <c r="C219" s="118"/>
      <c r="D219" s="118"/>
      <c r="E219" s="118"/>
      <c r="F219" s="118"/>
      <c r="G219" s="118"/>
      <c r="H219" s="118"/>
      <c r="I219" s="118"/>
      <c r="J219" s="118"/>
      <c r="K219" s="118"/>
      <c r="L219" s="126"/>
    </row>
    <row r="220" spans="1:12" s="10" customFormat="1" ht="28.5" customHeight="1" x14ac:dyDescent="0.35">
      <c r="A220" s="100" t="s">
        <v>316</v>
      </c>
      <c r="B220" s="2">
        <v>7.6</v>
      </c>
      <c r="C220" s="2" t="s">
        <v>51</v>
      </c>
      <c r="D220" s="2"/>
      <c r="E220" s="2">
        <v>158</v>
      </c>
      <c r="F220" s="2">
        <v>105</v>
      </c>
      <c r="G220" s="2" t="s">
        <v>32</v>
      </c>
      <c r="H220" s="2" t="s">
        <v>32</v>
      </c>
      <c r="I220" s="2">
        <v>34</v>
      </c>
      <c r="J220" s="2" t="s">
        <v>51</v>
      </c>
      <c r="K220" s="2">
        <v>17</v>
      </c>
      <c r="L220" s="2" t="s">
        <v>32</v>
      </c>
    </row>
    <row r="221" spans="1:12" s="10" customFormat="1" ht="28.5" customHeight="1" x14ac:dyDescent="0.35">
      <c r="A221" s="100" t="s">
        <v>317</v>
      </c>
      <c r="B221" s="2">
        <v>7.4</v>
      </c>
      <c r="C221" s="2" t="s">
        <v>51</v>
      </c>
      <c r="D221" s="2"/>
      <c r="E221" s="2">
        <v>146</v>
      </c>
      <c r="F221" s="2">
        <v>98</v>
      </c>
      <c r="G221" s="2" t="s">
        <v>32</v>
      </c>
      <c r="H221" s="2" t="s">
        <v>32</v>
      </c>
      <c r="I221" s="2">
        <v>30</v>
      </c>
      <c r="J221" s="2" t="s">
        <v>51</v>
      </c>
      <c r="K221" s="2">
        <v>14</v>
      </c>
      <c r="L221" s="2" t="s">
        <v>32</v>
      </c>
    </row>
    <row r="222" spans="1:12" s="10" customFormat="1" ht="28.5" customHeight="1" x14ac:dyDescent="0.35">
      <c r="A222" s="100" t="s">
        <v>318</v>
      </c>
      <c r="B222" s="2">
        <v>7.5</v>
      </c>
      <c r="C222" s="2" t="s">
        <v>51</v>
      </c>
      <c r="D222" s="2"/>
      <c r="E222" s="2">
        <v>138</v>
      </c>
      <c r="F222" s="2">
        <v>93</v>
      </c>
      <c r="G222" s="2" t="s">
        <v>32</v>
      </c>
      <c r="H222" s="2" t="s">
        <v>32</v>
      </c>
      <c r="I222" s="2">
        <v>34</v>
      </c>
      <c r="J222" s="2" t="s">
        <v>51</v>
      </c>
      <c r="K222" s="2">
        <v>17</v>
      </c>
      <c r="L222" s="2" t="s">
        <v>32</v>
      </c>
    </row>
    <row r="223" spans="1:12" s="10" customFormat="1" ht="28.5" customHeight="1" x14ac:dyDescent="0.35">
      <c r="A223" s="100" t="s">
        <v>319</v>
      </c>
      <c r="B223" s="117" t="s">
        <v>308</v>
      </c>
      <c r="C223" s="118"/>
      <c r="D223" s="118"/>
      <c r="E223" s="118"/>
      <c r="F223" s="118"/>
      <c r="G223" s="118"/>
      <c r="H223" s="118"/>
      <c r="I223" s="118"/>
      <c r="J223" s="118"/>
      <c r="K223" s="118"/>
      <c r="L223" s="126"/>
    </row>
    <row r="224" spans="1:12" s="10" customFormat="1" ht="28.5" customHeight="1" x14ac:dyDescent="0.35">
      <c r="A224" s="100" t="s">
        <v>320</v>
      </c>
      <c r="B224" s="2">
        <v>7.4</v>
      </c>
      <c r="C224" s="2" t="s">
        <v>51</v>
      </c>
      <c r="D224" s="2"/>
      <c r="E224" s="2">
        <v>119</v>
      </c>
      <c r="F224" s="2">
        <v>80</v>
      </c>
      <c r="G224" s="2" t="s">
        <v>32</v>
      </c>
      <c r="H224" s="2" t="s">
        <v>32</v>
      </c>
      <c r="I224" s="2">
        <v>28</v>
      </c>
      <c r="J224" s="2" t="s">
        <v>51</v>
      </c>
      <c r="K224" s="2">
        <v>15</v>
      </c>
      <c r="L224" s="2" t="s">
        <v>32</v>
      </c>
    </row>
    <row r="225" spans="1:12" s="10" customFormat="1" ht="28.5" customHeight="1" x14ac:dyDescent="0.35">
      <c r="A225" s="100" t="s">
        <v>321</v>
      </c>
      <c r="B225" s="117" t="s">
        <v>308</v>
      </c>
      <c r="C225" s="118"/>
      <c r="D225" s="118"/>
      <c r="E225" s="118"/>
      <c r="F225" s="118"/>
      <c r="G225" s="118"/>
      <c r="H225" s="118"/>
      <c r="I225" s="118"/>
      <c r="J225" s="118"/>
      <c r="K225" s="118"/>
      <c r="L225" s="126"/>
    </row>
    <row r="226" spans="1:12" s="10" customFormat="1" ht="28.5" customHeight="1" x14ac:dyDescent="0.35">
      <c r="A226" s="100" t="s">
        <v>322</v>
      </c>
      <c r="B226" s="2">
        <v>7.5</v>
      </c>
      <c r="C226" s="2" t="s">
        <v>51</v>
      </c>
      <c r="D226" s="2"/>
      <c r="E226" s="2">
        <v>108</v>
      </c>
      <c r="F226" s="2">
        <v>72</v>
      </c>
      <c r="G226" s="2" t="s">
        <v>32</v>
      </c>
      <c r="H226" s="2" t="s">
        <v>32</v>
      </c>
      <c r="I226" s="2">
        <v>35</v>
      </c>
      <c r="J226" s="2" t="s">
        <v>51</v>
      </c>
      <c r="K226" s="2">
        <v>10</v>
      </c>
      <c r="L226" s="2" t="s">
        <v>32</v>
      </c>
    </row>
    <row r="227" spans="1:12" s="10" customFormat="1" ht="28.5" customHeight="1" x14ac:dyDescent="0.35">
      <c r="A227" s="100" t="s">
        <v>323</v>
      </c>
      <c r="B227" s="2">
        <v>7.7</v>
      </c>
      <c r="C227" s="2" t="s">
        <v>51</v>
      </c>
      <c r="D227" s="2"/>
      <c r="E227" s="2">
        <v>176</v>
      </c>
      <c r="F227" s="2">
        <v>118</v>
      </c>
      <c r="G227" s="2" t="s">
        <v>32</v>
      </c>
      <c r="H227" s="2" t="s">
        <v>32</v>
      </c>
      <c r="I227" s="2">
        <v>67</v>
      </c>
      <c r="J227" s="2" t="s">
        <v>51</v>
      </c>
      <c r="K227" s="2">
        <v>10</v>
      </c>
      <c r="L227" s="2" t="s">
        <v>32</v>
      </c>
    </row>
    <row r="228" spans="1:12" s="10" customFormat="1" ht="28.5" customHeight="1" x14ac:dyDescent="0.35">
      <c r="A228" s="100" t="s">
        <v>324</v>
      </c>
      <c r="B228" s="2">
        <v>7.6</v>
      </c>
      <c r="C228" s="2" t="s">
        <v>51</v>
      </c>
      <c r="D228" s="2"/>
      <c r="E228" s="2">
        <v>164</v>
      </c>
      <c r="F228" s="2">
        <v>110</v>
      </c>
      <c r="G228" s="2" t="s">
        <v>32</v>
      </c>
      <c r="H228" s="2" t="s">
        <v>32</v>
      </c>
      <c r="I228" s="2">
        <v>73</v>
      </c>
      <c r="J228" s="2" t="s">
        <v>51</v>
      </c>
      <c r="K228" s="2">
        <v>12</v>
      </c>
      <c r="L228" s="2" t="s">
        <v>32</v>
      </c>
    </row>
    <row r="229" spans="1:12" s="10" customFormat="1" ht="28.5" customHeight="1" x14ac:dyDescent="0.35">
      <c r="A229" s="100" t="s">
        <v>325</v>
      </c>
      <c r="B229" s="2">
        <v>8.1999999999999993</v>
      </c>
      <c r="C229" s="2" t="s">
        <v>51</v>
      </c>
      <c r="D229" s="2"/>
      <c r="E229" s="2">
        <v>268</v>
      </c>
      <c r="F229" s="2">
        <v>180</v>
      </c>
      <c r="G229" s="2">
        <v>115</v>
      </c>
      <c r="H229" s="2">
        <v>71</v>
      </c>
      <c r="I229" s="2">
        <v>25</v>
      </c>
      <c r="J229" s="2" t="s">
        <v>51</v>
      </c>
      <c r="K229" s="2">
        <v>110</v>
      </c>
      <c r="L229" s="2" t="s">
        <v>32</v>
      </c>
    </row>
    <row r="230" spans="1:12" s="10" customFormat="1" ht="28.5" customHeight="1" x14ac:dyDescent="0.35">
      <c r="A230" s="100" t="s">
        <v>326</v>
      </c>
      <c r="B230" s="117" t="s">
        <v>308</v>
      </c>
      <c r="C230" s="118"/>
      <c r="D230" s="118"/>
      <c r="E230" s="118"/>
      <c r="F230" s="118"/>
      <c r="G230" s="118"/>
      <c r="H230" s="118"/>
      <c r="I230" s="118"/>
      <c r="J230" s="118"/>
      <c r="K230" s="118"/>
      <c r="L230" s="126"/>
    </row>
    <row r="231" spans="1:12" s="10" customFormat="1" ht="28.5" customHeight="1" thickBot="1" x14ac:dyDescent="0.4">
      <c r="A231" s="111" t="s">
        <v>327</v>
      </c>
      <c r="B231" s="3">
        <v>8.25</v>
      </c>
      <c r="C231" s="115" t="s">
        <v>51</v>
      </c>
      <c r="D231" s="115"/>
      <c r="E231" s="3">
        <v>254</v>
      </c>
      <c r="F231" s="3">
        <v>170</v>
      </c>
      <c r="G231" s="3">
        <v>112</v>
      </c>
      <c r="H231" s="3">
        <v>65</v>
      </c>
      <c r="I231" s="3">
        <v>22</v>
      </c>
      <c r="J231" s="3" t="s">
        <v>51</v>
      </c>
      <c r="K231" s="3">
        <v>130</v>
      </c>
      <c r="L231" s="74" t="s">
        <v>32</v>
      </c>
    </row>
    <row r="232" spans="1:12" s="10" customFormat="1" ht="28.5" customHeight="1" x14ac:dyDescent="0.35">
      <c r="A232" s="110" t="s">
        <v>328</v>
      </c>
      <c r="B232" s="112">
        <v>7.1</v>
      </c>
      <c r="C232" s="112">
        <v>1</v>
      </c>
      <c r="D232" s="112"/>
      <c r="E232" s="112">
        <v>148</v>
      </c>
      <c r="F232" s="112">
        <v>90</v>
      </c>
      <c r="G232" s="112" t="s">
        <v>32</v>
      </c>
      <c r="H232" s="112" t="s">
        <v>32</v>
      </c>
      <c r="I232" s="112">
        <v>58</v>
      </c>
      <c r="J232" s="112" t="s">
        <v>51</v>
      </c>
      <c r="K232" s="112">
        <v>10</v>
      </c>
      <c r="L232" s="112" t="s">
        <v>32</v>
      </c>
    </row>
    <row r="233" spans="1:12" s="10" customFormat="1" ht="28.5" customHeight="1" x14ac:dyDescent="0.35">
      <c r="A233" s="100" t="s">
        <v>329</v>
      </c>
      <c r="B233" s="2">
        <v>7.3</v>
      </c>
      <c r="C233" s="2" t="s">
        <v>51</v>
      </c>
      <c r="D233" s="2"/>
      <c r="E233" s="2">
        <v>141</v>
      </c>
      <c r="F233" s="2">
        <v>95</v>
      </c>
      <c r="G233" s="2" t="s">
        <v>32</v>
      </c>
      <c r="H233" s="2" t="s">
        <v>32</v>
      </c>
      <c r="I233" s="2">
        <v>52</v>
      </c>
      <c r="J233" s="2" t="s">
        <v>51</v>
      </c>
      <c r="K233" s="2">
        <v>12</v>
      </c>
      <c r="L233" s="2" t="s">
        <v>32</v>
      </c>
    </row>
    <row r="234" spans="1:12" s="10" customFormat="1" ht="28.5" customHeight="1" x14ac:dyDescent="0.35">
      <c r="A234" s="100" t="s">
        <v>330</v>
      </c>
      <c r="B234" s="2">
        <v>7.6</v>
      </c>
      <c r="C234" s="2" t="s">
        <v>51</v>
      </c>
      <c r="D234" s="2"/>
      <c r="E234" s="2">
        <v>134</v>
      </c>
      <c r="F234" s="2">
        <v>90</v>
      </c>
      <c r="G234" s="2" t="s">
        <v>32</v>
      </c>
      <c r="H234" s="2" t="s">
        <v>32</v>
      </c>
      <c r="I234" s="2">
        <v>47</v>
      </c>
      <c r="J234" s="2" t="s">
        <v>51</v>
      </c>
      <c r="K234" s="2">
        <v>16</v>
      </c>
      <c r="L234" s="2" t="s">
        <v>32</v>
      </c>
    </row>
    <row r="235" spans="1:12" s="10" customFormat="1" ht="28.5" customHeight="1" x14ac:dyDescent="0.35">
      <c r="A235" s="100" t="s">
        <v>331</v>
      </c>
      <c r="B235" s="2">
        <v>7.5</v>
      </c>
      <c r="C235" s="2" t="s">
        <v>51</v>
      </c>
      <c r="D235" s="2"/>
      <c r="E235" s="2">
        <v>126</v>
      </c>
      <c r="F235" s="2">
        <v>85</v>
      </c>
      <c r="G235" s="2" t="s">
        <v>32</v>
      </c>
      <c r="H235" s="2" t="s">
        <v>32</v>
      </c>
      <c r="I235" s="2">
        <v>42</v>
      </c>
      <c r="J235" s="2" t="s">
        <v>51</v>
      </c>
      <c r="K235" s="2">
        <v>13</v>
      </c>
      <c r="L235" s="2" t="s">
        <v>32</v>
      </c>
    </row>
    <row r="236" spans="1:12" s="10" customFormat="1" ht="28.5" customHeight="1" x14ac:dyDescent="0.35">
      <c r="A236" s="100" t="s">
        <v>332</v>
      </c>
      <c r="B236" s="2">
        <v>7</v>
      </c>
      <c r="C236" s="2" t="s">
        <v>51</v>
      </c>
      <c r="D236" s="2"/>
      <c r="E236" s="2">
        <v>122</v>
      </c>
      <c r="F236" s="2">
        <v>80</v>
      </c>
      <c r="G236" s="2" t="s">
        <v>32</v>
      </c>
      <c r="H236" s="2" t="s">
        <v>32</v>
      </c>
      <c r="I236" s="2">
        <v>38</v>
      </c>
      <c r="J236" s="2" t="s">
        <v>51</v>
      </c>
      <c r="K236" s="2">
        <v>10</v>
      </c>
      <c r="L236" s="2" t="s">
        <v>32</v>
      </c>
    </row>
    <row r="237" spans="1:12" s="10" customFormat="1" ht="28.5" customHeight="1" x14ac:dyDescent="0.35">
      <c r="A237" s="100" t="s">
        <v>333</v>
      </c>
      <c r="B237" s="2">
        <v>6.8</v>
      </c>
      <c r="C237" s="2" t="s">
        <v>51</v>
      </c>
      <c r="D237" s="2"/>
      <c r="E237" s="2">
        <v>285</v>
      </c>
      <c r="F237" s="2">
        <v>190</v>
      </c>
      <c r="G237" s="2">
        <v>3</v>
      </c>
      <c r="H237" s="2">
        <v>1</v>
      </c>
      <c r="I237" s="2">
        <v>133</v>
      </c>
      <c r="J237" s="2" t="s">
        <v>51</v>
      </c>
      <c r="K237" s="2">
        <v>6</v>
      </c>
      <c r="L237" s="2" t="s">
        <v>32</v>
      </c>
    </row>
    <row r="238" spans="1:12" s="10" customFormat="1" ht="28.5" customHeight="1" x14ac:dyDescent="0.35">
      <c r="A238" s="100" t="s">
        <v>334</v>
      </c>
      <c r="B238" s="2">
        <v>7.3</v>
      </c>
      <c r="C238" s="2" t="s">
        <v>51</v>
      </c>
      <c r="D238" s="2"/>
      <c r="E238" s="2">
        <v>273</v>
      </c>
      <c r="F238" s="2">
        <v>182</v>
      </c>
      <c r="G238" s="2">
        <v>2</v>
      </c>
      <c r="H238" s="2">
        <v>1</v>
      </c>
      <c r="I238" s="2">
        <v>130</v>
      </c>
      <c r="J238" s="2" t="s">
        <v>51</v>
      </c>
      <c r="K238" s="2">
        <v>10</v>
      </c>
      <c r="L238" s="2" t="s">
        <v>32</v>
      </c>
    </row>
    <row r="239" spans="1:12" s="10" customFormat="1" ht="28.5" customHeight="1" x14ac:dyDescent="0.35">
      <c r="A239" s="100" t="s">
        <v>335</v>
      </c>
      <c r="B239" s="2">
        <v>7.35</v>
      </c>
      <c r="C239" s="2" t="s">
        <v>51</v>
      </c>
      <c r="D239" s="2"/>
      <c r="E239" s="2">
        <v>252</v>
      </c>
      <c r="F239" s="2">
        <v>169</v>
      </c>
      <c r="G239" s="2">
        <v>2</v>
      </c>
      <c r="H239" s="2">
        <v>1</v>
      </c>
      <c r="I239" s="2">
        <v>121</v>
      </c>
      <c r="J239" s="2" t="s">
        <v>51</v>
      </c>
      <c r="K239" s="2">
        <v>12</v>
      </c>
      <c r="L239" s="2" t="s">
        <v>32</v>
      </c>
    </row>
    <row r="240" spans="1:12" s="10" customFormat="1" ht="28.5" customHeight="1" x14ac:dyDescent="0.35">
      <c r="A240" s="100" t="s">
        <v>336</v>
      </c>
      <c r="B240" s="2">
        <v>7.3</v>
      </c>
      <c r="C240" s="2" t="s">
        <v>51</v>
      </c>
      <c r="D240" s="2"/>
      <c r="E240" s="2">
        <v>235</v>
      </c>
      <c r="F240" s="2">
        <v>158</v>
      </c>
      <c r="G240" s="2">
        <v>2</v>
      </c>
      <c r="H240" s="2">
        <v>1</v>
      </c>
      <c r="I240" s="2">
        <v>120</v>
      </c>
      <c r="J240" s="2" t="s">
        <v>51</v>
      </c>
      <c r="K240" s="2">
        <v>14</v>
      </c>
      <c r="L240" s="2" t="s">
        <v>32</v>
      </c>
    </row>
    <row r="241" spans="1:12" s="10" customFormat="1" ht="28.5" customHeight="1" x14ac:dyDescent="0.35">
      <c r="A241" s="100" t="s">
        <v>337</v>
      </c>
      <c r="B241" s="2">
        <v>7.5</v>
      </c>
      <c r="C241" s="2" t="s">
        <v>51</v>
      </c>
      <c r="D241" s="2"/>
      <c r="E241" s="2">
        <v>227</v>
      </c>
      <c r="F241" s="2">
        <v>152</v>
      </c>
      <c r="G241" s="2" t="s">
        <v>32</v>
      </c>
      <c r="H241" s="2" t="s">
        <v>32</v>
      </c>
      <c r="I241" s="2">
        <v>71</v>
      </c>
      <c r="J241" s="2" t="s">
        <v>51</v>
      </c>
      <c r="K241" s="2">
        <v>20</v>
      </c>
      <c r="L241" s="2" t="s">
        <v>32</v>
      </c>
    </row>
    <row r="242" spans="1:12" s="10" customFormat="1" ht="28.5" customHeight="1" x14ac:dyDescent="0.35">
      <c r="A242" s="100" t="s">
        <v>338</v>
      </c>
      <c r="B242" s="2">
        <v>7.4</v>
      </c>
      <c r="C242" s="2" t="s">
        <v>51</v>
      </c>
      <c r="D242" s="2"/>
      <c r="E242" s="2">
        <v>601</v>
      </c>
      <c r="F242" s="2">
        <v>402</v>
      </c>
      <c r="G242" s="2" t="s">
        <v>32</v>
      </c>
      <c r="H242" s="2" t="s">
        <v>32</v>
      </c>
      <c r="I242" s="2">
        <v>80</v>
      </c>
      <c r="J242" s="2" t="s">
        <v>51</v>
      </c>
      <c r="K242" s="2">
        <v>25</v>
      </c>
      <c r="L242" s="2" t="s">
        <v>32</v>
      </c>
    </row>
    <row r="243" spans="1:12" s="10" customFormat="1" ht="28.5" customHeight="1" x14ac:dyDescent="0.35">
      <c r="A243" s="100" t="s">
        <v>339</v>
      </c>
      <c r="B243" s="2">
        <v>7.5</v>
      </c>
      <c r="C243" s="2" t="s">
        <v>51</v>
      </c>
      <c r="D243" s="2"/>
      <c r="E243" s="2">
        <v>233</v>
      </c>
      <c r="F243" s="2">
        <v>156</v>
      </c>
      <c r="G243" s="2" t="s">
        <v>32</v>
      </c>
      <c r="H243" s="2" t="s">
        <v>32</v>
      </c>
      <c r="I243" s="2">
        <v>74</v>
      </c>
      <c r="J243" s="2" t="s">
        <v>51</v>
      </c>
      <c r="K243" s="2">
        <v>21</v>
      </c>
      <c r="L243" s="2" t="s">
        <v>32</v>
      </c>
    </row>
    <row r="244" spans="1:12" s="10" customFormat="1" ht="28.5" customHeight="1" x14ac:dyDescent="0.35">
      <c r="A244" s="100" t="s">
        <v>340</v>
      </c>
      <c r="B244" s="2">
        <v>7.5</v>
      </c>
      <c r="C244" s="2" t="s">
        <v>51</v>
      </c>
      <c r="D244" s="2"/>
      <c r="E244" s="2" t="s">
        <v>51</v>
      </c>
      <c r="F244" s="2">
        <v>115</v>
      </c>
      <c r="G244" s="2" t="s">
        <v>32</v>
      </c>
      <c r="H244" s="2" t="s">
        <v>32</v>
      </c>
      <c r="I244" s="2">
        <v>69</v>
      </c>
      <c r="J244" s="2" t="s">
        <v>51</v>
      </c>
      <c r="K244" s="2">
        <v>18</v>
      </c>
      <c r="L244" s="2" t="s">
        <v>32</v>
      </c>
    </row>
    <row r="245" spans="1:12" s="10" customFormat="1" ht="28.5" customHeight="1" x14ac:dyDescent="0.35">
      <c r="A245" s="100" t="s">
        <v>341</v>
      </c>
      <c r="B245" s="2">
        <v>7.6</v>
      </c>
      <c r="C245" s="2" t="s">
        <v>51</v>
      </c>
      <c r="D245" s="2"/>
      <c r="E245" s="2">
        <v>164</v>
      </c>
      <c r="F245" s="2">
        <v>110</v>
      </c>
      <c r="G245" s="2" t="s">
        <v>32</v>
      </c>
      <c r="H245" s="2" t="s">
        <v>32</v>
      </c>
      <c r="I245" s="2">
        <v>60</v>
      </c>
      <c r="J245" s="2" t="s">
        <v>51</v>
      </c>
      <c r="K245" s="2">
        <v>29</v>
      </c>
      <c r="L245" s="2" t="s">
        <v>32</v>
      </c>
    </row>
    <row r="246" spans="1:12" s="10" customFormat="1" ht="28.5" customHeight="1" x14ac:dyDescent="0.35">
      <c r="A246" s="100" t="s">
        <v>342</v>
      </c>
      <c r="B246" s="117" t="s">
        <v>91</v>
      </c>
      <c r="C246" s="118"/>
      <c r="D246" s="118"/>
      <c r="E246" s="118"/>
      <c r="F246" s="118"/>
      <c r="G246" s="118"/>
      <c r="H246" s="118"/>
      <c r="I246" s="118"/>
      <c r="J246" s="118"/>
      <c r="K246" s="118"/>
      <c r="L246" s="126"/>
    </row>
    <row r="247" spans="1:12" s="10" customFormat="1" ht="28.5" customHeight="1" x14ac:dyDescent="0.35">
      <c r="A247" s="100" t="s">
        <v>343</v>
      </c>
      <c r="B247" s="117" t="s">
        <v>91</v>
      </c>
      <c r="C247" s="118"/>
      <c r="D247" s="118"/>
      <c r="E247" s="118"/>
      <c r="F247" s="118"/>
      <c r="G247" s="118"/>
      <c r="H247" s="118"/>
      <c r="I247" s="118"/>
      <c r="J247" s="118"/>
      <c r="K247" s="118"/>
      <c r="L247" s="126"/>
    </row>
    <row r="248" spans="1:12" s="10" customFormat="1" ht="28.5" customHeight="1" x14ac:dyDescent="0.35">
      <c r="A248" s="100" t="s">
        <v>344</v>
      </c>
      <c r="B248" s="2">
        <v>7.5</v>
      </c>
      <c r="C248" s="2" t="s">
        <v>51</v>
      </c>
      <c r="D248" s="2"/>
      <c r="E248" s="2">
        <v>273</v>
      </c>
      <c r="F248" s="2">
        <v>183</v>
      </c>
      <c r="G248" s="2" t="s">
        <v>32</v>
      </c>
      <c r="H248" s="2" t="s">
        <v>32</v>
      </c>
      <c r="I248" s="2">
        <v>86</v>
      </c>
      <c r="J248" s="2" t="s">
        <v>51</v>
      </c>
      <c r="K248" s="2">
        <v>20</v>
      </c>
      <c r="L248" s="2" t="s">
        <v>32</v>
      </c>
    </row>
    <row r="249" spans="1:12" s="10" customFormat="1" ht="28.5" customHeight="1" x14ac:dyDescent="0.35">
      <c r="A249" s="100" t="s">
        <v>345</v>
      </c>
      <c r="B249" s="2">
        <v>7.6</v>
      </c>
      <c r="C249" s="2" t="s">
        <v>51</v>
      </c>
      <c r="D249" s="2"/>
      <c r="E249" s="2">
        <v>210</v>
      </c>
      <c r="F249" s="2">
        <v>140</v>
      </c>
      <c r="G249" s="2" t="s">
        <v>32</v>
      </c>
      <c r="H249" s="2" t="s">
        <v>32</v>
      </c>
      <c r="I249" s="2">
        <v>56</v>
      </c>
      <c r="J249" s="2" t="s">
        <v>51</v>
      </c>
      <c r="K249" s="2">
        <v>10</v>
      </c>
      <c r="L249" s="2" t="s">
        <v>32</v>
      </c>
    </row>
    <row r="250" spans="1:12" s="10" customFormat="1" ht="28.5" customHeight="1" x14ac:dyDescent="0.35">
      <c r="A250" s="100" t="s">
        <v>346</v>
      </c>
      <c r="B250" s="2">
        <v>8.3000000000000007</v>
      </c>
      <c r="C250" s="2">
        <v>4</v>
      </c>
      <c r="D250" s="2"/>
      <c r="E250" s="2">
        <v>256</v>
      </c>
      <c r="F250" s="2">
        <v>172</v>
      </c>
      <c r="G250" s="2">
        <v>116</v>
      </c>
      <c r="H250" s="2">
        <v>72</v>
      </c>
      <c r="I250" s="2">
        <v>30</v>
      </c>
      <c r="J250" s="2" t="s">
        <v>51</v>
      </c>
      <c r="K250" s="2">
        <v>14</v>
      </c>
      <c r="L250" s="2" t="s">
        <v>32</v>
      </c>
    </row>
    <row r="251" spans="1:12" s="10" customFormat="1" ht="28.5" customHeight="1" x14ac:dyDescent="0.35">
      <c r="A251" s="100" t="s">
        <v>347</v>
      </c>
      <c r="B251" s="2">
        <v>7.5</v>
      </c>
      <c r="C251" s="2" t="s">
        <v>51</v>
      </c>
      <c r="D251" s="2"/>
      <c r="E251" s="2">
        <v>273</v>
      </c>
      <c r="F251" s="2">
        <v>182</v>
      </c>
      <c r="G251" s="2" t="s">
        <v>32</v>
      </c>
      <c r="H251" s="2" t="s">
        <v>32</v>
      </c>
      <c r="I251" s="2">
        <v>78</v>
      </c>
      <c r="J251" s="2" t="s">
        <v>51</v>
      </c>
      <c r="K251" s="2">
        <v>16</v>
      </c>
      <c r="L251" s="2" t="s">
        <v>32</v>
      </c>
    </row>
    <row r="252" spans="1:12" s="10" customFormat="1" ht="28.5" customHeight="1" x14ac:dyDescent="0.35">
      <c r="A252" s="100" t="s">
        <v>348</v>
      </c>
      <c r="B252" s="2">
        <v>7.5</v>
      </c>
      <c r="C252" s="2" t="s">
        <v>51</v>
      </c>
      <c r="D252" s="2"/>
      <c r="E252" s="2">
        <v>223</v>
      </c>
      <c r="F252" s="2">
        <v>149</v>
      </c>
      <c r="G252" s="2" t="s">
        <v>32</v>
      </c>
      <c r="H252" s="2" t="s">
        <v>32</v>
      </c>
      <c r="I252" s="2">
        <v>71</v>
      </c>
      <c r="J252" s="2" t="s">
        <v>51</v>
      </c>
      <c r="K252" s="2">
        <v>10</v>
      </c>
      <c r="L252" s="2" t="s">
        <v>32</v>
      </c>
    </row>
    <row r="253" spans="1:12" s="10" customFormat="1" ht="28.5" customHeight="1" x14ac:dyDescent="0.35">
      <c r="A253" s="100" t="s">
        <v>349</v>
      </c>
      <c r="B253" s="2">
        <v>7.7</v>
      </c>
      <c r="C253" s="2" t="s">
        <v>51</v>
      </c>
      <c r="D253" s="2"/>
      <c r="E253" s="2">
        <v>241</v>
      </c>
      <c r="F253" s="2">
        <v>161</v>
      </c>
      <c r="G253" s="2" t="s">
        <v>32</v>
      </c>
      <c r="H253" s="2" t="s">
        <v>32</v>
      </c>
      <c r="I253" s="2">
        <v>82</v>
      </c>
      <c r="J253" s="2" t="s">
        <v>51</v>
      </c>
      <c r="K253" s="2">
        <v>8</v>
      </c>
      <c r="L253" s="2" t="s">
        <v>32</v>
      </c>
    </row>
    <row r="254" spans="1:12" s="10" customFormat="1" ht="28.5" customHeight="1" x14ac:dyDescent="0.35">
      <c r="A254" s="100" t="s">
        <v>350</v>
      </c>
      <c r="B254" s="117" t="s">
        <v>91</v>
      </c>
      <c r="C254" s="118"/>
      <c r="D254" s="118"/>
      <c r="E254" s="118"/>
      <c r="F254" s="118"/>
      <c r="G254" s="118"/>
      <c r="H254" s="118"/>
      <c r="I254" s="118"/>
      <c r="J254" s="118"/>
      <c r="K254" s="118"/>
      <c r="L254" s="126"/>
    </row>
    <row r="255" spans="1:12" s="10" customFormat="1" ht="28.5" customHeight="1" x14ac:dyDescent="0.35">
      <c r="A255" s="100" t="s">
        <v>351</v>
      </c>
      <c r="B255" s="2">
        <v>9.8000000000000007</v>
      </c>
      <c r="C255" s="2" t="s">
        <v>51</v>
      </c>
      <c r="D255" s="2"/>
      <c r="E255" s="2">
        <v>199</v>
      </c>
      <c r="F255" s="2">
        <v>133</v>
      </c>
      <c r="G255" s="2" t="s">
        <v>32</v>
      </c>
      <c r="H255" s="2" t="s">
        <v>32</v>
      </c>
      <c r="I255" s="2">
        <v>71</v>
      </c>
      <c r="J255" s="2" t="s">
        <v>51</v>
      </c>
      <c r="K255" s="2">
        <v>16</v>
      </c>
      <c r="L255" s="2">
        <v>6</v>
      </c>
    </row>
    <row r="256" spans="1:12" s="10" customFormat="1" ht="28.5" customHeight="1" thickBot="1" x14ac:dyDescent="0.4">
      <c r="A256" s="111" t="s">
        <v>352</v>
      </c>
      <c r="B256" s="3">
        <v>7.5</v>
      </c>
      <c r="C256" s="3" t="s">
        <v>51</v>
      </c>
      <c r="D256" s="3"/>
      <c r="E256" s="3">
        <v>130</v>
      </c>
      <c r="F256" s="3">
        <v>87</v>
      </c>
      <c r="G256" s="3" t="s">
        <v>32</v>
      </c>
      <c r="H256" s="3" t="s">
        <v>32</v>
      </c>
      <c r="I256" s="3">
        <v>35</v>
      </c>
      <c r="J256" s="3" t="s">
        <v>51</v>
      </c>
      <c r="K256" s="3">
        <v>16</v>
      </c>
      <c r="L256" s="3" t="s">
        <v>32</v>
      </c>
    </row>
    <row r="257" spans="1:12" s="10" customFormat="1" ht="28.5" customHeight="1" x14ac:dyDescent="0.35">
      <c r="A257" s="110" t="s">
        <v>355</v>
      </c>
      <c r="B257" s="123" t="s">
        <v>91</v>
      </c>
      <c r="C257" s="124"/>
      <c r="D257" s="124"/>
      <c r="E257" s="124"/>
      <c r="F257" s="124"/>
      <c r="G257" s="124"/>
      <c r="H257" s="124"/>
      <c r="I257" s="124"/>
      <c r="J257" s="124"/>
      <c r="K257" s="124"/>
      <c r="L257" s="128"/>
    </row>
    <row r="258" spans="1:12" s="10" customFormat="1" ht="28.5" customHeight="1" x14ac:dyDescent="0.35">
      <c r="A258" s="100" t="s">
        <v>356</v>
      </c>
      <c r="B258" s="2">
        <v>7.5</v>
      </c>
      <c r="C258" s="2" t="s">
        <v>51</v>
      </c>
      <c r="D258" s="2" t="s">
        <v>51</v>
      </c>
      <c r="E258" s="17">
        <v>111</v>
      </c>
      <c r="F258" s="17">
        <v>78</v>
      </c>
      <c r="G258" s="2" t="s">
        <v>182</v>
      </c>
      <c r="H258" s="2" t="s">
        <v>182</v>
      </c>
      <c r="I258" s="17">
        <v>42</v>
      </c>
      <c r="J258" s="17" t="s">
        <v>51</v>
      </c>
      <c r="K258" s="17">
        <v>12</v>
      </c>
      <c r="L258" s="2" t="s">
        <v>182</v>
      </c>
    </row>
    <row r="259" spans="1:12" s="10" customFormat="1" ht="28.5" customHeight="1" x14ac:dyDescent="0.35">
      <c r="A259" s="100" t="s">
        <v>357</v>
      </c>
      <c r="B259" s="2">
        <v>8.4</v>
      </c>
      <c r="C259" s="2" t="s">
        <v>51</v>
      </c>
      <c r="D259" s="2">
        <v>2</v>
      </c>
      <c r="E259" s="17">
        <v>236</v>
      </c>
      <c r="F259" s="17">
        <v>158</v>
      </c>
      <c r="G259" s="17">
        <v>120</v>
      </c>
      <c r="H259" s="17">
        <v>70</v>
      </c>
      <c r="I259" s="17">
        <v>25</v>
      </c>
      <c r="J259" s="2" t="s">
        <v>51</v>
      </c>
      <c r="K259" s="17">
        <v>120</v>
      </c>
      <c r="L259" s="2">
        <v>2</v>
      </c>
    </row>
    <row r="260" spans="1:12" s="10" customFormat="1" ht="28.5" customHeight="1" x14ac:dyDescent="0.35">
      <c r="A260" s="100" t="s">
        <v>358</v>
      </c>
      <c r="B260" s="117" t="s">
        <v>91</v>
      </c>
      <c r="C260" s="118"/>
      <c r="D260" s="118"/>
      <c r="E260" s="118"/>
      <c r="F260" s="118"/>
      <c r="G260" s="118"/>
      <c r="H260" s="118"/>
      <c r="I260" s="118"/>
      <c r="J260" s="118"/>
      <c r="K260" s="118"/>
      <c r="L260" s="126"/>
    </row>
    <row r="261" spans="1:12" s="10" customFormat="1" ht="28.5" customHeight="1" x14ac:dyDescent="0.35">
      <c r="A261" s="100" t="s">
        <v>359</v>
      </c>
      <c r="B261" s="2">
        <v>7.5</v>
      </c>
      <c r="C261" s="2" t="s">
        <v>51</v>
      </c>
      <c r="D261" s="2" t="s">
        <v>51</v>
      </c>
      <c r="E261" s="17">
        <v>222</v>
      </c>
      <c r="F261" s="17">
        <v>148</v>
      </c>
      <c r="G261" s="2" t="s">
        <v>182</v>
      </c>
      <c r="H261" s="2" t="s">
        <v>182</v>
      </c>
      <c r="I261" s="17">
        <v>47</v>
      </c>
      <c r="J261" s="17" t="s">
        <v>51</v>
      </c>
      <c r="K261" s="17">
        <v>10</v>
      </c>
      <c r="L261" s="2" t="s">
        <v>182</v>
      </c>
    </row>
    <row r="262" spans="1:12" s="10" customFormat="1" ht="28.5" customHeight="1" x14ac:dyDescent="0.35">
      <c r="A262" s="100" t="s">
        <v>360</v>
      </c>
      <c r="B262" s="2">
        <v>7.4</v>
      </c>
      <c r="C262" s="2" t="s">
        <v>51</v>
      </c>
      <c r="D262" s="2" t="s">
        <v>51</v>
      </c>
      <c r="E262" s="17">
        <v>180</v>
      </c>
      <c r="F262" s="17">
        <v>120</v>
      </c>
      <c r="G262" s="2" t="s">
        <v>182</v>
      </c>
      <c r="H262" s="2" t="s">
        <v>182</v>
      </c>
      <c r="I262" s="17">
        <v>40</v>
      </c>
      <c r="J262" s="17" t="s">
        <v>51</v>
      </c>
      <c r="K262" s="17">
        <v>14</v>
      </c>
      <c r="L262" s="2" t="s">
        <v>182</v>
      </c>
    </row>
    <row r="263" spans="1:12" s="10" customFormat="1" ht="28.5" customHeight="1" x14ac:dyDescent="0.35">
      <c r="A263" s="100" t="s">
        <v>361</v>
      </c>
      <c r="B263" s="2">
        <v>8.1999999999999993</v>
      </c>
      <c r="C263" s="2" t="s">
        <v>51</v>
      </c>
      <c r="D263" s="2">
        <v>2</v>
      </c>
      <c r="E263" s="17">
        <v>234</v>
      </c>
      <c r="F263" s="17">
        <v>156</v>
      </c>
      <c r="G263" s="17">
        <v>123</v>
      </c>
      <c r="H263" s="17">
        <v>76</v>
      </c>
      <c r="I263" s="17">
        <v>25</v>
      </c>
      <c r="J263" s="17" t="s">
        <v>51</v>
      </c>
      <c r="K263" s="17">
        <v>115</v>
      </c>
      <c r="L263" s="2" t="s">
        <v>182</v>
      </c>
    </row>
    <row r="264" spans="1:12" s="10" customFormat="1" ht="28.5" customHeight="1" x14ac:dyDescent="0.35">
      <c r="A264" s="100" t="s">
        <v>362</v>
      </c>
      <c r="B264" s="2">
        <v>8.35</v>
      </c>
      <c r="C264" s="2" t="s">
        <v>51</v>
      </c>
      <c r="D264" s="2">
        <v>2</v>
      </c>
      <c r="E264" s="17">
        <v>247</v>
      </c>
      <c r="F264" s="17">
        <v>165</v>
      </c>
      <c r="G264" s="17">
        <v>115</v>
      </c>
      <c r="H264" s="17"/>
      <c r="I264" s="17">
        <v>24</v>
      </c>
      <c r="J264" s="17" t="s">
        <v>51</v>
      </c>
      <c r="K264" s="17">
        <v>125</v>
      </c>
      <c r="L264" s="2" t="s">
        <v>182</v>
      </c>
    </row>
    <row r="265" spans="1:12" s="10" customFormat="1" ht="28.5" customHeight="1" x14ac:dyDescent="0.35">
      <c r="A265" s="100" t="s">
        <v>363</v>
      </c>
      <c r="B265" s="2">
        <v>8.5</v>
      </c>
      <c r="C265" s="2" t="s">
        <v>51</v>
      </c>
      <c r="D265" s="2">
        <v>2</v>
      </c>
      <c r="E265" s="17">
        <v>240</v>
      </c>
      <c r="F265" s="17">
        <v>160</v>
      </c>
      <c r="G265" s="17">
        <v>121</v>
      </c>
      <c r="H265" s="17">
        <v>75</v>
      </c>
      <c r="I265" s="17">
        <v>21</v>
      </c>
      <c r="J265" s="17" t="s">
        <v>51</v>
      </c>
      <c r="K265" s="17">
        <v>118</v>
      </c>
      <c r="L265" s="2">
        <v>2</v>
      </c>
    </row>
    <row r="266" spans="1:12" s="10" customFormat="1" ht="28.5" customHeight="1" x14ac:dyDescent="0.35">
      <c r="A266" s="100" t="s">
        <v>364</v>
      </c>
      <c r="B266" s="2">
        <v>7.5</v>
      </c>
      <c r="C266" s="2" t="s">
        <v>51</v>
      </c>
      <c r="D266" s="2">
        <v>2</v>
      </c>
      <c r="E266" s="17">
        <v>244</v>
      </c>
      <c r="F266" s="17">
        <v>163</v>
      </c>
      <c r="G266" s="17">
        <v>114</v>
      </c>
      <c r="H266" s="17">
        <v>70</v>
      </c>
      <c r="I266" s="17">
        <v>25</v>
      </c>
      <c r="J266" s="17" t="s">
        <v>51</v>
      </c>
      <c r="K266" s="17">
        <v>123</v>
      </c>
      <c r="L266" s="2">
        <v>1</v>
      </c>
    </row>
    <row r="267" spans="1:12" s="10" customFormat="1" ht="28.5" customHeight="1" x14ac:dyDescent="0.35">
      <c r="A267" s="100" t="s">
        <v>365</v>
      </c>
      <c r="B267" s="2">
        <v>7.5</v>
      </c>
      <c r="C267" s="2" t="s">
        <v>51</v>
      </c>
      <c r="D267" s="2" t="s">
        <v>51</v>
      </c>
      <c r="E267" s="17">
        <v>180</v>
      </c>
      <c r="F267" s="17">
        <v>120</v>
      </c>
      <c r="G267" s="2" t="s">
        <v>182</v>
      </c>
      <c r="H267" s="2" t="s">
        <v>182</v>
      </c>
      <c r="I267" s="17">
        <v>35</v>
      </c>
      <c r="J267" s="17" t="s">
        <v>51</v>
      </c>
      <c r="K267" s="17">
        <v>13</v>
      </c>
      <c r="L267" s="2" t="s">
        <v>182</v>
      </c>
    </row>
    <row r="268" spans="1:12" s="10" customFormat="1" ht="28.5" customHeight="1" x14ac:dyDescent="0.35">
      <c r="A268" s="100" t="s">
        <v>366</v>
      </c>
      <c r="B268" s="2">
        <v>7.45</v>
      </c>
      <c r="C268" s="2" t="s">
        <v>51</v>
      </c>
      <c r="D268" s="2" t="s">
        <v>51</v>
      </c>
      <c r="E268" s="17">
        <v>172</v>
      </c>
      <c r="F268" s="17">
        <v>115</v>
      </c>
      <c r="G268" s="2" t="s">
        <v>182</v>
      </c>
      <c r="H268" s="2" t="s">
        <v>182</v>
      </c>
      <c r="I268" s="17">
        <v>32</v>
      </c>
      <c r="J268" s="17" t="s">
        <v>51</v>
      </c>
      <c r="K268" s="17">
        <v>10</v>
      </c>
      <c r="L268" s="2" t="s">
        <v>182</v>
      </c>
    </row>
    <row r="269" spans="1:12" s="10" customFormat="1" ht="28.5" customHeight="1" x14ac:dyDescent="0.35">
      <c r="A269" s="100" t="s">
        <v>367</v>
      </c>
      <c r="B269" s="2">
        <v>8.4499999999999993</v>
      </c>
      <c r="C269" s="2" t="s">
        <v>51</v>
      </c>
      <c r="D269" s="2">
        <v>4</v>
      </c>
      <c r="E269" s="17">
        <v>258</v>
      </c>
      <c r="F269" s="17">
        <v>173</v>
      </c>
      <c r="G269" s="17">
        <v>102</v>
      </c>
      <c r="H269" s="17">
        <v>64</v>
      </c>
      <c r="I269" s="17">
        <v>30</v>
      </c>
      <c r="J269" s="17" t="s">
        <v>51</v>
      </c>
      <c r="K269" s="17">
        <v>133</v>
      </c>
      <c r="L269" s="17">
        <v>2</v>
      </c>
    </row>
    <row r="270" spans="1:12" s="10" customFormat="1" ht="28.5" customHeight="1" x14ac:dyDescent="0.35">
      <c r="A270" s="100" t="s">
        <v>368</v>
      </c>
      <c r="B270" s="117" t="s">
        <v>91</v>
      </c>
      <c r="C270" s="118"/>
      <c r="D270" s="118"/>
      <c r="E270" s="118"/>
      <c r="F270" s="118"/>
      <c r="G270" s="118"/>
      <c r="H270" s="118"/>
      <c r="I270" s="118"/>
      <c r="J270" s="118"/>
      <c r="K270" s="118"/>
      <c r="L270" s="126"/>
    </row>
    <row r="271" spans="1:12" s="10" customFormat="1" ht="28.5" customHeight="1" x14ac:dyDescent="0.35">
      <c r="A271" s="100" t="s">
        <v>369</v>
      </c>
      <c r="B271" s="2">
        <v>8.4</v>
      </c>
      <c r="C271" s="2" t="s">
        <v>51</v>
      </c>
      <c r="D271" s="2">
        <v>3</v>
      </c>
      <c r="E271" s="17">
        <v>250</v>
      </c>
      <c r="F271" s="17">
        <v>167</v>
      </c>
      <c r="G271" s="17">
        <v>110</v>
      </c>
      <c r="H271" s="17">
        <v>65</v>
      </c>
      <c r="I271" s="17">
        <v>25</v>
      </c>
      <c r="J271" s="17" t="s">
        <v>51</v>
      </c>
      <c r="K271" s="17">
        <v>125</v>
      </c>
      <c r="L271" s="17">
        <v>2</v>
      </c>
    </row>
    <row r="272" spans="1:12" s="10" customFormat="1" ht="28.5" customHeight="1" x14ac:dyDescent="0.35">
      <c r="A272" s="100" t="s">
        <v>370</v>
      </c>
      <c r="B272" s="117" t="s">
        <v>91</v>
      </c>
      <c r="C272" s="118"/>
      <c r="D272" s="118"/>
      <c r="E272" s="118"/>
      <c r="F272" s="118"/>
      <c r="G272" s="118"/>
      <c r="H272" s="118"/>
      <c r="I272" s="118"/>
      <c r="J272" s="118"/>
      <c r="K272" s="118"/>
      <c r="L272" s="126"/>
    </row>
    <row r="273" spans="1:12" s="10" customFormat="1" ht="28.5" customHeight="1" x14ac:dyDescent="0.35">
      <c r="A273" s="100" t="s">
        <v>371</v>
      </c>
      <c r="B273" s="2">
        <v>8.4</v>
      </c>
      <c r="C273" s="2" t="s">
        <v>51</v>
      </c>
      <c r="D273" s="2">
        <v>2</v>
      </c>
      <c r="E273" s="17">
        <v>242</v>
      </c>
      <c r="F273" s="17">
        <v>162</v>
      </c>
      <c r="G273" s="17">
        <v>115</v>
      </c>
      <c r="H273" s="17">
        <v>68</v>
      </c>
      <c r="I273" s="17">
        <v>21</v>
      </c>
      <c r="J273" s="17" t="s">
        <v>51</v>
      </c>
      <c r="K273" s="17">
        <v>120</v>
      </c>
      <c r="L273" s="17">
        <v>2</v>
      </c>
    </row>
    <row r="274" spans="1:12" s="10" customFormat="1" ht="28.5" customHeight="1" x14ac:dyDescent="0.35">
      <c r="A274" s="100" t="s">
        <v>372</v>
      </c>
      <c r="B274" s="2">
        <v>7.3</v>
      </c>
      <c r="C274" s="2" t="s">
        <v>51</v>
      </c>
      <c r="D274" s="2" t="s">
        <v>51</v>
      </c>
      <c r="E274" s="17">
        <v>179</v>
      </c>
      <c r="F274" s="17">
        <v>120</v>
      </c>
      <c r="G274" s="17" t="s">
        <v>182</v>
      </c>
      <c r="H274" s="17" t="s">
        <v>182</v>
      </c>
      <c r="I274" s="17">
        <v>44</v>
      </c>
      <c r="J274" s="17" t="s">
        <v>51</v>
      </c>
      <c r="K274" s="17">
        <v>8</v>
      </c>
      <c r="L274" s="17" t="s">
        <v>182</v>
      </c>
    </row>
    <row r="275" spans="1:12" s="10" customFormat="1" ht="28.5" customHeight="1" x14ac:dyDescent="0.35">
      <c r="A275" s="2" t="s">
        <v>373</v>
      </c>
      <c r="B275" s="2">
        <v>8.5</v>
      </c>
      <c r="C275" s="2" t="s">
        <v>51</v>
      </c>
      <c r="D275" s="2" t="s">
        <v>51</v>
      </c>
      <c r="E275" s="17">
        <v>250</v>
      </c>
      <c r="F275" s="17">
        <v>167</v>
      </c>
      <c r="G275" s="17">
        <v>110</v>
      </c>
      <c r="H275" s="17">
        <v>68</v>
      </c>
      <c r="I275" s="17">
        <v>26</v>
      </c>
      <c r="J275" s="17" t="s">
        <v>51</v>
      </c>
      <c r="K275" s="17">
        <v>115</v>
      </c>
      <c r="L275" s="17">
        <v>3</v>
      </c>
    </row>
    <row r="276" spans="1:12" s="10" customFormat="1" ht="28.5" customHeight="1" x14ac:dyDescent="0.35">
      <c r="A276" s="100" t="s">
        <v>374</v>
      </c>
      <c r="B276" s="117" t="s">
        <v>91</v>
      </c>
      <c r="C276" s="118"/>
      <c r="D276" s="118"/>
      <c r="E276" s="118"/>
      <c r="F276" s="118"/>
      <c r="G276" s="118"/>
      <c r="H276" s="118"/>
      <c r="I276" s="118"/>
      <c r="J276" s="118"/>
      <c r="K276" s="118"/>
      <c r="L276" s="126"/>
    </row>
    <row r="277" spans="1:12" s="10" customFormat="1" ht="28.5" customHeight="1" x14ac:dyDescent="0.35">
      <c r="A277" s="100" t="s">
        <v>375</v>
      </c>
      <c r="B277" s="2">
        <v>8.4</v>
      </c>
      <c r="C277" s="2" t="s">
        <v>51</v>
      </c>
      <c r="D277" s="2">
        <v>3</v>
      </c>
      <c r="E277" s="2">
        <v>269</v>
      </c>
      <c r="F277" s="17">
        <v>180</v>
      </c>
      <c r="G277" s="17">
        <v>115</v>
      </c>
      <c r="H277" s="17">
        <v>70</v>
      </c>
      <c r="I277" s="17">
        <v>28</v>
      </c>
      <c r="J277" s="17" t="s">
        <v>51</v>
      </c>
      <c r="K277" s="17">
        <v>128</v>
      </c>
      <c r="L277" s="17">
        <v>3</v>
      </c>
    </row>
    <row r="278" spans="1:12" s="10" customFormat="1" ht="28.5" customHeight="1" x14ac:dyDescent="0.35">
      <c r="A278" s="70" t="s">
        <v>376</v>
      </c>
      <c r="B278" s="117" t="s">
        <v>91</v>
      </c>
      <c r="C278" s="118"/>
      <c r="D278" s="118"/>
      <c r="E278" s="118"/>
      <c r="F278" s="118"/>
      <c r="G278" s="118"/>
      <c r="H278" s="118"/>
      <c r="I278" s="118"/>
      <c r="J278" s="118"/>
      <c r="K278" s="118"/>
      <c r="L278" s="126"/>
    </row>
    <row r="279" spans="1:12" s="10" customFormat="1" ht="28.5" customHeight="1" x14ac:dyDescent="0.35">
      <c r="A279" s="100" t="s">
        <v>377</v>
      </c>
      <c r="B279" s="2">
        <v>8.4</v>
      </c>
      <c r="C279" s="2" t="s">
        <v>51</v>
      </c>
      <c r="D279" s="2">
        <v>4</v>
      </c>
      <c r="E279" s="17">
        <v>284</v>
      </c>
      <c r="F279" s="17">
        <v>190</v>
      </c>
      <c r="G279" s="17">
        <v>122</v>
      </c>
      <c r="H279" s="17">
        <v>90</v>
      </c>
      <c r="I279" s="17">
        <v>30</v>
      </c>
      <c r="J279" s="17" t="s">
        <v>51</v>
      </c>
      <c r="K279" s="17">
        <v>133</v>
      </c>
      <c r="L279" s="17">
        <v>2</v>
      </c>
    </row>
    <row r="280" spans="1:12" s="10" customFormat="1" ht="28.5" customHeight="1" x14ac:dyDescent="0.35">
      <c r="A280" s="100" t="s">
        <v>378</v>
      </c>
      <c r="B280" s="2">
        <v>7.2</v>
      </c>
      <c r="C280" s="2" t="s">
        <v>51</v>
      </c>
      <c r="D280" s="2" t="s">
        <v>51</v>
      </c>
      <c r="E280" s="17">
        <v>189</v>
      </c>
      <c r="F280" s="17">
        <v>140</v>
      </c>
      <c r="G280" s="17" t="s">
        <v>182</v>
      </c>
      <c r="H280" s="17" t="s">
        <v>182</v>
      </c>
      <c r="I280" s="17">
        <v>38</v>
      </c>
      <c r="J280" s="17" t="s">
        <v>51</v>
      </c>
      <c r="K280" s="17">
        <v>9</v>
      </c>
      <c r="L280" s="17" t="s">
        <v>182</v>
      </c>
    </row>
    <row r="281" spans="1:12" s="10" customFormat="1" ht="28.5" customHeight="1" x14ac:dyDescent="0.35">
      <c r="A281" s="100" t="s">
        <v>379</v>
      </c>
      <c r="B281" s="117" t="s">
        <v>91</v>
      </c>
      <c r="C281" s="118"/>
      <c r="D281" s="118"/>
      <c r="E281" s="118"/>
      <c r="F281" s="118"/>
      <c r="G281" s="118"/>
      <c r="H281" s="118"/>
      <c r="I281" s="118"/>
      <c r="J281" s="118"/>
      <c r="K281" s="118"/>
      <c r="L281" s="126"/>
    </row>
    <row r="282" spans="1:12" s="10" customFormat="1" ht="28.5" customHeight="1" x14ac:dyDescent="0.35">
      <c r="A282" s="100" t="s">
        <v>380</v>
      </c>
      <c r="B282" s="2">
        <v>7.4</v>
      </c>
      <c r="C282" s="2" t="s">
        <v>51</v>
      </c>
      <c r="D282" s="2" t="s">
        <v>51</v>
      </c>
      <c r="E282" s="17">
        <v>165</v>
      </c>
      <c r="F282" s="17">
        <v>110</v>
      </c>
      <c r="G282" s="17" t="s">
        <v>182</v>
      </c>
      <c r="H282" s="17" t="s">
        <v>182</v>
      </c>
      <c r="I282" s="17">
        <v>10</v>
      </c>
      <c r="J282" s="17" t="s">
        <v>51</v>
      </c>
      <c r="K282" s="17">
        <v>43</v>
      </c>
      <c r="L282" s="17" t="s">
        <v>182</v>
      </c>
    </row>
    <row r="283" spans="1:12" s="10" customFormat="1" ht="28.5" customHeight="1" thickBot="1" x14ac:dyDescent="0.4">
      <c r="A283" s="111" t="s">
        <v>381</v>
      </c>
      <c r="B283" s="120" t="s">
        <v>91</v>
      </c>
      <c r="C283" s="121"/>
      <c r="D283" s="121"/>
      <c r="E283" s="121"/>
      <c r="F283" s="121"/>
      <c r="G283" s="121"/>
      <c r="H283" s="121"/>
      <c r="I283" s="121"/>
      <c r="J283" s="121"/>
      <c r="K283" s="121"/>
      <c r="L283" s="127"/>
    </row>
    <row r="284" spans="1:12" s="10" customFormat="1" ht="28.5" customHeight="1" x14ac:dyDescent="0.35">
      <c r="A284" s="110" t="s">
        <v>382</v>
      </c>
      <c r="B284" s="123" t="s">
        <v>91</v>
      </c>
      <c r="C284" s="124"/>
      <c r="D284" s="124"/>
      <c r="E284" s="124"/>
      <c r="F284" s="124"/>
      <c r="G284" s="124"/>
      <c r="H284" s="124"/>
      <c r="I284" s="124"/>
      <c r="J284" s="124"/>
      <c r="K284" s="124"/>
      <c r="L284" s="128"/>
    </row>
    <row r="285" spans="1:12" s="10" customFormat="1" ht="28.5" customHeight="1" x14ac:dyDescent="0.35">
      <c r="A285" s="100" t="s">
        <v>383</v>
      </c>
      <c r="B285" s="117" t="s">
        <v>91</v>
      </c>
      <c r="C285" s="118"/>
      <c r="D285" s="118"/>
      <c r="E285" s="118"/>
      <c r="F285" s="118"/>
      <c r="G285" s="118"/>
      <c r="H285" s="118"/>
      <c r="I285" s="118"/>
      <c r="J285" s="118"/>
      <c r="K285" s="118"/>
      <c r="L285" s="126"/>
    </row>
    <row r="286" spans="1:12" s="10" customFormat="1" ht="28.5" customHeight="1" x14ac:dyDescent="0.35">
      <c r="A286" s="100" t="s">
        <v>384</v>
      </c>
      <c r="B286" s="117" t="s">
        <v>91</v>
      </c>
      <c r="C286" s="118"/>
      <c r="D286" s="118"/>
      <c r="E286" s="118"/>
      <c r="F286" s="118"/>
      <c r="G286" s="118"/>
      <c r="H286" s="118"/>
      <c r="I286" s="118"/>
      <c r="J286" s="118"/>
      <c r="K286" s="118"/>
      <c r="L286" s="126"/>
    </row>
    <row r="287" spans="1:12" s="10" customFormat="1" ht="28.5" customHeight="1" x14ac:dyDescent="0.35">
      <c r="A287" s="100" t="s">
        <v>385</v>
      </c>
      <c r="B287" s="117" t="s">
        <v>91</v>
      </c>
      <c r="C287" s="118"/>
      <c r="D287" s="118"/>
      <c r="E287" s="118"/>
      <c r="F287" s="118"/>
      <c r="G287" s="118"/>
      <c r="H287" s="118"/>
      <c r="I287" s="118"/>
      <c r="J287" s="118"/>
      <c r="K287" s="118"/>
      <c r="L287" s="126"/>
    </row>
    <row r="288" spans="1:12" s="10" customFormat="1" ht="28.5" customHeight="1" x14ac:dyDescent="0.35">
      <c r="A288" s="100" t="s">
        <v>386</v>
      </c>
      <c r="B288" s="117" t="s">
        <v>91</v>
      </c>
      <c r="C288" s="118"/>
      <c r="D288" s="118"/>
      <c r="E288" s="118"/>
      <c r="F288" s="118"/>
      <c r="G288" s="118"/>
      <c r="H288" s="118"/>
      <c r="I288" s="118"/>
      <c r="J288" s="118"/>
      <c r="K288" s="118"/>
      <c r="L288" s="126"/>
    </row>
    <row r="289" spans="1:12" s="10" customFormat="1" ht="28.5" customHeight="1" x14ac:dyDescent="0.35">
      <c r="A289" s="100" t="s">
        <v>387</v>
      </c>
      <c r="B289" s="117" t="s">
        <v>91</v>
      </c>
      <c r="C289" s="118"/>
      <c r="D289" s="118"/>
      <c r="E289" s="118"/>
      <c r="F289" s="118"/>
      <c r="G289" s="118"/>
      <c r="H289" s="118"/>
      <c r="I289" s="118"/>
      <c r="J289" s="118"/>
      <c r="K289" s="118"/>
      <c r="L289" s="126"/>
    </row>
    <row r="290" spans="1:12" s="10" customFormat="1" ht="28.5" customHeight="1" x14ac:dyDescent="0.35">
      <c r="A290" s="100" t="s">
        <v>388</v>
      </c>
      <c r="B290" s="2">
        <v>7.56</v>
      </c>
      <c r="C290" s="2" t="s">
        <v>51</v>
      </c>
      <c r="D290" s="2" t="s">
        <v>51</v>
      </c>
      <c r="E290" s="17">
        <v>158</v>
      </c>
      <c r="F290" s="17">
        <v>100</v>
      </c>
      <c r="G290" s="17" t="s">
        <v>32</v>
      </c>
      <c r="H290" s="17" t="s">
        <v>32</v>
      </c>
      <c r="I290" s="17">
        <v>40</v>
      </c>
      <c r="J290" s="17" t="s">
        <v>51</v>
      </c>
      <c r="K290" s="17">
        <v>12</v>
      </c>
      <c r="L290" s="2" t="s">
        <v>32</v>
      </c>
    </row>
    <row r="291" spans="1:12" s="10" customFormat="1" ht="28.5" customHeight="1" x14ac:dyDescent="0.35">
      <c r="A291" s="100" t="s">
        <v>389</v>
      </c>
      <c r="B291" s="2">
        <v>7.4</v>
      </c>
      <c r="C291" s="2" t="s">
        <v>51</v>
      </c>
      <c r="D291" s="2" t="s">
        <v>51</v>
      </c>
      <c r="E291" s="17">
        <v>157</v>
      </c>
      <c r="F291" s="17">
        <v>105</v>
      </c>
      <c r="G291" s="17" t="s">
        <v>32</v>
      </c>
      <c r="H291" s="17" t="s">
        <v>32</v>
      </c>
      <c r="I291" s="17">
        <v>45</v>
      </c>
      <c r="J291" s="17" t="s">
        <v>51</v>
      </c>
      <c r="K291" s="17">
        <v>10</v>
      </c>
      <c r="L291" s="2" t="s">
        <v>32</v>
      </c>
    </row>
    <row r="292" spans="1:12" s="10" customFormat="1" ht="28.5" customHeight="1" x14ac:dyDescent="0.35">
      <c r="A292" s="100" t="s">
        <v>390</v>
      </c>
      <c r="B292" s="2">
        <v>8.4</v>
      </c>
      <c r="C292" s="2" t="s">
        <v>51</v>
      </c>
      <c r="D292" s="2">
        <v>3</v>
      </c>
      <c r="E292" s="17">
        <v>246</v>
      </c>
      <c r="F292" s="17">
        <v>165</v>
      </c>
      <c r="G292" s="17">
        <v>132</v>
      </c>
      <c r="H292" s="17"/>
      <c r="I292" s="17">
        <v>24</v>
      </c>
      <c r="J292" s="17" t="s">
        <v>51</v>
      </c>
      <c r="K292" s="17">
        <v>120</v>
      </c>
      <c r="L292" s="2">
        <v>2</v>
      </c>
    </row>
    <row r="293" spans="1:12" s="10" customFormat="1" ht="28.5" customHeight="1" x14ac:dyDescent="0.35">
      <c r="A293" s="100" t="s">
        <v>391</v>
      </c>
      <c r="B293" s="2">
        <v>8.3000000000000007</v>
      </c>
      <c r="C293" s="2" t="s">
        <v>51</v>
      </c>
      <c r="D293" s="2" t="s">
        <v>51</v>
      </c>
      <c r="E293" s="17">
        <v>254</v>
      </c>
      <c r="F293" s="17">
        <v>170</v>
      </c>
      <c r="G293" s="17">
        <v>124</v>
      </c>
      <c r="H293" s="17">
        <v>80</v>
      </c>
      <c r="I293" s="17">
        <v>36</v>
      </c>
      <c r="J293" s="17" t="s">
        <v>51</v>
      </c>
      <c r="K293" s="17">
        <v>133</v>
      </c>
      <c r="L293" s="2" t="s">
        <v>32</v>
      </c>
    </row>
    <row r="294" spans="1:12" s="10" customFormat="1" ht="28.5" customHeight="1" x14ac:dyDescent="0.35">
      <c r="A294" s="100" t="s">
        <v>392</v>
      </c>
      <c r="B294" s="2">
        <v>7.8</v>
      </c>
      <c r="C294" s="2" t="s">
        <v>51</v>
      </c>
      <c r="D294" s="2">
        <v>12</v>
      </c>
      <c r="E294" s="17">
        <v>595</v>
      </c>
      <c r="F294" s="17">
        <v>398</v>
      </c>
      <c r="G294" s="17">
        <v>4</v>
      </c>
      <c r="H294" s="17">
        <v>3</v>
      </c>
      <c r="I294" s="17">
        <v>50</v>
      </c>
      <c r="J294" s="17" t="s">
        <v>51</v>
      </c>
      <c r="K294" s="17">
        <v>144</v>
      </c>
      <c r="L294" s="2" t="s">
        <v>32</v>
      </c>
    </row>
    <row r="295" spans="1:12" s="10" customFormat="1" ht="28.5" customHeight="1" x14ac:dyDescent="0.35">
      <c r="A295" s="100" t="s">
        <v>393</v>
      </c>
      <c r="B295" s="2">
        <v>8.3000000000000007</v>
      </c>
      <c r="C295" s="2" t="s">
        <v>51</v>
      </c>
      <c r="D295" s="2">
        <v>4</v>
      </c>
      <c r="E295" s="17">
        <v>238</v>
      </c>
      <c r="F295" s="17">
        <v>160</v>
      </c>
      <c r="G295" s="17">
        <v>114</v>
      </c>
      <c r="H295" s="17">
        <v>90</v>
      </c>
      <c r="I295" s="17">
        <v>28</v>
      </c>
      <c r="J295" s="17" t="s">
        <v>51</v>
      </c>
      <c r="K295" s="17">
        <v>143</v>
      </c>
      <c r="L295" s="2" t="s">
        <v>32</v>
      </c>
    </row>
    <row r="296" spans="1:12" s="10" customFormat="1" ht="28.5" customHeight="1" x14ac:dyDescent="0.35">
      <c r="A296" s="100" t="s">
        <v>394</v>
      </c>
      <c r="B296" s="2">
        <v>8.25</v>
      </c>
      <c r="C296" s="2" t="s">
        <v>51</v>
      </c>
      <c r="D296" s="2">
        <v>3</v>
      </c>
      <c r="E296" s="17">
        <v>254</v>
      </c>
      <c r="F296" s="17">
        <v>170</v>
      </c>
      <c r="G296" s="17">
        <v>118</v>
      </c>
      <c r="H296" s="17">
        <v>96</v>
      </c>
      <c r="I296" s="17">
        <v>24</v>
      </c>
      <c r="J296" s="17" t="s">
        <v>51</v>
      </c>
      <c r="K296" s="17">
        <v>140</v>
      </c>
      <c r="L296" s="2" t="s">
        <v>32</v>
      </c>
    </row>
    <row r="297" spans="1:12" s="10" customFormat="1" ht="28.5" customHeight="1" x14ac:dyDescent="0.35">
      <c r="A297" s="100" t="s">
        <v>395</v>
      </c>
      <c r="B297" s="2">
        <v>8.35</v>
      </c>
      <c r="C297" s="2" t="s">
        <v>51</v>
      </c>
      <c r="D297" s="2">
        <v>3</v>
      </c>
      <c r="E297" s="17">
        <v>243</v>
      </c>
      <c r="F297" s="17">
        <v>163</v>
      </c>
      <c r="G297" s="17">
        <v>121</v>
      </c>
      <c r="H297" s="17">
        <v>132</v>
      </c>
      <c r="I297" s="17">
        <v>21</v>
      </c>
      <c r="J297" s="17" t="s">
        <v>51</v>
      </c>
      <c r="K297" s="17">
        <v>132</v>
      </c>
      <c r="L297" s="2" t="s">
        <v>32</v>
      </c>
    </row>
    <row r="298" spans="1:12" s="10" customFormat="1" ht="28.5" customHeight="1" x14ac:dyDescent="0.35">
      <c r="A298" s="100" t="s">
        <v>396</v>
      </c>
      <c r="B298" s="2">
        <v>8.4</v>
      </c>
      <c r="C298" s="2" t="s">
        <v>51</v>
      </c>
      <c r="D298" s="2">
        <v>6</v>
      </c>
      <c r="E298" s="17">
        <v>263</v>
      </c>
      <c r="F298" s="17">
        <v>175</v>
      </c>
      <c r="G298" s="17">
        <v>115</v>
      </c>
      <c r="H298" s="17">
        <v>90</v>
      </c>
      <c r="I298" s="17">
        <v>29</v>
      </c>
      <c r="J298" s="17" t="s">
        <v>51</v>
      </c>
      <c r="K298" s="17">
        <v>138</v>
      </c>
      <c r="L298" s="2">
        <v>2</v>
      </c>
    </row>
    <row r="299" spans="1:12" s="10" customFormat="1" ht="28.5" customHeight="1" x14ac:dyDescent="0.35">
      <c r="A299" s="100" t="s">
        <v>397</v>
      </c>
      <c r="B299" s="2">
        <v>8.3000000000000007</v>
      </c>
      <c r="C299" s="2" t="s">
        <v>51</v>
      </c>
      <c r="D299" s="2">
        <v>5</v>
      </c>
      <c r="E299" s="17">
        <v>268</v>
      </c>
      <c r="F299" s="17">
        <v>176</v>
      </c>
      <c r="G299" s="17">
        <v>110</v>
      </c>
      <c r="H299" s="17">
        <v>68</v>
      </c>
      <c r="I299" s="17">
        <v>30</v>
      </c>
      <c r="J299" s="17" t="s">
        <v>51</v>
      </c>
      <c r="K299" s="17">
        <v>142</v>
      </c>
      <c r="L299" s="2" t="s">
        <v>32</v>
      </c>
    </row>
    <row r="300" spans="1:12" s="10" customFormat="1" ht="28.5" customHeight="1" x14ac:dyDescent="0.35">
      <c r="A300" s="100" t="s">
        <v>398</v>
      </c>
      <c r="B300" s="2">
        <v>8.5</v>
      </c>
      <c r="C300" s="2" t="s">
        <v>51</v>
      </c>
      <c r="D300" s="2">
        <v>3</v>
      </c>
      <c r="E300" s="17">
        <v>231</v>
      </c>
      <c r="F300" s="17">
        <v>155</v>
      </c>
      <c r="G300" s="17">
        <v>100</v>
      </c>
      <c r="H300" s="17">
        <v>62</v>
      </c>
      <c r="I300" s="17">
        <v>22</v>
      </c>
      <c r="J300" s="17" t="s">
        <v>51</v>
      </c>
      <c r="K300" s="17">
        <v>153</v>
      </c>
      <c r="L300" s="2">
        <v>2</v>
      </c>
    </row>
    <row r="301" spans="1:12" s="10" customFormat="1" ht="28.5" customHeight="1" x14ac:dyDescent="0.35">
      <c r="A301" s="100" t="s">
        <v>399</v>
      </c>
      <c r="B301" s="2">
        <v>8.5</v>
      </c>
      <c r="C301" s="2" t="s">
        <v>51</v>
      </c>
      <c r="D301" s="2" t="s">
        <v>51</v>
      </c>
      <c r="E301" s="17">
        <v>210</v>
      </c>
      <c r="F301" s="17">
        <v>140</v>
      </c>
      <c r="G301" s="17">
        <v>110</v>
      </c>
      <c r="H301" s="17">
        <v>68</v>
      </c>
      <c r="I301" s="17">
        <v>19</v>
      </c>
      <c r="J301" s="17" t="s">
        <v>51</v>
      </c>
      <c r="K301" s="17">
        <v>147</v>
      </c>
      <c r="L301" s="2">
        <v>2</v>
      </c>
    </row>
    <row r="302" spans="1:12" s="10" customFormat="1" ht="28.5" customHeight="1" x14ac:dyDescent="0.35">
      <c r="A302" s="2" t="s">
        <v>400</v>
      </c>
      <c r="B302" s="2">
        <v>8.33</v>
      </c>
      <c r="C302" s="2" t="s">
        <v>51</v>
      </c>
      <c r="D302" s="2">
        <v>2</v>
      </c>
      <c r="E302" s="17">
        <v>208</v>
      </c>
      <c r="F302" s="17">
        <v>138</v>
      </c>
      <c r="G302" s="17">
        <v>105</v>
      </c>
      <c r="H302" s="17">
        <v>62</v>
      </c>
      <c r="I302" s="17">
        <v>20</v>
      </c>
      <c r="J302" s="17" t="s">
        <v>51</v>
      </c>
      <c r="K302" s="17">
        <v>140</v>
      </c>
      <c r="L302" s="2" t="s">
        <v>32</v>
      </c>
    </row>
    <row r="303" spans="1:12" s="10" customFormat="1" ht="28.5" customHeight="1" x14ac:dyDescent="0.35">
      <c r="A303" s="100" t="s">
        <v>401</v>
      </c>
      <c r="B303" s="2">
        <v>8.1999999999999993</v>
      </c>
      <c r="C303" s="2" t="s">
        <v>51</v>
      </c>
      <c r="D303" s="2">
        <v>2</v>
      </c>
      <c r="E303" s="17"/>
      <c r="F303" s="17">
        <v>159</v>
      </c>
      <c r="G303" s="17">
        <v>109</v>
      </c>
      <c r="H303" s="17">
        <v>70</v>
      </c>
      <c r="I303" s="17">
        <v>22</v>
      </c>
      <c r="J303" s="17" t="s">
        <v>51</v>
      </c>
      <c r="K303" s="17">
        <v>138</v>
      </c>
      <c r="L303" s="2" t="s">
        <v>32</v>
      </c>
    </row>
    <row r="304" spans="1:12" s="10" customFormat="1" ht="28.5" customHeight="1" x14ac:dyDescent="0.35">
      <c r="A304" s="100" t="s">
        <v>402</v>
      </c>
      <c r="B304" s="2">
        <v>8.35</v>
      </c>
      <c r="C304" s="2" t="s">
        <v>51</v>
      </c>
      <c r="D304" s="2">
        <v>2</v>
      </c>
      <c r="E304" s="17">
        <v>223</v>
      </c>
      <c r="F304" s="17">
        <v>150</v>
      </c>
      <c r="G304" s="17">
        <v>115</v>
      </c>
      <c r="H304" s="17">
        <v>72</v>
      </c>
      <c r="I304" s="17">
        <v>20</v>
      </c>
      <c r="J304" s="17" t="s">
        <v>51</v>
      </c>
      <c r="K304" s="17">
        <v>132</v>
      </c>
      <c r="L304" s="17" t="s">
        <v>32</v>
      </c>
    </row>
    <row r="305" spans="1:12" s="10" customFormat="1" ht="28.5" customHeight="1" x14ac:dyDescent="0.35">
      <c r="A305" s="100" t="s">
        <v>403</v>
      </c>
      <c r="B305" s="2">
        <v>8.2899999999999991</v>
      </c>
      <c r="C305" s="2" t="s">
        <v>51</v>
      </c>
      <c r="D305" s="2">
        <v>3</v>
      </c>
      <c r="E305" s="17">
        <v>254</v>
      </c>
      <c r="F305" s="17">
        <v>170</v>
      </c>
      <c r="G305" s="17">
        <v>102</v>
      </c>
      <c r="H305" s="17">
        <v>66</v>
      </c>
      <c r="I305" s="17">
        <v>23</v>
      </c>
      <c r="J305" s="17" t="s">
        <v>51</v>
      </c>
      <c r="K305" s="17">
        <v>134</v>
      </c>
      <c r="L305" s="2" t="s">
        <v>32</v>
      </c>
    </row>
    <row r="306" spans="1:12" s="10" customFormat="1" ht="28.5" customHeight="1" x14ac:dyDescent="0.35">
      <c r="A306" s="100"/>
      <c r="B306" s="2"/>
      <c r="C306" s="63"/>
      <c r="D306" s="63"/>
      <c r="E306" s="25"/>
      <c r="F306" s="25"/>
      <c r="G306" s="25"/>
      <c r="H306" s="25"/>
      <c r="I306" s="25"/>
      <c r="J306" s="25"/>
      <c r="K306" s="25"/>
      <c r="L306" s="44"/>
    </row>
    <row r="307" spans="1:12" s="10" customFormat="1" ht="28.5" customHeight="1" x14ac:dyDescent="0.35">
      <c r="A307" s="100"/>
      <c r="B307" s="2"/>
      <c r="C307" s="63"/>
      <c r="D307" s="63"/>
      <c r="E307" s="25"/>
      <c r="F307" s="25"/>
      <c r="G307" s="25"/>
      <c r="H307" s="25"/>
      <c r="I307" s="25"/>
      <c r="J307" s="25"/>
      <c r="K307" s="25"/>
      <c r="L307" s="44"/>
    </row>
    <row r="308" spans="1:12" s="10" customFormat="1" ht="28.5" customHeight="1" x14ac:dyDescent="0.35">
      <c r="A308" s="100"/>
      <c r="B308" s="2"/>
      <c r="C308" s="63"/>
      <c r="D308" s="63"/>
      <c r="E308" s="25"/>
      <c r="F308" s="17"/>
      <c r="G308" s="17"/>
      <c r="H308" s="17"/>
      <c r="I308" s="17"/>
      <c r="J308" s="17"/>
      <c r="K308" s="17"/>
      <c r="L308" s="44"/>
    </row>
    <row r="309" spans="1:12" s="10" customFormat="1" ht="28.5" customHeight="1" x14ac:dyDescent="0.35">
      <c r="A309" s="96"/>
      <c r="B309" s="97"/>
      <c r="C309" s="98"/>
      <c r="D309" s="98"/>
      <c r="E309" s="97"/>
      <c r="F309" s="97"/>
      <c r="G309" s="97"/>
      <c r="H309" s="97"/>
      <c r="I309" s="97"/>
      <c r="J309" s="97"/>
      <c r="K309" s="97"/>
      <c r="L309" s="99"/>
    </row>
    <row r="310" spans="1:12" s="10" customFormat="1" ht="28.5" customHeight="1" thickBot="1" x14ac:dyDescent="0.4">
      <c r="A310" s="83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99"/>
    </row>
    <row r="311" spans="1:12" s="10" customFormat="1" ht="21.95" customHeight="1" x14ac:dyDescent="0.35">
      <c r="A311" s="18" t="s">
        <v>10</v>
      </c>
      <c r="B311" s="37">
        <f>MIN(B5:B310)</f>
        <v>6.5</v>
      </c>
      <c r="C311" s="1">
        <v>1</v>
      </c>
      <c r="D311" s="1"/>
      <c r="E311" s="12">
        <f t="shared" ref="E311:K311" si="0">MIN(E5:E310)</f>
        <v>20</v>
      </c>
      <c r="F311" s="1">
        <f t="shared" si="0"/>
        <v>14</v>
      </c>
      <c r="G311" s="12">
        <f t="shared" si="0"/>
        <v>2</v>
      </c>
      <c r="H311" s="12">
        <f t="shared" si="0"/>
        <v>1</v>
      </c>
      <c r="I311" s="12">
        <f t="shared" si="0"/>
        <v>5</v>
      </c>
      <c r="J311" s="56">
        <f t="shared" si="0"/>
        <v>0</v>
      </c>
      <c r="K311" s="56">
        <f t="shared" si="0"/>
        <v>4</v>
      </c>
      <c r="L311" s="48" t="s">
        <v>32</v>
      </c>
    </row>
    <row r="312" spans="1:12" s="10" customFormat="1" ht="21.95" customHeight="1" x14ac:dyDescent="0.35">
      <c r="A312" s="19" t="s">
        <v>9</v>
      </c>
      <c r="B312" s="35">
        <f>MAX(B5:B310)</f>
        <v>9.8000000000000007</v>
      </c>
      <c r="C312" s="2">
        <v>3</v>
      </c>
      <c r="D312" s="2"/>
      <c r="E312" s="17">
        <v>325</v>
      </c>
      <c r="F312" s="2">
        <f t="shared" ref="F312:K312" si="1">MAX(F5:F310)</f>
        <v>402</v>
      </c>
      <c r="G312" s="17">
        <f t="shared" si="1"/>
        <v>185</v>
      </c>
      <c r="H312" s="17">
        <f t="shared" si="1"/>
        <v>132</v>
      </c>
      <c r="I312" s="17">
        <f t="shared" si="1"/>
        <v>133</v>
      </c>
      <c r="J312" s="55">
        <f t="shared" si="1"/>
        <v>0</v>
      </c>
      <c r="K312" s="55">
        <f t="shared" si="1"/>
        <v>310</v>
      </c>
      <c r="L312" s="44" t="s">
        <v>32</v>
      </c>
    </row>
    <row r="313" spans="1:12" s="10" customFormat="1" ht="21.95" customHeight="1" thickBot="1" x14ac:dyDescent="0.4">
      <c r="A313" s="20" t="s">
        <v>8</v>
      </c>
      <c r="B313" s="36">
        <v>7.9</v>
      </c>
      <c r="C313" s="3">
        <f t="shared" ref="C313:K313" si="2">AVERAGE(C5:C310)</f>
        <v>2.5</v>
      </c>
      <c r="D313" s="3"/>
      <c r="E313" s="14">
        <f t="shared" si="2"/>
        <v>233.62337662337663</v>
      </c>
      <c r="F313" s="3">
        <f t="shared" si="2"/>
        <v>156.39484978540773</v>
      </c>
      <c r="G313" s="14">
        <f t="shared" si="2"/>
        <v>134.09506172839508</v>
      </c>
      <c r="H313" s="14">
        <f t="shared" si="2"/>
        <v>85.125786163522008</v>
      </c>
      <c r="I313" s="14">
        <f t="shared" si="2"/>
        <v>33.347639484978544</v>
      </c>
      <c r="J313" s="54" t="e">
        <f t="shared" si="2"/>
        <v>#DIV/0!</v>
      </c>
      <c r="K313" s="54">
        <f t="shared" si="2"/>
        <v>97.269911504424783</v>
      </c>
      <c r="L313" s="49" t="s">
        <v>32</v>
      </c>
    </row>
    <row r="314" spans="1:12" s="10" customFormat="1" ht="21.95" customHeight="1" x14ac:dyDescent="0.35"/>
    <row r="315" spans="1:12" s="10" customFormat="1" ht="21.95" customHeight="1" x14ac:dyDescent="0.35"/>
    <row r="316" spans="1:12" s="10" customFormat="1" ht="21.95" customHeight="1" x14ac:dyDescent="0.35"/>
    <row r="317" spans="1:12" s="10" customFormat="1" ht="21.95" customHeight="1" x14ac:dyDescent="0.35"/>
    <row r="318" spans="1:12" s="10" customFormat="1" ht="21.95" customHeight="1" x14ac:dyDescent="0.35"/>
    <row r="319" spans="1:12" s="10" customFormat="1" ht="21.95" customHeight="1" x14ac:dyDescent="0.35"/>
    <row r="320" spans="1:12" s="10" customFormat="1" ht="21.95" customHeight="1" x14ac:dyDescent="0.35"/>
    <row r="321" spans="1:18" s="10" customFormat="1" ht="21.95" customHeight="1" x14ac:dyDescent="0.35"/>
    <row r="322" spans="1:18" s="10" customFormat="1" ht="21.95" customHeight="1" x14ac:dyDescent="0.35"/>
    <row r="323" spans="1:18" s="10" customFormat="1" ht="21.95" customHeight="1" x14ac:dyDescent="0.35"/>
    <row r="324" spans="1:18" s="10" customFormat="1" ht="13.5" x14ac:dyDescent="0.35">
      <c r="O324" s="11"/>
      <c r="P324" s="11"/>
      <c r="Q324" s="11"/>
      <c r="R324" s="11"/>
    </row>
    <row r="325" spans="1:18" s="10" customFormat="1" ht="13.5" x14ac:dyDescent="0.35">
      <c r="O325" s="11"/>
      <c r="P325" s="11"/>
      <c r="Q325" s="11"/>
      <c r="R325" s="11"/>
    </row>
    <row r="326" spans="1:18" s="10" customFormat="1" ht="13.5" x14ac:dyDescent="0.35">
      <c r="O326" s="11"/>
      <c r="P326" s="11"/>
      <c r="Q326" s="11"/>
      <c r="R326" s="11"/>
    </row>
    <row r="327" spans="1:18" s="10" customFormat="1" ht="13.5" x14ac:dyDescent="0.35">
      <c r="O327" s="11"/>
      <c r="P327" s="11"/>
      <c r="Q327" s="11"/>
      <c r="R327" s="11"/>
    </row>
    <row r="328" spans="1:18" s="11" customFormat="1" ht="13.5" x14ac:dyDescent="0.3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8" s="11" customFormat="1" ht="13.5" x14ac:dyDescent="0.3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8" s="11" customFormat="1" ht="13.5" x14ac:dyDescent="0.35"/>
    <row r="331" spans="1:18" s="11" customFormat="1" ht="13.5" x14ac:dyDescent="0.35"/>
    <row r="332" spans="1:18" s="11" customFormat="1" ht="13.5" x14ac:dyDescent="0.35"/>
    <row r="333" spans="1:18" s="11" customFormat="1" ht="13.5" x14ac:dyDescent="0.35"/>
    <row r="334" spans="1:18" s="11" customFormat="1" ht="13.5" x14ac:dyDescent="0.35"/>
    <row r="335" spans="1:18" s="11" customFormat="1" ht="13.5" x14ac:dyDescent="0.35"/>
    <row r="336" spans="1:18" s="11" customFormat="1" ht="13.5" x14ac:dyDescent="0.35"/>
    <row r="337" s="11" customFormat="1" ht="13.5" x14ac:dyDescent="0.35"/>
    <row r="338" s="11" customFormat="1" ht="13.5" x14ac:dyDescent="0.35"/>
    <row r="339" s="11" customFormat="1" ht="13.5" x14ac:dyDescent="0.35"/>
    <row r="340" s="11" customFormat="1" ht="13.5" x14ac:dyDescent="0.35"/>
    <row r="341" s="11" customFormat="1" ht="13.5" x14ac:dyDescent="0.35"/>
    <row r="342" s="11" customFormat="1" ht="13.5" x14ac:dyDescent="0.35"/>
    <row r="343" s="11" customFormat="1" ht="13.5" x14ac:dyDescent="0.35"/>
    <row r="344" s="11" customFormat="1" ht="13.5" x14ac:dyDescent="0.35"/>
    <row r="345" s="11" customFormat="1" ht="13.5" x14ac:dyDescent="0.35"/>
    <row r="346" s="11" customFormat="1" ht="13.5" x14ac:dyDescent="0.35"/>
    <row r="347" s="11" customFormat="1" ht="13.5" x14ac:dyDescent="0.35"/>
    <row r="348" s="11" customFormat="1" ht="13.5" x14ac:dyDescent="0.35"/>
    <row r="349" s="11" customFormat="1" ht="13.5" x14ac:dyDescent="0.35"/>
    <row r="350" s="11" customFormat="1" ht="13.5" x14ac:dyDescent="0.35"/>
    <row r="351" s="11" customFormat="1" ht="13.5" x14ac:dyDescent="0.35"/>
    <row r="352" s="11" customFormat="1" ht="13.5" x14ac:dyDescent="0.35"/>
    <row r="353" s="11" customFormat="1" ht="13.5" x14ac:dyDescent="0.35"/>
    <row r="354" s="11" customFormat="1" ht="13.5" x14ac:dyDescent="0.35"/>
    <row r="355" s="11" customFormat="1" ht="13.5" x14ac:dyDescent="0.35"/>
    <row r="356" s="11" customFormat="1" ht="13.5" x14ac:dyDescent="0.35"/>
    <row r="357" s="11" customFormat="1" ht="13.5" x14ac:dyDescent="0.35"/>
    <row r="358" s="11" customFormat="1" ht="13.5" x14ac:dyDescent="0.35"/>
    <row r="359" s="11" customFormat="1" ht="13.5" x14ac:dyDescent="0.35"/>
    <row r="360" s="11" customFormat="1" ht="13.5" x14ac:dyDescent="0.35"/>
    <row r="361" s="11" customFormat="1" ht="13.5" x14ac:dyDescent="0.35"/>
    <row r="362" s="11" customFormat="1" ht="13.5" x14ac:dyDescent="0.35"/>
    <row r="363" s="11" customFormat="1" ht="13.5" x14ac:dyDescent="0.35"/>
    <row r="364" s="11" customFormat="1" ht="13.5" x14ac:dyDescent="0.35"/>
    <row r="365" s="11" customFormat="1" ht="13.5" x14ac:dyDescent="0.35"/>
    <row r="366" s="11" customFormat="1" ht="13.5" x14ac:dyDescent="0.35"/>
    <row r="367" s="11" customFormat="1" ht="13.5" x14ac:dyDescent="0.35"/>
    <row r="368" s="11" customFormat="1" ht="13.5" x14ac:dyDescent="0.35"/>
    <row r="369" s="11" customFormat="1" ht="13.5" x14ac:dyDescent="0.35"/>
    <row r="370" s="11" customFormat="1" ht="13.5" x14ac:dyDescent="0.35"/>
    <row r="371" s="11" customFormat="1" ht="13.5" x14ac:dyDescent="0.35"/>
    <row r="372" s="11" customFormat="1" ht="13.5" x14ac:dyDescent="0.35"/>
    <row r="373" s="11" customFormat="1" ht="13.5" x14ac:dyDescent="0.35"/>
    <row r="374" s="11" customFormat="1" ht="13.5" x14ac:dyDescent="0.35"/>
    <row r="375" s="11" customFormat="1" ht="13.5" x14ac:dyDescent="0.35"/>
    <row r="376" s="11" customFormat="1" ht="13.5" x14ac:dyDescent="0.35"/>
    <row r="377" s="11" customFormat="1" ht="13.5" x14ac:dyDescent="0.35"/>
    <row r="378" s="11" customFormat="1" ht="13.5" x14ac:dyDescent="0.35"/>
    <row r="379" s="11" customFormat="1" ht="13.5" x14ac:dyDescent="0.35"/>
    <row r="380" s="11" customFormat="1" ht="13.5" x14ac:dyDescent="0.35"/>
    <row r="381" s="11" customFormat="1" ht="13.5" x14ac:dyDescent="0.35"/>
    <row r="382" s="11" customFormat="1" ht="13.5" x14ac:dyDescent="0.35"/>
    <row r="383" s="11" customFormat="1" ht="13.5" x14ac:dyDescent="0.35"/>
    <row r="384" s="11" customFormat="1" ht="13.5" x14ac:dyDescent="0.35"/>
    <row r="385" s="11" customFormat="1" ht="13.5" x14ac:dyDescent="0.35"/>
    <row r="386" s="11" customFormat="1" ht="13.5" x14ac:dyDescent="0.35"/>
    <row r="387" s="11" customFormat="1" ht="13.5" x14ac:dyDescent="0.35"/>
    <row r="388" s="11" customFormat="1" ht="13.5" x14ac:dyDescent="0.35"/>
    <row r="389" s="11" customFormat="1" ht="13.5" x14ac:dyDescent="0.35"/>
    <row r="390" s="11" customFormat="1" ht="13.5" x14ac:dyDescent="0.35"/>
    <row r="391" s="11" customFormat="1" ht="13.5" x14ac:dyDescent="0.35"/>
    <row r="392" s="11" customFormat="1" ht="13.5" x14ac:dyDescent="0.35"/>
    <row r="393" s="11" customFormat="1" ht="13.5" x14ac:dyDescent="0.35"/>
    <row r="394" s="11" customFormat="1" ht="13.5" x14ac:dyDescent="0.35"/>
    <row r="395" s="11" customFormat="1" ht="13.5" x14ac:dyDescent="0.35"/>
    <row r="396" s="11" customFormat="1" ht="13.5" x14ac:dyDescent="0.35"/>
    <row r="397" s="11" customFormat="1" ht="13.5" x14ac:dyDescent="0.35"/>
    <row r="398" s="11" customFormat="1" ht="13.5" x14ac:dyDescent="0.35"/>
    <row r="399" s="11" customFormat="1" ht="13.5" x14ac:dyDescent="0.35"/>
    <row r="400" s="11" customFormat="1" ht="13.5" x14ac:dyDescent="0.35"/>
    <row r="401" s="11" customFormat="1" ht="13.5" x14ac:dyDescent="0.35"/>
    <row r="402" s="11" customFormat="1" ht="13.5" x14ac:dyDescent="0.35"/>
    <row r="403" s="11" customFormat="1" ht="13.5" x14ac:dyDescent="0.35"/>
    <row r="404" s="11" customFormat="1" ht="13.5" x14ac:dyDescent="0.35"/>
    <row r="405" s="11" customFormat="1" ht="13.5" x14ac:dyDescent="0.35"/>
    <row r="406" s="11" customFormat="1" ht="13.5" x14ac:dyDescent="0.35"/>
    <row r="407" s="11" customFormat="1" ht="13.5" x14ac:dyDescent="0.35"/>
    <row r="408" s="11" customFormat="1" ht="13.5" x14ac:dyDescent="0.35"/>
    <row r="409" s="11" customFormat="1" ht="13.5" x14ac:dyDescent="0.35"/>
    <row r="410" s="11" customFormat="1" ht="13.5" x14ac:dyDescent="0.35"/>
    <row r="411" s="11" customFormat="1" ht="13.5" x14ac:dyDescent="0.35"/>
    <row r="412" s="11" customFormat="1" ht="13.5" x14ac:dyDescent="0.35"/>
    <row r="413" s="11" customFormat="1" ht="13.5" x14ac:dyDescent="0.35"/>
    <row r="414" s="11" customFormat="1" ht="13.5" x14ac:dyDescent="0.35"/>
    <row r="415" s="11" customFormat="1" ht="13.5" x14ac:dyDescent="0.35"/>
    <row r="416" s="11" customFormat="1" ht="13.5" x14ac:dyDescent="0.35"/>
    <row r="417" s="11" customFormat="1" ht="13.5" x14ac:dyDescent="0.35"/>
    <row r="418" s="11" customFormat="1" ht="13.5" x14ac:dyDescent="0.35"/>
    <row r="419" s="11" customFormat="1" ht="13.5" x14ac:dyDescent="0.35"/>
    <row r="420" s="11" customFormat="1" ht="13.5" x14ac:dyDescent="0.35"/>
    <row r="421" s="11" customFormat="1" ht="13.5" x14ac:dyDescent="0.35"/>
    <row r="422" s="11" customFormat="1" ht="13.5" x14ac:dyDescent="0.35"/>
    <row r="423" s="11" customFormat="1" ht="13.5" x14ac:dyDescent="0.35"/>
    <row r="424" s="11" customFormat="1" ht="13.5" x14ac:dyDescent="0.35"/>
    <row r="425" s="11" customFormat="1" ht="13.5" x14ac:dyDescent="0.35"/>
    <row r="426" s="11" customFormat="1" ht="13.5" x14ac:dyDescent="0.35"/>
    <row r="427" s="11" customFormat="1" ht="13.5" x14ac:dyDescent="0.35"/>
    <row r="428" s="11" customFormat="1" ht="13.5" x14ac:dyDescent="0.35"/>
    <row r="429" s="11" customFormat="1" ht="13.5" x14ac:dyDescent="0.35"/>
    <row r="430" s="11" customFormat="1" ht="13.5" x14ac:dyDescent="0.35"/>
    <row r="431" s="11" customFormat="1" ht="13.5" x14ac:dyDescent="0.35"/>
    <row r="432" s="11" customFormat="1" ht="13.5" x14ac:dyDescent="0.35"/>
    <row r="433" s="11" customFormat="1" ht="13.5" x14ac:dyDescent="0.35"/>
    <row r="434" s="11" customFormat="1" ht="13.5" x14ac:dyDescent="0.35"/>
    <row r="435" s="11" customFormat="1" ht="13.5" x14ac:dyDescent="0.35"/>
    <row r="436" s="11" customFormat="1" ht="13.5" x14ac:dyDescent="0.35"/>
    <row r="437" s="11" customFormat="1" ht="13.5" x14ac:dyDescent="0.35"/>
    <row r="438" s="11" customFormat="1" ht="13.5" x14ac:dyDescent="0.35"/>
    <row r="439" s="11" customFormat="1" ht="13.5" x14ac:dyDescent="0.35"/>
    <row r="440" s="11" customFormat="1" ht="13.5" x14ac:dyDescent="0.35"/>
    <row r="441" s="11" customFormat="1" ht="13.5" x14ac:dyDescent="0.35"/>
    <row r="442" s="11" customFormat="1" ht="13.5" x14ac:dyDescent="0.35"/>
    <row r="443" s="11" customFormat="1" ht="13.5" x14ac:dyDescent="0.35"/>
    <row r="444" s="11" customFormat="1" ht="13.5" x14ac:dyDescent="0.35"/>
    <row r="445" s="11" customFormat="1" ht="13.5" x14ac:dyDescent="0.35"/>
    <row r="446" s="11" customFormat="1" ht="13.5" x14ac:dyDescent="0.35"/>
    <row r="447" s="11" customFormat="1" ht="13.5" x14ac:dyDescent="0.35"/>
    <row r="448" s="11" customFormat="1" ht="13.5" x14ac:dyDescent="0.35"/>
    <row r="449" s="11" customFormat="1" ht="13.5" x14ac:dyDescent="0.35"/>
    <row r="450" s="11" customFormat="1" ht="13.5" x14ac:dyDescent="0.35"/>
    <row r="451" s="11" customFormat="1" ht="13.5" x14ac:dyDescent="0.35"/>
    <row r="452" s="11" customFormat="1" ht="13.5" x14ac:dyDescent="0.35"/>
    <row r="453" s="11" customFormat="1" ht="13.5" x14ac:dyDescent="0.35"/>
    <row r="454" s="11" customFormat="1" ht="13.5" x14ac:dyDescent="0.35"/>
    <row r="455" s="11" customFormat="1" ht="13.5" x14ac:dyDescent="0.35"/>
    <row r="456" s="11" customFormat="1" ht="13.5" x14ac:dyDescent="0.35"/>
    <row r="457" s="11" customFormat="1" ht="13.5" x14ac:dyDescent="0.35"/>
    <row r="458" s="11" customFormat="1" ht="13.5" x14ac:dyDescent="0.35"/>
    <row r="459" s="11" customFormat="1" ht="13.5" x14ac:dyDescent="0.35"/>
    <row r="460" s="11" customFormat="1" ht="13.5" x14ac:dyDescent="0.35"/>
    <row r="461" s="11" customFormat="1" ht="13.5" x14ac:dyDescent="0.35"/>
    <row r="462" s="11" customFormat="1" ht="13.5" x14ac:dyDescent="0.35"/>
    <row r="463" s="11" customFormat="1" ht="13.5" x14ac:dyDescent="0.35"/>
    <row r="464" s="11" customFormat="1" ht="13.5" x14ac:dyDescent="0.35"/>
    <row r="465" s="11" customFormat="1" ht="13.5" x14ac:dyDescent="0.35"/>
    <row r="466" s="11" customFormat="1" ht="13.5" x14ac:dyDescent="0.35"/>
    <row r="467" s="11" customFormat="1" ht="13.5" x14ac:dyDescent="0.35"/>
    <row r="468" s="11" customFormat="1" ht="13.5" x14ac:dyDescent="0.35"/>
    <row r="469" s="11" customFormat="1" ht="13.5" x14ac:dyDescent="0.35"/>
    <row r="470" s="11" customFormat="1" ht="13.5" x14ac:dyDescent="0.35"/>
    <row r="471" s="11" customFormat="1" ht="13.5" x14ac:dyDescent="0.35"/>
    <row r="472" s="11" customFormat="1" ht="13.5" x14ac:dyDescent="0.35"/>
    <row r="473" s="11" customFormat="1" ht="13.5" x14ac:dyDescent="0.35"/>
    <row r="474" s="11" customFormat="1" ht="13.5" x14ac:dyDescent="0.35"/>
    <row r="475" s="11" customFormat="1" ht="13.5" x14ac:dyDescent="0.35"/>
    <row r="476" s="11" customFormat="1" ht="13.5" x14ac:dyDescent="0.35"/>
    <row r="477" s="11" customFormat="1" ht="13.5" x14ac:dyDescent="0.35"/>
    <row r="478" s="11" customFormat="1" ht="13.5" x14ac:dyDescent="0.35"/>
    <row r="479" s="11" customFormat="1" ht="13.5" x14ac:dyDescent="0.35"/>
    <row r="480" s="11" customFormat="1" ht="13.5" x14ac:dyDescent="0.35"/>
    <row r="481" s="11" customFormat="1" ht="13.5" x14ac:dyDescent="0.35"/>
    <row r="482" s="11" customFormat="1" ht="13.5" x14ac:dyDescent="0.35"/>
    <row r="483" s="11" customFormat="1" ht="13.5" x14ac:dyDescent="0.35"/>
    <row r="484" s="11" customFormat="1" ht="13.5" x14ac:dyDescent="0.35"/>
    <row r="485" s="11" customFormat="1" ht="13.5" x14ac:dyDescent="0.35"/>
    <row r="486" s="11" customFormat="1" ht="13.5" x14ac:dyDescent="0.35"/>
    <row r="487" s="11" customFormat="1" ht="13.5" x14ac:dyDescent="0.35"/>
    <row r="488" s="11" customFormat="1" ht="13.5" x14ac:dyDescent="0.35"/>
    <row r="489" s="11" customFormat="1" ht="13.5" x14ac:dyDescent="0.35"/>
    <row r="490" s="11" customFormat="1" ht="13.5" x14ac:dyDescent="0.35"/>
    <row r="491" s="11" customFormat="1" ht="13.5" x14ac:dyDescent="0.35"/>
    <row r="492" s="11" customFormat="1" ht="13.5" x14ac:dyDescent="0.35"/>
    <row r="493" s="11" customFormat="1" ht="13.5" x14ac:dyDescent="0.35"/>
    <row r="494" s="11" customFormat="1" ht="13.5" x14ac:dyDescent="0.35"/>
    <row r="495" s="11" customFormat="1" ht="13.5" x14ac:dyDescent="0.35"/>
    <row r="496" s="11" customFormat="1" ht="13.5" x14ac:dyDescent="0.35"/>
    <row r="497" s="11" customFormat="1" ht="13.5" x14ac:dyDescent="0.35"/>
    <row r="498" s="11" customFormat="1" ht="13.5" x14ac:dyDescent="0.35"/>
    <row r="499" s="11" customFormat="1" ht="13.5" x14ac:dyDescent="0.35"/>
    <row r="500" s="11" customFormat="1" ht="13.5" x14ac:dyDescent="0.35"/>
    <row r="501" s="11" customFormat="1" ht="13.5" x14ac:dyDescent="0.35"/>
    <row r="502" s="11" customFormat="1" ht="13.5" x14ac:dyDescent="0.35"/>
    <row r="503" s="11" customFormat="1" ht="13.5" x14ac:dyDescent="0.35"/>
    <row r="504" s="11" customFormat="1" ht="13.5" x14ac:dyDescent="0.35"/>
    <row r="505" s="11" customFormat="1" ht="13.5" x14ac:dyDescent="0.35"/>
    <row r="506" s="11" customFormat="1" ht="13.5" x14ac:dyDescent="0.35"/>
    <row r="507" s="11" customFormat="1" ht="13.5" x14ac:dyDescent="0.35"/>
    <row r="508" s="11" customFormat="1" ht="13.5" x14ac:dyDescent="0.35"/>
    <row r="509" s="11" customFormat="1" ht="13.5" x14ac:dyDescent="0.35"/>
    <row r="510" s="11" customFormat="1" ht="13.5" x14ac:dyDescent="0.35"/>
    <row r="511" s="11" customFormat="1" ht="13.5" x14ac:dyDescent="0.35"/>
    <row r="512" s="11" customFormat="1" ht="13.5" x14ac:dyDescent="0.35"/>
    <row r="513" s="11" customFormat="1" ht="13.5" x14ac:dyDescent="0.35"/>
    <row r="514" s="11" customFormat="1" ht="13.5" x14ac:dyDescent="0.35"/>
    <row r="515" s="11" customFormat="1" ht="13.5" x14ac:dyDescent="0.35"/>
    <row r="516" s="11" customFormat="1" ht="13.5" x14ac:dyDescent="0.35"/>
    <row r="517" s="11" customFormat="1" ht="13.5" x14ac:dyDescent="0.35"/>
    <row r="518" s="11" customFormat="1" ht="13.5" x14ac:dyDescent="0.35"/>
    <row r="519" s="11" customFormat="1" ht="13.5" x14ac:dyDescent="0.35"/>
    <row r="520" s="11" customFormat="1" ht="13.5" x14ac:dyDescent="0.35"/>
    <row r="521" s="11" customFormat="1" ht="13.5" x14ac:dyDescent="0.35"/>
    <row r="522" s="11" customFormat="1" ht="13.5" x14ac:dyDescent="0.35"/>
    <row r="523" s="11" customFormat="1" ht="13.5" x14ac:dyDescent="0.35"/>
    <row r="524" s="11" customFormat="1" ht="13.5" x14ac:dyDescent="0.35"/>
    <row r="525" s="11" customFormat="1" ht="13.5" x14ac:dyDescent="0.35"/>
    <row r="526" s="11" customFormat="1" ht="13.5" x14ac:dyDescent="0.35"/>
    <row r="527" s="11" customFormat="1" ht="13.5" x14ac:dyDescent="0.35"/>
    <row r="528" s="11" customFormat="1" ht="13.5" x14ac:dyDescent="0.35"/>
    <row r="529" s="11" customFormat="1" ht="13.5" x14ac:dyDescent="0.35"/>
    <row r="530" s="11" customFormat="1" ht="13.5" x14ac:dyDescent="0.35"/>
    <row r="531" s="11" customFormat="1" ht="13.5" x14ac:dyDescent="0.35"/>
    <row r="532" s="11" customFormat="1" ht="13.5" x14ac:dyDescent="0.35"/>
    <row r="533" s="11" customFormat="1" ht="13.5" x14ac:dyDescent="0.35"/>
    <row r="534" s="11" customFormat="1" ht="13.5" x14ac:dyDescent="0.35"/>
    <row r="535" s="11" customFormat="1" ht="13.5" x14ac:dyDescent="0.35"/>
    <row r="536" s="11" customFormat="1" ht="13.5" x14ac:dyDescent="0.35"/>
    <row r="537" s="11" customFormat="1" ht="13.5" x14ac:dyDescent="0.35"/>
    <row r="538" s="11" customFormat="1" ht="13.5" x14ac:dyDescent="0.35"/>
    <row r="539" s="11" customFormat="1" ht="13.5" x14ac:dyDescent="0.35"/>
    <row r="540" s="11" customFormat="1" ht="13.5" x14ac:dyDescent="0.35"/>
    <row r="541" s="11" customFormat="1" ht="13.5" x14ac:dyDescent="0.35"/>
    <row r="542" s="11" customFormat="1" ht="13.5" x14ac:dyDescent="0.35"/>
    <row r="543" s="11" customFormat="1" ht="13.5" x14ac:dyDescent="0.35"/>
    <row r="544" s="11" customFormat="1" ht="13.5" x14ac:dyDescent="0.35"/>
    <row r="545" s="11" customFormat="1" ht="13.5" x14ac:dyDescent="0.35"/>
    <row r="546" s="11" customFormat="1" ht="13.5" x14ac:dyDescent="0.35"/>
    <row r="547" s="11" customFormat="1" ht="13.5" x14ac:dyDescent="0.35"/>
    <row r="548" s="11" customFormat="1" ht="13.5" x14ac:dyDescent="0.35"/>
    <row r="549" s="11" customFormat="1" ht="13.5" x14ac:dyDescent="0.35"/>
    <row r="550" s="11" customFormat="1" ht="13.5" x14ac:dyDescent="0.35"/>
    <row r="551" s="11" customFormat="1" ht="13.5" x14ac:dyDescent="0.35"/>
    <row r="552" s="11" customFormat="1" ht="13.5" x14ac:dyDescent="0.35"/>
    <row r="553" s="11" customFormat="1" ht="13.5" x14ac:dyDescent="0.35"/>
    <row r="554" s="11" customFormat="1" ht="13.5" x14ac:dyDescent="0.35"/>
    <row r="555" s="11" customFormat="1" ht="13.5" x14ac:dyDescent="0.35"/>
    <row r="556" s="11" customFormat="1" ht="13.5" x14ac:dyDescent="0.35"/>
    <row r="557" s="11" customFormat="1" ht="13.5" x14ac:dyDescent="0.35"/>
    <row r="558" s="11" customFormat="1" ht="13.5" x14ac:dyDescent="0.35"/>
    <row r="559" s="11" customFormat="1" ht="13.5" x14ac:dyDescent="0.35"/>
    <row r="560" s="11" customFormat="1" ht="13.5" x14ac:dyDescent="0.35"/>
    <row r="561" s="11" customFormat="1" ht="13.5" x14ac:dyDescent="0.35"/>
    <row r="562" s="11" customFormat="1" ht="13.5" x14ac:dyDescent="0.35"/>
    <row r="563" s="11" customFormat="1" ht="13.5" x14ac:dyDescent="0.35"/>
    <row r="564" s="11" customFormat="1" ht="13.5" x14ac:dyDescent="0.35"/>
    <row r="565" s="11" customFormat="1" ht="13.5" x14ac:dyDescent="0.35"/>
    <row r="566" s="11" customFormat="1" ht="13.5" x14ac:dyDescent="0.35"/>
    <row r="567" s="11" customFormat="1" ht="13.5" x14ac:dyDescent="0.35"/>
    <row r="568" s="11" customFormat="1" ht="13.5" x14ac:dyDescent="0.35"/>
    <row r="569" s="11" customFormat="1" ht="13.5" x14ac:dyDescent="0.35"/>
    <row r="570" s="11" customFormat="1" ht="13.5" x14ac:dyDescent="0.35"/>
    <row r="571" s="11" customFormat="1" ht="13.5" x14ac:dyDescent="0.35"/>
    <row r="572" s="11" customFormat="1" ht="13.5" x14ac:dyDescent="0.35"/>
    <row r="573" s="11" customFormat="1" ht="13.5" x14ac:dyDescent="0.35"/>
    <row r="574" s="11" customFormat="1" ht="13.5" x14ac:dyDescent="0.35"/>
    <row r="575" s="11" customFormat="1" ht="13.5" x14ac:dyDescent="0.35"/>
    <row r="576" s="11" customFormat="1" ht="13.5" x14ac:dyDescent="0.35"/>
    <row r="577" spans="1:18" s="11" customFormat="1" ht="13.5" x14ac:dyDescent="0.35"/>
    <row r="578" spans="1:18" s="11" customFormat="1" ht="13.5" x14ac:dyDescent="0.35"/>
    <row r="579" spans="1:18" s="11" customFormat="1" ht="13.5" x14ac:dyDescent="0.35"/>
    <row r="580" spans="1:18" s="11" customFormat="1" ht="13.5" x14ac:dyDescent="0.35"/>
    <row r="581" spans="1:18" s="11" customFormat="1" ht="13.5" x14ac:dyDescent="0.35"/>
    <row r="582" spans="1:18" s="11" customFormat="1" ht="13.5" x14ac:dyDescent="0.35"/>
    <row r="583" spans="1:18" s="11" customFormat="1" ht="13.5" x14ac:dyDescent="0.35"/>
    <row r="584" spans="1:18" s="11" customFormat="1" ht="13.5" x14ac:dyDescent="0.35"/>
    <row r="585" spans="1:18" s="11" customFormat="1" ht="13.5" x14ac:dyDescent="0.35"/>
    <row r="586" spans="1:18" s="11" customFormat="1" ht="13.5" x14ac:dyDescent="0.35"/>
    <row r="587" spans="1:18" s="11" customFormat="1" ht="13.5" x14ac:dyDescent="0.35">
      <c r="O587" s="4"/>
      <c r="P587" s="4"/>
      <c r="Q587" s="4"/>
      <c r="R587" s="4"/>
    </row>
    <row r="588" spans="1:18" s="11" customFormat="1" ht="13.5" x14ac:dyDescent="0.35">
      <c r="O588" s="4"/>
      <c r="P588" s="4"/>
      <c r="Q588" s="4"/>
      <c r="R588" s="4"/>
    </row>
    <row r="589" spans="1:18" s="11" customFormat="1" ht="13.5" x14ac:dyDescent="0.35">
      <c r="O589" s="4"/>
      <c r="P589" s="4"/>
      <c r="Q589" s="4"/>
      <c r="R589" s="4"/>
    </row>
    <row r="590" spans="1:18" s="11" customFormat="1" ht="13.5" x14ac:dyDescent="0.35">
      <c r="O590" s="4"/>
      <c r="P590" s="4"/>
      <c r="Q590" s="4"/>
      <c r="R590" s="4"/>
    </row>
    <row r="591" spans="1:18" ht="13.5" x14ac:dyDescent="0.3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</row>
    <row r="592" spans="1:18" ht="13.5" x14ac:dyDescent="0.3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</row>
  </sheetData>
  <mergeCells count="69">
    <mergeCell ref="B288:L288"/>
    <mergeCell ref="B270:L270"/>
    <mergeCell ref="B272:L272"/>
    <mergeCell ref="B276:L276"/>
    <mergeCell ref="B278:L278"/>
    <mergeCell ref="B289:L289"/>
    <mergeCell ref="B283:L283"/>
    <mergeCell ref="B284:L284"/>
    <mergeCell ref="B285:L285"/>
    <mergeCell ref="B286:L286"/>
    <mergeCell ref="B287:L287"/>
    <mergeCell ref="B281:L281"/>
    <mergeCell ref="B254:L254"/>
    <mergeCell ref="B219:L219"/>
    <mergeCell ref="B223:L223"/>
    <mergeCell ref="B225:L225"/>
    <mergeCell ref="B230:L230"/>
    <mergeCell ref="B246:L246"/>
    <mergeCell ref="B247:L247"/>
    <mergeCell ref="B257:L257"/>
    <mergeCell ref="B260:L260"/>
    <mergeCell ref="B182:L182"/>
    <mergeCell ref="B183:L183"/>
    <mergeCell ref="B188:L188"/>
    <mergeCell ref="B193:L193"/>
    <mergeCell ref="B201:L201"/>
    <mergeCell ref="B212:L212"/>
    <mergeCell ref="B158:L158"/>
    <mergeCell ref="B160:L160"/>
    <mergeCell ref="B161:L161"/>
    <mergeCell ref="B167:L167"/>
    <mergeCell ref="B171:L171"/>
    <mergeCell ref="B179:L179"/>
    <mergeCell ref="B146:L146"/>
    <mergeCell ref="B147:L147"/>
    <mergeCell ref="B148:L148"/>
    <mergeCell ref="B149:L149"/>
    <mergeCell ref="B154:L154"/>
    <mergeCell ref="B156:L156"/>
    <mergeCell ref="B134:L134"/>
    <mergeCell ref="B136:L136"/>
    <mergeCell ref="B141:L141"/>
    <mergeCell ref="B142:L142"/>
    <mergeCell ref="B143:L143"/>
    <mergeCell ref="B144:L144"/>
    <mergeCell ref="B117:L117"/>
    <mergeCell ref="B119:L119"/>
    <mergeCell ref="B122:L122"/>
    <mergeCell ref="B126:L126"/>
    <mergeCell ref="B128:L128"/>
    <mergeCell ref="B130:L130"/>
    <mergeCell ref="B99:L99"/>
    <mergeCell ref="B101:L101"/>
    <mergeCell ref="B102:L102"/>
    <mergeCell ref="B106:L106"/>
    <mergeCell ref="B107:L107"/>
    <mergeCell ref="B112:L112"/>
    <mergeCell ref="B89:L89"/>
    <mergeCell ref="B91:L91"/>
    <mergeCell ref="B93:L93"/>
    <mergeCell ref="B94:L94"/>
    <mergeCell ref="B95:L95"/>
    <mergeCell ref="B98:L98"/>
    <mergeCell ref="A1:L1"/>
    <mergeCell ref="B72:L72"/>
    <mergeCell ref="B74:L74"/>
    <mergeCell ref="B80:L80"/>
    <mergeCell ref="B82:L82"/>
    <mergeCell ref="B85:L85"/>
  </mergeCells>
  <phoneticPr fontId="0" type="noConversion"/>
  <printOptions horizontalCentered="1" verticalCentered="1"/>
  <pageMargins left="0.35433070866141736" right="3.937007874015748E-2" top="0.31496062992125984" bottom="0" header="0.51181102362204722" footer="0.51181102362204722"/>
  <pageSetup scale="64" fitToWidth="2" fitToHeight="2" orientation="portrait" horizontalDpi="4294967295" verticalDpi="300" r:id="rId1"/>
  <headerFooter scaleWithDoc="0" alignWithMargins="0">
    <oddHeader>&amp;R&amp;G</oddHeader>
    <oddFooter>&amp;R&amp;"Verdana,Italic"&amp;K0033CCCWT Monthly Report - December 2014</oddFooter>
  </headerFooter>
  <ignoredErrors>
    <ignoredError sqref="B312" formulaRange="1"/>
  </ignoredError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D677D-77DE-4480-86E8-64DF867F1158}">
  <dimension ref="A1:BA336"/>
  <sheetViews>
    <sheetView showGridLines="0" tabSelected="1" zoomScale="75" zoomScaleNormal="75" zoomScaleSheetLayoutView="75" workbookViewId="0">
      <pane xSplit="1" ySplit="4" topLeftCell="B278" activePane="bottomRight" state="frozen"/>
      <selection activeCell="A29" sqref="A29"/>
      <selection pane="topRight" activeCell="A29" sqref="A29"/>
      <selection pane="bottomLeft" activeCell="A29" sqref="A29"/>
      <selection pane="bottomRight" activeCell="B288" sqref="B288:R288"/>
    </sheetView>
  </sheetViews>
  <sheetFormatPr defaultColWidth="9.1328125" defaultRowHeight="13.5" x14ac:dyDescent="0.35"/>
  <cols>
    <col min="1" max="1" width="12.1328125" style="21" customWidth="1"/>
    <col min="2" max="2" width="9.265625" style="21" customWidth="1"/>
    <col min="3" max="4" width="12.265625" style="21" customWidth="1"/>
    <col min="5" max="5" width="11.1328125" style="21" customWidth="1"/>
    <col min="6" max="7" width="13.3984375" style="21" customWidth="1"/>
    <col min="8" max="8" width="13.265625" style="21" customWidth="1"/>
    <col min="9" max="9" width="13.59765625" style="21" customWidth="1"/>
    <col min="10" max="10" width="8.3984375" style="21" customWidth="1"/>
    <col min="11" max="11" width="11.59765625" style="21" customWidth="1"/>
    <col min="12" max="12" width="11.73046875" style="21" customWidth="1"/>
    <col min="13" max="13" width="11.59765625" style="21" customWidth="1"/>
    <col min="14" max="15" width="11.3984375" style="21" customWidth="1"/>
    <col min="16" max="16" width="11.1328125" style="21" customWidth="1"/>
    <col min="17" max="17" width="13.1328125" style="21" customWidth="1"/>
    <col min="18" max="18" width="11.3984375" style="21" bestFit="1" customWidth="1"/>
    <col min="19" max="19" width="3.3984375" style="23" customWidth="1"/>
    <col min="20" max="41" width="8.86328125" customWidth="1"/>
    <col min="42" max="42" width="4.3984375" style="21" customWidth="1"/>
    <col min="43" max="16384" width="9.1328125" style="21"/>
  </cols>
  <sheetData>
    <row r="1" spans="1:53" s="23" customFormat="1" ht="19.899999999999999" x14ac:dyDescent="0.35">
      <c r="A1" s="132" t="s">
        <v>33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7"/>
    </row>
    <row r="2" spans="1:53" s="23" customFormat="1" ht="13.9" thickBot="1" x14ac:dyDescent="0.4"/>
    <row r="3" spans="1:53" ht="30" customHeight="1" x14ac:dyDescent="0.35">
      <c r="A3" s="133" t="s">
        <v>0</v>
      </c>
      <c r="B3" s="78" t="s">
        <v>1</v>
      </c>
      <c r="C3" s="78" t="s">
        <v>2</v>
      </c>
      <c r="D3" s="105" t="s">
        <v>353</v>
      </c>
      <c r="E3" s="78" t="s">
        <v>18</v>
      </c>
      <c r="F3" s="78" t="s">
        <v>3</v>
      </c>
      <c r="G3" s="78" t="s">
        <v>28</v>
      </c>
      <c r="H3" s="78" t="s">
        <v>4</v>
      </c>
      <c r="I3" s="78" t="s">
        <v>5</v>
      </c>
      <c r="J3" s="78" t="s">
        <v>6</v>
      </c>
      <c r="K3" s="78" t="s">
        <v>7</v>
      </c>
      <c r="L3" s="78" t="s">
        <v>49</v>
      </c>
      <c r="M3" s="78" t="s">
        <v>30</v>
      </c>
      <c r="N3" s="78" t="s">
        <v>31</v>
      </c>
      <c r="O3" s="78" t="s">
        <v>34</v>
      </c>
      <c r="P3" s="78" t="s">
        <v>35</v>
      </c>
      <c r="Q3" s="78" t="s">
        <v>36</v>
      </c>
      <c r="R3" s="79" t="s">
        <v>25</v>
      </c>
      <c r="S3" s="29"/>
      <c r="AP3" s="30"/>
    </row>
    <row r="4" spans="1:53" ht="45.75" customHeight="1" thickBot="1" x14ac:dyDescent="0.4">
      <c r="A4" s="134"/>
      <c r="B4" s="80" t="s">
        <v>47</v>
      </c>
      <c r="C4" s="80" t="s">
        <v>37</v>
      </c>
      <c r="D4" s="106" t="s">
        <v>354</v>
      </c>
      <c r="E4" s="81" t="s">
        <v>44</v>
      </c>
      <c r="F4" s="80" t="s">
        <v>45</v>
      </c>
      <c r="G4" s="80" t="s">
        <v>48</v>
      </c>
      <c r="H4" s="80" t="s">
        <v>38</v>
      </c>
      <c r="I4" s="80" t="s">
        <v>11</v>
      </c>
      <c r="J4" s="80" t="s">
        <v>11</v>
      </c>
      <c r="K4" s="80" t="s">
        <v>39</v>
      </c>
      <c r="L4" s="80" t="s">
        <v>50</v>
      </c>
      <c r="M4" s="80" t="s">
        <v>40</v>
      </c>
      <c r="N4" s="80" t="s">
        <v>41</v>
      </c>
      <c r="O4" s="80" t="s">
        <v>42</v>
      </c>
      <c r="P4" s="80" t="s">
        <v>11</v>
      </c>
      <c r="Q4" s="80" t="s">
        <v>43</v>
      </c>
      <c r="R4" s="82" t="s">
        <v>46</v>
      </c>
      <c r="S4" s="29"/>
      <c r="AP4" s="30"/>
    </row>
    <row r="5" spans="1:53" ht="18" customHeight="1" x14ac:dyDescent="0.35">
      <c r="A5" s="100">
        <v>45537</v>
      </c>
      <c r="B5" s="1">
        <v>8.85</v>
      </c>
      <c r="C5" s="12" t="s">
        <v>51</v>
      </c>
      <c r="D5" s="12"/>
      <c r="E5" s="1" t="s">
        <v>32</v>
      </c>
      <c r="F5" s="85"/>
      <c r="G5" s="85">
        <v>875</v>
      </c>
      <c r="H5" s="76">
        <v>425</v>
      </c>
      <c r="I5" s="76">
        <v>262</v>
      </c>
      <c r="J5" s="25">
        <f t="shared" ref="J5:J34" si="0">H5-I5</f>
        <v>163</v>
      </c>
      <c r="K5" s="86">
        <v>130</v>
      </c>
      <c r="L5" s="87">
        <v>7</v>
      </c>
      <c r="M5" s="88">
        <v>295</v>
      </c>
      <c r="N5" s="87">
        <v>6</v>
      </c>
      <c r="O5" s="69" t="s">
        <v>51</v>
      </c>
      <c r="P5" s="12"/>
      <c r="Q5" s="88"/>
      <c r="R5" s="89" t="s">
        <v>51</v>
      </c>
      <c r="S5" s="31"/>
      <c r="AP5" s="3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</row>
    <row r="6" spans="1:53" ht="18" customHeight="1" x14ac:dyDescent="0.35">
      <c r="A6" s="100">
        <v>45538</v>
      </c>
      <c r="B6" s="2">
        <v>8.8000000000000007</v>
      </c>
      <c r="C6" s="58" t="s">
        <v>51</v>
      </c>
      <c r="D6" s="58"/>
      <c r="E6" s="2" t="s">
        <v>32</v>
      </c>
      <c r="F6" s="50">
        <v>1313</v>
      </c>
      <c r="G6" s="25">
        <v>880</v>
      </c>
      <c r="H6" s="25">
        <v>423</v>
      </c>
      <c r="I6" s="25">
        <v>260</v>
      </c>
      <c r="J6" s="25">
        <f t="shared" si="0"/>
        <v>163</v>
      </c>
      <c r="K6" s="25">
        <v>127</v>
      </c>
      <c r="L6" s="59">
        <v>6.9</v>
      </c>
      <c r="M6" s="60">
        <v>297</v>
      </c>
      <c r="N6" s="59">
        <v>6</v>
      </c>
      <c r="O6" s="61" t="s">
        <v>51</v>
      </c>
      <c r="P6" s="58"/>
      <c r="Q6" s="60"/>
      <c r="R6" s="90" t="s">
        <v>51</v>
      </c>
      <c r="S6" s="31"/>
      <c r="AP6" s="3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</row>
    <row r="7" spans="1:53" ht="18" customHeight="1" x14ac:dyDescent="0.35">
      <c r="A7" s="100">
        <v>45539</v>
      </c>
      <c r="B7" s="2">
        <v>8.65</v>
      </c>
      <c r="C7" s="58" t="s">
        <v>51</v>
      </c>
      <c r="D7" s="58"/>
      <c r="E7" s="2" t="s">
        <v>32</v>
      </c>
      <c r="F7" s="50">
        <v>1291</v>
      </c>
      <c r="G7" s="50">
        <v>865</v>
      </c>
      <c r="H7" s="25">
        <v>427</v>
      </c>
      <c r="I7" s="25">
        <v>263</v>
      </c>
      <c r="J7" s="25">
        <f t="shared" si="0"/>
        <v>164</v>
      </c>
      <c r="K7" s="25">
        <v>130</v>
      </c>
      <c r="L7" s="59">
        <v>6.7</v>
      </c>
      <c r="M7" s="60">
        <v>302</v>
      </c>
      <c r="N7" s="59">
        <v>6</v>
      </c>
      <c r="O7" s="61" t="s">
        <v>51</v>
      </c>
      <c r="P7" s="58"/>
      <c r="Q7" s="60"/>
      <c r="R7" s="90" t="s">
        <v>51</v>
      </c>
      <c r="S7" s="31"/>
      <c r="AP7" s="3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</row>
    <row r="8" spans="1:53" ht="18" customHeight="1" x14ac:dyDescent="0.35">
      <c r="A8" s="100">
        <v>45540</v>
      </c>
      <c r="B8" s="2">
        <v>8.98</v>
      </c>
      <c r="C8" s="17" t="s">
        <v>51</v>
      </c>
      <c r="D8" s="17"/>
      <c r="E8" s="2" t="s">
        <v>32</v>
      </c>
      <c r="F8" s="50">
        <v>1194</v>
      </c>
      <c r="G8" s="50">
        <v>800</v>
      </c>
      <c r="H8" s="25">
        <v>438</v>
      </c>
      <c r="I8" s="25">
        <v>274</v>
      </c>
      <c r="J8" s="25">
        <f t="shared" si="0"/>
        <v>164</v>
      </c>
      <c r="K8" s="25">
        <v>139</v>
      </c>
      <c r="L8" s="59">
        <v>6.8</v>
      </c>
      <c r="M8" s="60">
        <v>318</v>
      </c>
      <c r="N8" s="59">
        <v>7</v>
      </c>
      <c r="O8" s="61" t="s">
        <v>51</v>
      </c>
      <c r="P8" s="17"/>
      <c r="Q8" s="60"/>
      <c r="R8" s="90" t="s">
        <v>51</v>
      </c>
      <c r="S8" s="31"/>
      <c r="AP8" s="3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</row>
    <row r="9" spans="1:53" ht="18" customHeight="1" x14ac:dyDescent="0.35">
      <c r="A9" s="100">
        <v>45541</v>
      </c>
      <c r="B9" s="2">
        <v>9.2200000000000006</v>
      </c>
      <c r="C9" s="17" t="s">
        <v>51</v>
      </c>
      <c r="D9" s="17"/>
      <c r="E9" s="2" t="s">
        <v>32</v>
      </c>
      <c r="F9" s="50">
        <v>1102</v>
      </c>
      <c r="G9" s="50">
        <v>720</v>
      </c>
      <c r="H9" s="25">
        <v>350</v>
      </c>
      <c r="I9" s="25">
        <v>224</v>
      </c>
      <c r="J9" s="25">
        <f t="shared" si="0"/>
        <v>126</v>
      </c>
      <c r="K9" s="25">
        <v>142</v>
      </c>
      <c r="L9" s="59">
        <v>7</v>
      </c>
      <c r="M9" s="60">
        <v>300</v>
      </c>
      <c r="N9" s="59">
        <v>8</v>
      </c>
      <c r="O9" s="61" t="s">
        <v>51</v>
      </c>
      <c r="P9" s="17"/>
      <c r="Q9" s="60"/>
      <c r="R9" s="90" t="s">
        <v>51</v>
      </c>
      <c r="S9" s="31"/>
      <c r="AP9" s="3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</row>
    <row r="10" spans="1:53" ht="18" customHeight="1" x14ac:dyDescent="0.35">
      <c r="A10" s="100">
        <v>45542</v>
      </c>
      <c r="B10" s="2">
        <v>9.2799999999999994</v>
      </c>
      <c r="C10" s="58" t="s">
        <v>51</v>
      </c>
      <c r="D10" s="58"/>
      <c r="E10" s="2" t="s">
        <v>32</v>
      </c>
      <c r="F10" s="50">
        <v>1044</v>
      </c>
      <c r="G10" s="50">
        <v>700</v>
      </c>
      <c r="H10" s="25">
        <v>348</v>
      </c>
      <c r="I10" s="25">
        <v>219</v>
      </c>
      <c r="J10" s="25">
        <f t="shared" si="0"/>
        <v>129</v>
      </c>
      <c r="K10" s="25">
        <v>144</v>
      </c>
      <c r="L10" s="59">
        <v>7.2</v>
      </c>
      <c r="M10" s="60">
        <v>310</v>
      </c>
      <c r="N10" s="59">
        <v>9</v>
      </c>
      <c r="O10" s="61" t="s">
        <v>51</v>
      </c>
      <c r="P10" s="58"/>
      <c r="Q10" s="60"/>
      <c r="R10" s="90" t="s">
        <v>51</v>
      </c>
      <c r="S10" s="31"/>
      <c r="AP10" s="3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</row>
    <row r="11" spans="1:53" ht="18" customHeight="1" x14ac:dyDescent="0.35">
      <c r="A11" s="100">
        <v>45544</v>
      </c>
      <c r="B11" s="2">
        <v>9.25</v>
      </c>
      <c r="C11" s="17">
        <v>27</v>
      </c>
      <c r="D11" s="17"/>
      <c r="E11" s="2" t="s">
        <v>32</v>
      </c>
      <c r="F11" s="50">
        <v>1077</v>
      </c>
      <c r="G11" s="50">
        <v>722</v>
      </c>
      <c r="H11" s="25">
        <v>353</v>
      </c>
      <c r="I11" s="25">
        <v>229</v>
      </c>
      <c r="J11" s="25">
        <f t="shared" si="0"/>
        <v>124</v>
      </c>
      <c r="K11" s="25">
        <v>146</v>
      </c>
      <c r="L11" s="59">
        <v>6.9</v>
      </c>
      <c r="M11" s="60">
        <v>315</v>
      </c>
      <c r="N11" s="59">
        <v>8</v>
      </c>
      <c r="O11" s="61" t="s">
        <v>51</v>
      </c>
      <c r="P11" s="17"/>
      <c r="Q11" s="60"/>
      <c r="R11" s="90" t="s">
        <v>51</v>
      </c>
      <c r="S11" s="31"/>
      <c r="AP11" s="3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</row>
    <row r="12" spans="1:53" ht="18" customHeight="1" x14ac:dyDescent="0.35">
      <c r="A12" s="100">
        <v>45545</v>
      </c>
      <c r="B12" s="2">
        <v>8.84</v>
      </c>
      <c r="C12" s="58">
        <v>20</v>
      </c>
      <c r="D12" s="58"/>
      <c r="E12" s="2" t="s">
        <v>32</v>
      </c>
      <c r="F12" s="17">
        <v>1041</v>
      </c>
      <c r="G12" s="17">
        <v>698</v>
      </c>
      <c r="H12" s="17">
        <v>368</v>
      </c>
      <c r="I12" s="17">
        <v>238</v>
      </c>
      <c r="J12" s="25">
        <f t="shared" si="0"/>
        <v>130</v>
      </c>
      <c r="K12" s="17">
        <v>133</v>
      </c>
      <c r="L12" s="59">
        <v>6.5</v>
      </c>
      <c r="M12" s="60">
        <v>302</v>
      </c>
      <c r="N12" s="59">
        <v>7</v>
      </c>
      <c r="O12" s="61" t="s">
        <v>51</v>
      </c>
      <c r="P12" s="58"/>
      <c r="Q12" s="60"/>
      <c r="R12" s="90" t="s">
        <v>51</v>
      </c>
      <c r="S12" s="31"/>
      <c r="AP12" s="3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</row>
    <row r="13" spans="1:53" ht="18" customHeight="1" x14ac:dyDescent="0.35">
      <c r="A13" s="100" t="s">
        <v>52</v>
      </c>
      <c r="B13" s="2">
        <v>8.9</v>
      </c>
      <c r="C13" s="58" t="s">
        <v>51</v>
      </c>
      <c r="D13" s="58"/>
      <c r="E13" s="2" t="s">
        <v>32</v>
      </c>
      <c r="F13" s="50">
        <v>1020</v>
      </c>
      <c r="G13" s="50">
        <v>684</v>
      </c>
      <c r="H13" s="25">
        <v>364</v>
      </c>
      <c r="I13" s="25">
        <v>233</v>
      </c>
      <c r="J13" s="25">
        <f t="shared" si="0"/>
        <v>131</v>
      </c>
      <c r="K13" s="25">
        <v>130</v>
      </c>
      <c r="L13" s="59">
        <v>6.2</v>
      </c>
      <c r="M13" s="60">
        <v>298</v>
      </c>
      <c r="N13" s="59">
        <v>8</v>
      </c>
      <c r="O13" s="61" t="s">
        <v>51</v>
      </c>
      <c r="P13" s="58"/>
      <c r="Q13" s="60"/>
      <c r="R13" s="90" t="s">
        <v>51</v>
      </c>
      <c r="S13" s="31"/>
      <c r="AP13" s="3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</row>
    <row r="14" spans="1:53" ht="18" customHeight="1" x14ac:dyDescent="0.35">
      <c r="A14" s="100">
        <v>45547</v>
      </c>
      <c r="B14" s="2">
        <v>8.9600000000000009</v>
      </c>
      <c r="C14" s="58">
        <v>21</v>
      </c>
      <c r="D14" s="58"/>
      <c r="E14" s="2" t="s">
        <v>32</v>
      </c>
      <c r="F14" s="50">
        <v>970</v>
      </c>
      <c r="G14" s="50">
        <v>650</v>
      </c>
      <c r="H14" s="25">
        <v>356</v>
      </c>
      <c r="I14" s="25">
        <v>224</v>
      </c>
      <c r="J14" s="25">
        <f t="shared" si="0"/>
        <v>132</v>
      </c>
      <c r="K14" s="25">
        <v>134</v>
      </c>
      <c r="L14" s="59">
        <v>6</v>
      </c>
      <c r="M14" s="60">
        <v>300</v>
      </c>
      <c r="N14" s="59">
        <v>9</v>
      </c>
      <c r="O14" s="61" t="s">
        <v>51</v>
      </c>
      <c r="P14" s="58"/>
      <c r="Q14" s="60"/>
      <c r="R14" s="90" t="s">
        <v>51</v>
      </c>
      <c r="S14" s="31"/>
      <c r="AP14" s="3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</row>
    <row r="15" spans="1:53" ht="18" customHeight="1" x14ac:dyDescent="0.35">
      <c r="A15" s="100">
        <v>45548</v>
      </c>
      <c r="B15" s="2">
        <v>8.92</v>
      </c>
      <c r="C15" s="58" t="s">
        <v>51</v>
      </c>
      <c r="D15" s="58"/>
      <c r="E15" s="2" t="s">
        <v>32</v>
      </c>
      <c r="F15" s="50">
        <v>1004</v>
      </c>
      <c r="G15" s="50">
        <v>673</v>
      </c>
      <c r="H15" s="25">
        <v>360</v>
      </c>
      <c r="I15" s="25">
        <v>229</v>
      </c>
      <c r="J15" s="25">
        <f t="shared" si="0"/>
        <v>131</v>
      </c>
      <c r="K15" s="25">
        <v>140</v>
      </c>
      <c r="L15" s="59">
        <v>6.2</v>
      </c>
      <c r="M15" s="60">
        <v>303</v>
      </c>
      <c r="N15" s="59">
        <v>9</v>
      </c>
      <c r="O15" s="61" t="s">
        <v>51</v>
      </c>
      <c r="P15" s="58"/>
      <c r="Q15" s="60"/>
      <c r="R15" s="90" t="s">
        <v>51</v>
      </c>
      <c r="S15" s="31"/>
      <c r="AP15" s="3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</row>
    <row r="16" spans="1:53" ht="18" customHeight="1" x14ac:dyDescent="0.35">
      <c r="A16" s="100">
        <v>45549</v>
      </c>
      <c r="B16" s="2">
        <v>8.8699999999999992</v>
      </c>
      <c r="C16" s="58" t="s">
        <v>51</v>
      </c>
      <c r="D16" s="58"/>
      <c r="E16" s="2" t="s">
        <v>32</v>
      </c>
      <c r="F16" s="50">
        <v>1014</v>
      </c>
      <c r="G16" s="50">
        <v>680</v>
      </c>
      <c r="H16" s="25">
        <v>365</v>
      </c>
      <c r="I16" s="25">
        <v>232</v>
      </c>
      <c r="J16" s="25">
        <f t="shared" si="0"/>
        <v>133</v>
      </c>
      <c r="K16" s="25">
        <v>145</v>
      </c>
      <c r="L16" s="59">
        <v>6.4</v>
      </c>
      <c r="M16" s="60">
        <v>310</v>
      </c>
      <c r="N16" s="59">
        <v>9</v>
      </c>
      <c r="O16" s="61" t="s">
        <v>51</v>
      </c>
      <c r="P16" s="58"/>
      <c r="Q16" s="60"/>
      <c r="R16" s="90" t="s">
        <v>51</v>
      </c>
      <c r="S16" s="31"/>
      <c r="AP16" s="3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</row>
    <row r="17" spans="1:53" ht="18" customHeight="1" x14ac:dyDescent="0.35">
      <c r="A17" s="100">
        <v>45551</v>
      </c>
      <c r="B17" s="2">
        <v>8.85</v>
      </c>
      <c r="C17" s="58">
        <v>13</v>
      </c>
      <c r="D17" s="58"/>
      <c r="E17" s="2" t="s">
        <v>32</v>
      </c>
      <c r="F17" s="50">
        <v>1132</v>
      </c>
      <c r="G17" s="50">
        <v>759</v>
      </c>
      <c r="H17" s="25">
        <v>344</v>
      </c>
      <c r="I17" s="25">
        <v>213</v>
      </c>
      <c r="J17" s="25">
        <f t="shared" si="0"/>
        <v>131</v>
      </c>
      <c r="K17" s="25">
        <v>122</v>
      </c>
      <c r="L17" s="59">
        <v>6</v>
      </c>
      <c r="M17" s="60">
        <v>290</v>
      </c>
      <c r="N17" s="59">
        <v>4</v>
      </c>
      <c r="O17" s="61" t="s">
        <v>51</v>
      </c>
      <c r="P17" s="58"/>
      <c r="Q17" s="60"/>
      <c r="R17" s="90" t="s">
        <v>51</v>
      </c>
      <c r="S17" s="31"/>
      <c r="AP17" s="3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</row>
    <row r="18" spans="1:53" ht="18" customHeight="1" x14ac:dyDescent="0.35">
      <c r="A18" s="100" t="s">
        <v>54</v>
      </c>
      <c r="B18" s="2">
        <v>8.9</v>
      </c>
      <c r="C18" s="58">
        <v>11</v>
      </c>
      <c r="D18" s="58"/>
      <c r="E18" s="2" t="s">
        <v>32</v>
      </c>
      <c r="F18" s="50">
        <v>1140</v>
      </c>
      <c r="G18" s="50">
        <v>764</v>
      </c>
      <c r="H18" s="50">
        <v>369</v>
      </c>
      <c r="I18" s="25">
        <v>233</v>
      </c>
      <c r="J18" s="25">
        <f t="shared" si="0"/>
        <v>136</v>
      </c>
      <c r="K18" s="25">
        <v>128</v>
      </c>
      <c r="L18" s="59">
        <v>6.2</v>
      </c>
      <c r="M18" s="60">
        <v>302</v>
      </c>
      <c r="N18" s="59">
        <v>5</v>
      </c>
      <c r="O18" s="61" t="s">
        <v>51</v>
      </c>
      <c r="P18" s="58"/>
      <c r="Q18" s="60"/>
      <c r="R18" s="90" t="s">
        <v>51</v>
      </c>
      <c r="S18" s="31"/>
      <c r="AP18" s="3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</row>
    <row r="19" spans="1:53" ht="18" customHeight="1" x14ac:dyDescent="0.35">
      <c r="A19" s="100">
        <v>45553</v>
      </c>
      <c r="B19" s="2">
        <v>9</v>
      </c>
      <c r="C19" s="58">
        <v>12</v>
      </c>
      <c r="D19" s="58"/>
      <c r="E19" s="2" t="s">
        <v>32</v>
      </c>
      <c r="F19" s="50">
        <v>1094</v>
      </c>
      <c r="G19" s="50">
        <v>733</v>
      </c>
      <c r="H19" s="25">
        <v>359</v>
      </c>
      <c r="I19" s="25">
        <v>230</v>
      </c>
      <c r="J19" s="25">
        <f t="shared" si="0"/>
        <v>129</v>
      </c>
      <c r="K19" s="25">
        <v>130</v>
      </c>
      <c r="L19" s="59">
        <v>6.4</v>
      </c>
      <c r="M19" s="60">
        <v>310</v>
      </c>
      <c r="N19" s="59">
        <v>6</v>
      </c>
      <c r="O19" s="61" t="s">
        <v>51</v>
      </c>
      <c r="P19" s="58"/>
      <c r="Q19" s="60"/>
      <c r="R19" s="90" t="s">
        <v>51</v>
      </c>
      <c r="S19" s="31"/>
      <c r="AP19" s="3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</row>
    <row r="20" spans="1:53" ht="18" customHeight="1" x14ac:dyDescent="0.35">
      <c r="A20" s="100">
        <v>45554</v>
      </c>
      <c r="B20" s="2">
        <v>8.89</v>
      </c>
      <c r="C20" s="58">
        <v>13</v>
      </c>
      <c r="D20" s="58"/>
      <c r="E20" s="2" t="s">
        <v>32</v>
      </c>
      <c r="F20" s="50">
        <v>1073</v>
      </c>
      <c r="G20" s="50">
        <v>724</v>
      </c>
      <c r="H20" s="25">
        <v>346</v>
      </c>
      <c r="I20" s="25">
        <v>213</v>
      </c>
      <c r="J20" s="25">
        <f t="shared" si="0"/>
        <v>133</v>
      </c>
      <c r="K20" s="25">
        <v>124</v>
      </c>
      <c r="L20" s="59">
        <v>6.6</v>
      </c>
      <c r="M20" s="60">
        <v>308</v>
      </c>
      <c r="N20" s="59">
        <v>5</v>
      </c>
      <c r="O20" s="61" t="s">
        <v>51</v>
      </c>
      <c r="P20" s="58"/>
      <c r="Q20" s="60"/>
      <c r="R20" s="90" t="s">
        <v>51</v>
      </c>
      <c r="S20" s="31"/>
      <c r="AP20" s="3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</row>
    <row r="21" spans="1:53" ht="18" customHeight="1" x14ac:dyDescent="0.35">
      <c r="A21" s="100">
        <v>45555</v>
      </c>
      <c r="B21" s="2">
        <v>8.86</v>
      </c>
      <c r="C21" s="58" t="s">
        <v>51</v>
      </c>
      <c r="D21" s="58"/>
      <c r="E21" s="2" t="s">
        <v>32</v>
      </c>
      <c r="F21" s="50">
        <v>1064</v>
      </c>
      <c r="G21" s="50">
        <v>713</v>
      </c>
      <c r="H21" s="25">
        <v>366</v>
      </c>
      <c r="I21" s="25">
        <v>208</v>
      </c>
      <c r="J21" s="25">
        <f t="shared" si="0"/>
        <v>158</v>
      </c>
      <c r="K21" s="25">
        <v>142</v>
      </c>
      <c r="L21" s="59">
        <v>6</v>
      </c>
      <c r="M21" s="60">
        <v>316</v>
      </c>
      <c r="N21" s="59">
        <v>7</v>
      </c>
      <c r="O21" s="61" t="s">
        <v>51</v>
      </c>
      <c r="P21" s="58"/>
      <c r="Q21" s="60"/>
      <c r="R21" s="90" t="s">
        <v>51</v>
      </c>
      <c r="S21" s="31"/>
      <c r="AP21" s="3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</row>
    <row r="22" spans="1:53" ht="18" customHeight="1" x14ac:dyDescent="0.35">
      <c r="A22" s="100">
        <v>45556</v>
      </c>
      <c r="B22" s="2">
        <v>8.8699999999999992</v>
      </c>
      <c r="C22" s="58">
        <v>12</v>
      </c>
      <c r="D22" s="58"/>
      <c r="E22" s="2" t="s">
        <v>32</v>
      </c>
      <c r="F22" s="50">
        <v>1053</v>
      </c>
      <c r="G22" s="50">
        <v>703</v>
      </c>
      <c r="H22" s="25">
        <v>354</v>
      </c>
      <c r="I22" s="25">
        <v>200</v>
      </c>
      <c r="J22" s="25">
        <f t="shared" si="0"/>
        <v>154</v>
      </c>
      <c r="K22" s="25">
        <v>140</v>
      </c>
      <c r="L22" s="59">
        <v>6.4</v>
      </c>
      <c r="M22" s="60">
        <v>310</v>
      </c>
      <c r="N22" s="59">
        <v>6</v>
      </c>
      <c r="O22" s="61" t="s">
        <v>51</v>
      </c>
      <c r="P22" s="58"/>
      <c r="Q22" s="60"/>
      <c r="R22" s="90" t="s">
        <v>51</v>
      </c>
      <c r="S22" s="31"/>
      <c r="AP22" s="3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</row>
    <row r="23" spans="1:53" ht="18" customHeight="1" x14ac:dyDescent="0.35">
      <c r="A23" s="100">
        <v>45558</v>
      </c>
      <c r="B23" s="2">
        <v>8.7799999999999994</v>
      </c>
      <c r="C23" s="25">
        <v>14</v>
      </c>
      <c r="D23" s="25"/>
      <c r="E23" s="2" t="s">
        <v>32</v>
      </c>
      <c r="F23" s="25">
        <v>1040</v>
      </c>
      <c r="G23" s="25">
        <v>697</v>
      </c>
      <c r="H23" s="25">
        <v>358</v>
      </c>
      <c r="I23" s="25">
        <v>208</v>
      </c>
      <c r="J23" s="25">
        <f t="shared" si="0"/>
        <v>150</v>
      </c>
      <c r="K23" s="25">
        <v>137</v>
      </c>
      <c r="L23" s="25">
        <v>6.5</v>
      </c>
      <c r="M23" s="60">
        <v>317</v>
      </c>
      <c r="N23" s="59">
        <v>5</v>
      </c>
      <c r="O23" s="61" t="s">
        <v>51</v>
      </c>
      <c r="P23" s="58"/>
      <c r="Q23" s="60"/>
      <c r="R23" s="90" t="s">
        <v>51</v>
      </c>
      <c r="S23" s="31"/>
      <c r="AP23" s="3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</row>
    <row r="24" spans="1:53" ht="18" customHeight="1" x14ac:dyDescent="0.35">
      <c r="A24" s="100">
        <v>45559</v>
      </c>
      <c r="B24" s="2">
        <v>8.6999999999999993</v>
      </c>
      <c r="C24" s="25">
        <v>11</v>
      </c>
      <c r="D24" s="25"/>
      <c r="E24" s="2" t="s">
        <v>32</v>
      </c>
      <c r="F24" s="25">
        <v>1014</v>
      </c>
      <c r="G24" s="25">
        <v>680</v>
      </c>
      <c r="H24" s="25">
        <v>369</v>
      </c>
      <c r="I24" s="25">
        <v>212</v>
      </c>
      <c r="J24" s="25">
        <f t="shared" si="0"/>
        <v>157</v>
      </c>
      <c r="K24" s="25">
        <v>129</v>
      </c>
      <c r="L24" s="25">
        <v>6.4</v>
      </c>
      <c r="M24" s="60">
        <v>320</v>
      </c>
      <c r="N24" s="59">
        <v>4</v>
      </c>
      <c r="O24" s="61" t="s">
        <v>51</v>
      </c>
      <c r="P24" s="58"/>
      <c r="Q24" s="60"/>
      <c r="R24" s="90" t="s">
        <v>51</v>
      </c>
      <c r="S24" s="31"/>
      <c r="AP24" s="3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</row>
    <row r="25" spans="1:53" ht="18" customHeight="1" x14ac:dyDescent="0.35">
      <c r="A25" s="100">
        <v>45560</v>
      </c>
      <c r="B25" s="2">
        <v>8.7799999999999994</v>
      </c>
      <c r="C25" s="25">
        <v>12</v>
      </c>
      <c r="D25" s="25"/>
      <c r="E25" s="2" t="s">
        <v>32</v>
      </c>
      <c r="F25" s="25">
        <v>1033</v>
      </c>
      <c r="G25" s="25">
        <v>692</v>
      </c>
      <c r="H25" s="25">
        <v>357</v>
      </c>
      <c r="I25" s="25">
        <v>200</v>
      </c>
      <c r="J25" s="25">
        <f t="shared" si="0"/>
        <v>157</v>
      </c>
      <c r="K25" s="25">
        <v>132</v>
      </c>
      <c r="L25" s="59">
        <v>6</v>
      </c>
      <c r="M25" s="60">
        <v>309</v>
      </c>
      <c r="N25" s="59">
        <v>6</v>
      </c>
      <c r="O25" s="61" t="s">
        <v>51</v>
      </c>
      <c r="P25" s="25"/>
      <c r="Q25" s="60"/>
      <c r="R25" s="91" t="s">
        <v>51</v>
      </c>
      <c r="S25" s="31"/>
      <c r="AP25" s="3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</row>
    <row r="26" spans="1:53" ht="18" customHeight="1" x14ac:dyDescent="0.35">
      <c r="A26" s="100">
        <v>45561</v>
      </c>
      <c r="B26" s="2">
        <v>9.1</v>
      </c>
      <c r="C26" s="25">
        <v>14</v>
      </c>
      <c r="D26" s="25"/>
      <c r="E26" s="2" t="s">
        <v>32</v>
      </c>
      <c r="F26" s="25">
        <v>1030</v>
      </c>
      <c r="G26" s="25">
        <v>690</v>
      </c>
      <c r="H26" s="25">
        <v>398</v>
      </c>
      <c r="I26" s="25">
        <v>264</v>
      </c>
      <c r="J26" s="25">
        <f t="shared" si="0"/>
        <v>134</v>
      </c>
      <c r="K26" s="25">
        <v>140</v>
      </c>
      <c r="L26" s="25">
        <v>6.5</v>
      </c>
      <c r="M26" s="60">
        <v>320</v>
      </c>
      <c r="N26" s="59">
        <v>9</v>
      </c>
      <c r="O26" s="61" t="s">
        <v>51</v>
      </c>
      <c r="P26" s="25"/>
      <c r="Q26" s="60"/>
      <c r="R26" s="91" t="s">
        <v>51</v>
      </c>
      <c r="S26" s="31"/>
      <c r="AP26" s="3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</row>
    <row r="27" spans="1:53" ht="18" customHeight="1" x14ac:dyDescent="0.35">
      <c r="A27" s="100">
        <v>45562</v>
      </c>
      <c r="B27" s="2">
        <v>9.09</v>
      </c>
      <c r="C27" s="25">
        <v>18</v>
      </c>
      <c r="D27" s="25"/>
      <c r="E27" s="2" t="s">
        <v>32</v>
      </c>
      <c r="F27" s="25">
        <v>1041</v>
      </c>
      <c r="G27" s="25">
        <v>698</v>
      </c>
      <c r="H27" s="25">
        <v>409</v>
      </c>
      <c r="I27" s="25">
        <v>254</v>
      </c>
      <c r="J27" s="25">
        <f t="shared" si="0"/>
        <v>155</v>
      </c>
      <c r="K27" s="25">
        <v>122</v>
      </c>
      <c r="L27" s="25">
        <v>6.8</v>
      </c>
      <c r="M27" s="25">
        <v>328</v>
      </c>
      <c r="N27" s="59">
        <v>8</v>
      </c>
      <c r="O27" s="61" t="s">
        <v>51</v>
      </c>
      <c r="P27" s="25"/>
      <c r="Q27" s="60"/>
      <c r="R27" s="91" t="s">
        <v>51</v>
      </c>
      <c r="S27" s="31"/>
      <c r="AP27" s="3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</row>
    <row r="28" spans="1:53" ht="18" customHeight="1" x14ac:dyDescent="0.35">
      <c r="A28" s="70">
        <v>45563</v>
      </c>
      <c r="B28" s="2">
        <v>8.1999999999999993</v>
      </c>
      <c r="C28" s="25">
        <v>16</v>
      </c>
      <c r="D28" s="25"/>
      <c r="E28" s="2" t="s">
        <v>32</v>
      </c>
      <c r="F28" s="25">
        <v>1164</v>
      </c>
      <c r="G28" s="25">
        <v>780</v>
      </c>
      <c r="H28" s="25">
        <v>456</v>
      </c>
      <c r="I28" s="25">
        <v>293</v>
      </c>
      <c r="J28" s="25">
        <f t="shared" si="0"/>
        <v>163</v>
      </c>
      <c r="K28" s="25">
        <v>120</v>
      </c>
      <c r="L28" s="59">
        <v>7</v>
      </c>
      <c r="M28" s="25">
        <v>340</v>
      </c>
      <c r="N28" s="59">
        <v>10</v>
      </c>
      <c r="O28" s="61" t="s">
        <v>51</v>
      </c>
      <c r="P28" s="25"/>
      <c r="Q28" s="60"/>
      <c r="R28" s="91" t="s">
        <v>51</v>
      </c>
      <c r="S28" s="31"/>
      <c r="AP28" s="3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</row>
    <row r="29" spans="1:53" ht="18" customHeight="1" thickBot="1" x14ac:dyDescent="0.4">
      <c r="A29" s="111" t="s">
        <v>55</v>
      </c>
      <c r="B29" s="2">
        <v>9.25</v>
      </c>
      <c r="C29" s="25">
        <v>16</v>
      </c>
      <c r="D29" s="25"/>
      <c r="E29" s="2" t="s">
        <v>32</v>
      </c>
      <c r="F29" s="25">
        <v>1149</v>
      </c>
      <c r="G29" s="25">
        <v>770</v>
      </c>
      <c r="H29" s="25">
        <v>444</v>
      </c>
      <c r="I29" s="25">
        <v>290</v>
      </c>
      <c r="J29" s="25">
        <f t="shared" si="0"/>
        <v>154</v>
      </c>
      <c r="K29" s="25">
        <v>127</v>
      </c>
      <c r="L29" s="25">
        <v>6.9</v>
      </c>
      <c r="M29" s="25">
        <v>332</v>
      </c>
      <c r="N29" s="59">
        <v>9</v>
      </c>
      <c r="O29" s="61" t="s">
        <v>51</v>
      </c>
      <c r="P29" s="25"/>
      <c r="Q29" s="60"/>
      <c r="R29" s="91" t="s">
        <v>51</v>
      </c>
      <c r="S29" s="31"/>
      <c r="AP29" s="3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</row>
    <row r="30" spans="1:53" ht="18" customHeight="1" x14ac:dyDescent="0.35">
      <c r="A30" s="110" t="s">
        <v>72</v>
      </c>
      <c r="B30" s="1">
        <v>8.85</v>
      </c>
      <c r="C30" s="12">
        <v>9.1</v>
      </c>
      <c r="D30" s="12"/>
      <c r="E30" s="1" t="s">
        <v>32</v>
      </c>
      <c r="F30" s="85">
        <v>1179</v>
      </c>
      <c r="G30" s="85">
        <v>790</v>
      </c>
      <c r="H30" s="76">
        <v>475</v>
      </c>
      <c r="I30" s="76">
        <v>296</v>
      </c>
      <c r="J30" s="25">
        <f t="shared" si="0"/>
        <v>179</v>
      </c>
      <c r="K30" s="76">
        <v>122</v>
      </c>
      <c r="L30" s="87">
        <v>7</v>
      </c>
      <c r="M30" s="88">
        <v>325</v>
      </c>
      <c r="N30" s="87">
        <v>9</v>
      </c>
      <c r="O30" s="69" t="s">
        <v>51</v>
      </c>
      <c r="P30" s="12"/>
      <c r="Q30" s="88"/>
      <c r="R30" s="89" t="s">
        <v>51</v>
      </c>
      <c r="S30" s="101"/>
      <c r="AP30" s="10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</row>
    <row r="31" spans="1:53" ht="18" customHeight="1" x14ac:dyDescent="0.35">
      <c r="A31" s="100">
        <v>45567</v>
      </c>
      <c r="B31" s="2">
        <v>9.18</v>
      </c>
      <c r="C31" s="58">
        <v>15</v>
      </c>
      <c r="D31" s="58"/>
      <c r="E31" s="2" t="s">
        <v>32</v>
      </c>
      <c r="F31" s="50">
        <v>1164</v>
      </c>
      <c r="G31" s="25">
        <v>780</v>
      </c>
      <c r="H31" s="25">
        <v>488</v>
      </c>
      <c r="I31" s="25">
        <v>293</v>
      </c>
      <c r="J31" s="25">
        <f t="shared" si="0"/>
        <v>195</v>
      </c>
      <c r="K31" s="25">
        <v>130</v>
      </c>
      <c r="L31" s="59">
        <v>6.4</v>
      </c>
      <c r="M31" s="60">
        <v>348</v>
      </c>
      <c r="N31" s="59">
        <v>9</v>
      </c>
      <c r="O31" s="61" t="s">
        <v>51</v>
      </c>
      <c r="P31" s="58"/>
      <c r="Q31" s="60"/>
      <c r="R31" s="90" t="s">
        <v>51</v>
      </c>
      <c r="S31" s="101"/>
      <c r="AP31" s="10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</row>
    <row r="32" spans="1:53" ht="18" customHeight="1" x14ac:dyDescent="0.35">
      <c r="A32" s="100" t="s">
        <v>56</v>
      </c>
      <c r="B32" s="2">
        <v>8.93</v>
      </c>
      <c r="C32" s="58">
        <v>15</v>
      </c>
      <c r="D32" s="58"/>
      <c r="E32" s="2" t="s">
        <v>32</v>
      </c>
      <c r="F32" s="50">
        <v>1088</v>
      </c>
      <c r="G32" s="50">
        <v>729</v>
      </c>
      <c r="H32" s="25">
        <v>533</v>
      </c>
      <c r="I32" s="25">
        <v>330</v>
      </c>
      <c r="J32" s="25">
        <f t="shared" si="0"/>
        <v>203</v>
      </c>
      <c r="K32" s="25">
        <v>138</v>
      </c>
      <c r="L32" s="59">
        <v>7</v>
      </c>
      <c r="M32" s="60">
        <v>314</v>
      </c>
      <c r="N32" s="59">
        <v>8</v>
      </c>
      <c r="O32" s="61" t="s">
        <v>51</v>
      </c>
      <c r="P32" s="58"/>
      <c r="Q32" s="60"/>
      <c r="R32" s="90" t="s">
        <v>51</v>
      </c>
      <c r="S32" s="101"/>
      <c r="AP32" s="10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</row>
    <row r="33" spans="1:53" ht="18" customHeight="1" x14ac:dyDescent="0.35">
      <c r="A33" s="100">
        <v>45569</v>
      </c>
      <c r="B33" s="2">
        <v>8.9</v>
      </c>
      <c r="C33" s="17">
        <v>15</v>
      </c>
      <c r="D33" s="17"/>
      <c r="E33" s="2" t="s">
        <v>32</v>
      </c>
      <c r="F33" s="50">
        <v>1097</v>
      </c>
      <c r="G33" s="50">
        <v>735</v>
      </c>
      <c r="H33" s="25">
        <v>545</v>
      </c>
      <c r="I33" s="25">
        <v>337</v>
      </c>
      <c r="J33" s="25">
        <f t="shared" si="0"/>
        <v>208</v>
      </c>
      <c r="K33" s="25">
        <v>132</v>
      </c>
      <c r="L33" s="59">
        <v>7</v>
      </c>
      <c r="M33" s="60">
        <v>310</v>
      </c>
      <c r="N33" s="59">
        <v>8</v>
      </c>
      <c r="O33" s="61" t="s">
        <v>51</v>
      </c>
      <c r="P33" s="17"/>
      <c r="Q33" s="60"/>
      <c r="R33" s="90" t="s">
        <v>51</v>
      </c>
      <c r="S33" s="101"/>
      <c r="AP33" s="10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</row>
    <row r="34" spans="1:53" ht="18" customHeight="1" x14ac:dyDescent="0.35">
      <c r="A34" s="100">
        <v>45570</v>
      </c>
      <c r="B34" s="2">
        <v>8.93</v>
      </c>
      <c r="C34" s="17">
        <v>15</v>
      </c>
      <c r="D34" s="17"/>
      <c r="E34" s="2" t="s">
        <v>32</v>
      </c>
      <c r="F34" s="50">
        <v>1089</v>
      </c>
      <c r="G34" s="50">
        <v>730</v>
      </c>
      <c r="H34" s="25">
        <v>542</v>
      </c>
      <c r="I34" s="25">
        <v>336</v>
      </c>
      <c r="J34" s="25">
        <f t="shared" si="0"/>
        <v>206</v>
      </c>
      <c r="K34" s="25">
        <v>137</v>
      </c>
      <c r="L34" s="59">
        <v>6.9</v>
      </c>
      <c r="M34" s="60">
        <v>317</v>
      </c>
      <c r="N34" s="59">
        <v>8</v>
      </c>
      <c r="O34" s="61" t="s">
        <v>51</v>
      </c>
      <c r="P34" s="17"/>
      <c r="Q34" s="60"/>
      <c r="R34" s="90" t="s">
        <v>51</v>
      </c>
      <c r="S34" s="101"/>
      <c r="AP34" s="10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</row>
    <row r="35" spans="1:53" ht="18" customHeight="1" x14ac:dyDescent="0.35">
      <c r="A35" s="100">
        <v>45572</v>
      </c>
      <c r="B35" s="2">
        <v>8.9</v>
      </c>
      <c r="C35" s="58" t="s">
        <v>51</v>
      </c>
      <c r="D35" s="58"/>
      <c r="E35" s="2" t="s">
        <v>32</v>
      </c>
      <c r="F35" s="50">
        <v>1124</v>
      </c>
      <c r="G35" s="50">
        <v>753</v>
      </c>
      <c r="H35" s="25">
        <v>473</v>
      </c>
      <c r="I35" s="25"/>
      <c r="J35" s="25">
        <f t="shared" ref="J35:J56" si="1">H35-I35</f>
        <v>473</v>
      </c>
      <c r="K35" s="25">
        <v>120</v>
      </c>
      <c r="L35" s="59">
        <v>7.1</v>
      </c>
      <c r="M35" s="60">
        <v>339</v>
      </c>
      <c r="N35" s="59">
        <v>6</v>
      </c>
      <c r="O35" s="61" t="s">
        <v>51</v>
      </c>
      <c r="P35" s="58"/>
      <c r="Q35" s="60"/>
      <c r="R35" s="90" t="s">
        <v>51</v>
      </c>
      <c r="S35" s="101"/>
      <c r="AP35" s="10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</row>
    <row r="36" spans="1:53" ht="18" customHeight="1" x14ac:dyDescent="0.35">
      <c r="A36" s="100" t="s">
        <v>73</v>
      </c>
      <c r="B36" s="2">
        <v>8.94</v>
      </c>
      <c r="C36" s="17" t="s">
        <v>51</v>
      </c>
      <c r="D36" s="17"/>
      <c r="E36" s="2" t="s">
        <v>32</v>
      </c>
      <c r="F36" s="50">
        <v>1119</v>
      </c>
      <c r="G36" s="50">
        <v>750</v>
      </c>
      <c r="H36" s="25">
        <v>470</v>
      </c>
      <c r="I36" s="25">
        <v>291</v>
      </c>
      <c r="J36" s="25">
        <f t="shared" si="1"/>
        <v>179</v>
      </c>
      <c r="K36" s="25">
        <v>126</v>
      </c>
      <c r="L36" s="59">
        <v>6.8</v>
      </c>
      <c r="M36" s="60">
        <v>344</v>
      </c>
      <c r="N36" s="59">
        <v>7</v>
      </c>
      <c r="O36" s="61" t="s">
        <v>51</v>
      </c>
      <c r="P36" s="17"/>
      <c r="Q36" s="60"/>
      <c r="R36" s="90" t="s">
        <v>51</v>
      </c>
      <c r="S36" s="101"/>
      <c r="AP36" s="10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</row>
    <row r="37" spans="1:53" ht="18" customHeight="1" x14ac:dyDescent="0.35">
      <c r="A37" s="100">
        <v>45574</v>
      </c>
      <c r="B37" s="2">
        <v>9.25</v>
      </c>
      <c r="C37" s="58">
        <v>10</v>
      </c>
      <c r="D37" s="58"/>
      <c r="E37" s="2" t="s">
        <v>32</v>
      </c>
      <c r="F37" s="17">
        <v>1184</v>
      </c>
      <c r="G37" s="17">
        <v>793</v>
      </c>
      <c r="H37" s="17">
        <v>502</v>
      </c>
      <c r="I37" s="17">
        <v>309</v>
      </c>
      <c r="J37" s="25">
        <f t="shared" si="1"/>
        <v>193</v>
      </c>
      <c r="K37" s="17">
        <v>125</v>
      </c>
      <c r="L37" s="59">
        <v>6.4</v>
      </c>
      <c r="M37" s="60">
        <v>378</v>
      </c>
      <c r="N37" s="59">
        <v>9</v>
      </c>
      <c r="O37" s="61" t="s">
        <v>51</v>
      </c>
      <c r="P37" s="58"/>
      <c r="Q37" s="60"/>
      <c r="R37" s="90" t="s">
        <v>51</v>
      </c>
      <c r="S37" s="101"/>
      <c r="AP37" s="10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</row>
    <row r="38" spans="1:53" ht="18" customHeight="1" x14ac:dyDescent="0.35">
      <c r="A38" s="100" t="s">
        <v>57</v>
      </c>
      <c r="B38" s="2">
        <v>9.3000000000000007</v>
      </c>
      <c r="C38" s="58">
        <v>13</v>
      </c>
      <c r="D38" s="58"/>
      <c r="E38" s="2" t="s">
        <v>32</v>
      </c>
      <c r="F38" s="50">
        <v>1176</v>
      </c>
      <c r="G38" s="50">
        <v>788</v>
      </c>
      <c r="H38" s="25">
        <v>509</v>
      </c>
      <c r="I38" s="25">
        <v>310</v>
      </c>
      <c r="J38" s="25">
        <f t="shared" si="1"/>
        <v>199</v>
      </c>
      <c r="K38" s="25">
        <v>121</v>
      </c>
      <c r="L38" s="59">
        <v>6.6</v>
      </c>
      <c r="M38" s="60">
        <v>384</v>
      </c>
      <c r="N38" s="59">
        <v>9</v>
      </c>
      <c r="O38" s="61" t="s">
        <v>51</v>
      </c>
      <c r="P38" s="58"/>
      <c r="Q38" s="60"/>
      <c r="R38" s="90" t="s">
        <v>51</v>
      </c>
      <c r="S38" s="101"/>
      <c r="AP38" s="10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</row>
    <row r="39" spans="1:53" ht="18" customHeight="1" x14ac:dyDescent="0.35">
      <c r="A39" s="100" t="s">
        <v>58</v>
      </c>
      <c r="B39" s="2">
        <v>9.09</v>
      </c>
      <c r="C39" s="58">
        <v>15</v>
      </c>
      <c r="D39" s="58"/>
      <c r="E39" s="2" t="s">
        <v>32</v>
      </c>
      <c r="F39" s="50">
        <v>1208</v>
      </c>
      <c r="G39" s="50">
        <v>810</v>
      </c>
      <c r="H39" s="25">
        <v>513</v>
      </c>
      <c r="I39" s="25"/>
      <c r="J39" s="25">
        <f t="shared" si="1"/>
        <v>513</v>
      </c>
      <c r="K39" s="25">
        <v>124</v>
      </c>
      <c r="L39" s="59">
        <v>6.9</v>
      </c>
      <c r="M39" s="60">
        <v>390</v>
      </c>
      <c r="N39" s="59">
        <v>7</v>
      </c>
      <c r="O39" s="61" t="s">
        <v>51</v>
      </c>
      <c r="P39" s="58"/>
      <c r="Q39" s="60"/>
      <c r="R39" s="90" t="s">
        <v>51</v>
      </c>
      <c r="S39" s="101"/>
      <c r="AP39" s="10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</row>
    <row r="40" spans="1:53" ht="18" customHeight="1" x14ac:dyDescent="0.35">
      <c r="A40" s="100">
        <v>45577</v>
      </c>
      <c r="B40" s="2">
        <v>9.15</v>
      </c>
      <c r="C40" s="58">
        <v>19</v>
      </c>
      <c r="D40" s="58"/>
      <c r="E40" s="2" t="s">
        <v>32</v>
      </c>
      <c r="F40" s="50">
        <v>1219</v>
      </c>
      <c r="G40" s="50">
        <v>817</v>
      </c>
      <c r="H40" s="25">
        <v>507</v>
      </c>
      <c r="I40" s="25">
        <v>314</v>
      </c>
      <c r="J40" s="25">
        <f t="shared" si="1"/>
        <v>193</v>
      </c>
      <c r="K40" s="25">
        <v>130</v>
      </c>
      <c r="L40" s="59">
        <v>6.7</v>
      </c>
      <c r="M40" s="60">
        <v>390</v>
      </c>
      <c r="N40" s="59">
        <v>7</v>
      </c>
      <c r="O40" s="61" t="s">
        <v>51</v>
      </c>
      <c r="P40" s="58"/>
      <c r="Q40" s="60"/>
      <c r="R40" s="90" t="s">
        <v>51</v>
      </c>
      <c r="S40" s="101"/>
      <c r="AP40" s="10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</row>
    <row r="41" spans="1:53" ht="18" customHeight="1" x14ac:dyDescent="0.35">
      <c r="A41" s="100">
        <v>45579</v>
      </c>
      <c r="B41" s="2">
        <v>8.8000000000000007</v>
      </c>
      <c r="C41" s="58">
        <v>18</v>
      </c>
      <c r="D41" s="58"/>
      <c r="E41" s="2" t="s">
        <v>32</v>
      </c>
      <c r="F41" s="50">
        <v>1269</v>
      </c>
      <c r="G41" s="50">
        <v>850</v>
      </c>
      <c r="H41" s="25">
        <v>540</v>
      </c>
      <c r="I41" s="25">
        <v>335</v>
      </c>
      <c r="J41" s="25">
        <f t="shared" si="1"/>
        <v>205</v>
      </c>
      <c r="K41" s="25">
        <v>128</v>
      </c>
      <c r="L41" s="59">
        <v>7</v>
      </c>
      <c r="M41" s="60">
        <v>309</v>
      </c>
      <c r="N41" s="59">
        <v>6</v>
      </c>
      <c r="O41" s="61" t="s">
        <v>51</v>
      </c>
      <c r="P41" s="58"/>
      <c r="Q41" s="60"/>
      <c r="R41" s="90" t="s">
        <v>51</v>
      </c>
      <c r="S41" s="101"/>
      <c r="AP41" s="10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</row>
    <row r="42" spans="1:53" ht="18" customHeight="1" x14ac:dyDescent="0.35">
      <c r="A42" s="100" t="s">
        <v>59</v>
      </c>
      <c r="B42" s="2">
        <v>9.25</v>
      </c>
      <c r="C42" s="58">
        <v>16</v>
      </c>
      <c r="D42" s="58"/>
      <c r="E42" s="2" t="s">
        <v>32</v>
      </c>
      <c r="F42" s="50">
        <v>1234</v>
      </c>
      <c r="G42" s="50">
        <v>827</v>
      </c>
      <c r="H42" s="25">
        <v>523</v>
      </c>
      <c r="I42" s="25">
        <v>324</v>
      </c>
      <c r="J42" s="25">
        <f t="shared" si="1"/>
        <v>199</v>
      </c>
      <c r="K42" s="25">
        <v>135</v>
      </c>
      <c r="L42" s="59">
        <v>6.8</v>
      </c>
      <c r="M42" s="60">
        <v>315</v>
      </c>
      <c r="N42" s="59">
        <v>7</v>
      </c>
      <c r="O42" s="61" t="s">
        <v>51</v>
      </c>
      <c r="P42" s="58"/>
      <c r="Q42" s="60"/>
      <c r="R42" s="90" t="s">
        <v>51</v>
      </c>
      <c r="S42" s="101"/>
      <c r="AP42" s="10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</row>
    <row r="43" spans="1:53" ht="18" customHeight="1" x14ac:dyDescent="0.35">
      <c r="A43" s="100" t="s">
        <v>60</v>
      </c>
      <c r="B43" s="2">
        <v>9.1999999999999993</v>
      </c>
      <c r="C43" s="58">
        <v>7</v>
      </c>
      <c r="D43" s="58"/>
      <c r="E43" s="2" t="s">
        <v>32</v>
      </c>
      <c r="F43" s="50">
        <v>1104</v>
      </c>
      <c r="G43" s="50">
        <v>740</v>
      </c>
      <c r="H43" s="50">
        <v>430</v>
      </c>
      <c r="I43" s="25">
        <v>266</v>
      </c>
      <c r="J43" s="25">
        <f t="shared" si="1"/>
        <v>164</v>
      </c>
      <c r="K43" s="25">
        <v>135</v>
      </c>
      <c r="L43" s="59">
        <v>6.4</v>
      </c>
      <c r="M43" s="60">
        <v>310</v>
      </c>
      <c r="N43" s="59">
        <v>8</v>
      </c>
      <c r="O43" s="61" t="s">
        <v>51</v>
      </c>
      <c r="P43" s="58"/>
      <c r="Q43" s="60"/>
      <c r="R43" s="90" t="s">
        <v>51</v>
      </c>
      <c r="S43" s="101"/>
      <c r="AP43" s="10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</row>
    <row r="44" spans="1:53" ht="18" customHeight="1" x14ac:dyDescent="0.35">
      <c r="A44" s="100" t="s">
        <v>61</v>
      </c>
      <c r="B44" s="2">
        <v>9.4</v>
      </c>
      <c r="C44" s="58">
        <v>13</v>
      </c>
      <c r="D44" s="58"/>
      <c r="E44" s="2" t="s">
        <v>32</v>
      </c>
      <c r="F44" s="50">
        <v>1014</v>
      </c>
      <c r="G44" s="50">
        <v>680</v>
      </c>
      <c r="H44" s="25">
        <v>380</v>
      </c>
      <c r="I44" s="25">
        <v>235</v>
      </c>
      <c r="J44" s="25">
        <f t="shared" si="1"/>
        <v>145</v>
      </c>
      <c r="K44" s="25">
        <v>170</v>
      </c>
      <c r="L44" s="59">
        <v>6.8</v>
      </c>
      <c r="M44" s="60">
        <v>344</v>
      </c>
      <c r="N44" s="59">
        <v>10</v>
      </c>
      <c r="O44" s="61" t="s">
        <v>51</v>
      </c>
      <c r="P44" s="58"/>
      <c r="Q44" s="60"/>
      <c r="R44" s="90" t="s">
        <v>51</v>
      </c>
      <c r="S44" s="101"/>
      <c r="AP44" s="10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</row>
    <row r="45" spans="1:53" ht="18" customHeight="1" x14ac:dyDescent="0.35">
      <c r="A45" s="100" t="s">
        <v>62</v>
      </c>
      <c r="B45" s="2">
        <v>9.3000000000000007</v>
      </c>
      <c r="C45" s="58">
        <v>12</v>
      </c>
      <c r="D45" s="58"/>
      <c r="E45" s="2" t="s">
        <v>32</v>
      </c>
      <c r="F45" s="50">
        <v>1009</v>
      </c>
      <c r="G45" s="50">
        <v>672</v>
      </c>
      <c r="H45" s="25">
        <v>354</v>
      </c>
      <c r="I45" s="25">
        <v>226</v>
      </c>
      <c r="J45" s="25">
        <f t="shared" si="1"/>
        <v>128</v>
      </c>
      <c r="K45" s="25">
        <v>168</v>
      </c>
      <c r="L45" s="59">
        <v>6</v>
      </c>
      <c r="M45" s="60">
        <v>340</v>
      </c>
      <c r="N45" s="59">
        <v>9</v>
      </c>
      <c r="O45" s="61" t="s">
        <v>51</v>
      </c>
      <c r="P45" s="58"/>
      <c r="Q45" s="60"/>
      <c r="R45" s="90" t="s">
        <v>51</v>
      </c>
      <c r="S45" s="101"/>
      <c r="AP45" s="10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</row>
    <row r="46" spans="1:53" ht="18" customHeight="1" x14ac:dyDescent="0.35">
      <c r="A46" s="100" t="s">
        <v>63</v>
      </c>
      <c r="B46" s="2">
        <v>9.27</v>
      </c>
      <c r="C46" s="58">
        <v>12</v>
      </c>
      <c r="D46" s="58"/>
      <c r="E46" s="2" t="s">
        <v>32</v>
      </c>
      <c r="F46" s="50">
        <v>1007</v>
      </c>
      <c r="G46" s="50">
        <v>675</v>
      </c>
      <c r="H46" s="25">
        <v>360</v>
      </c>
      <c r="I46" s="25">
        <v>227</v>
      </c>
      <c r="J46" s="25">
        <f t="shared" si="1"/>
        <v>133</v>
      </c>
      <c r="K46" s="25">
        <v>175</v>
      </c>
      <c r="L46" s="59">
        <v>6.2</v>
      </c>
      <c r="M46" s="60">
        <v>332</v>
      </c>
      <c r="N46" s="59">
        <v>8</v>
      </c>
      <c r="O46" s="61" t="s">
        <v>51</v>
      </c>
      <c r="P46" s="58"/>
      <c r="Q46" s="60"/>
      <c r="R46" s="90" t="s">
        <v>51</v>
      </c>
      <c r="S46" s="101"/>
      <c r="AP46" s="10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</row>
    <row r="47" spans="1:53" ht="18" customHeight="1" x14ac:dyDescent="0.35">
      <c r="A47" s="100" t="s">
        <v>64</v>
      </c>
      <c r="B47" s="2">
        <v>9.1999999999999993</v>
      </c>
      <c r="C47" s="58">
        <v>13</v>
      </c>
      <c r="D47" s="58"/>
      <c r="E47" s="2" t="s">
        <v>32</v>
      </c>
      <c r="F47" s="50">
        <v>1074</v>
      </c>
      <c r="G47" s="50">
        <v>720</v>
      </c>
      <c r="H47" s="25">
        <v>400</v>
      </c>
      <c r="I47" s="25">
        <v>248</v>
      </c>
      <c r="J47" s="25">
        <f t="shared" si="1"/>
        <v>152</v>
      </c>
      <c r="K47" s="25">
        <v>159</v>
      </c>
      <c r="L47" s="59">
        <v>6.4</v>
      </c>
      <c r="M47" s="60">
        <v>302</v>
      </c>
      <c r="N47" s="59">
        <v>8</v>
      </c>
      <c r="O47" s="61" t="s">
        <v>51</v>
      </c>
      <c r="P47" s="58"/>
      <c r="Q47" s="60"/>
      <c r="R47" s="90" t="s">
        <v>51</v>
      </c>
      <c r="S47" s="101"/>
      <c r="AP47" s="10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</row>
    <row r="48" spans="1:53" ht="18" customHeight="1" x14ac:dyDescent="0.35">
      <c r="A48" s="100" t="s">
        <v>65</v>
      </c>
      <c r="B48" s="2">
        <v>9.1</v>
      </c>
      <c r="C48" s="25">
        <v>12</v>
      </c>
      <c r="D48" s="25"/>
      <c r="E48" s="2" t="s">
        <v>32</v>
      </c>
      <c r="F48" s="25">
        <v>1201</v>
      </c>
      <c r="G48" s="25">
        <v>805</v>
      </c>
      <c r="H48" s="25">
        <v>422</v>
      </c>
      <c r="I48" s="25">
        <v>259</v>
      </c>
      <c r="J48" s="25">
        <f t="shared" si="1"/>
        <v>163</v>
      </c>
      <c r="K48" s="25">
        <v>162</v>
      </c>
      <c r="L48" s="25">
        <v>6.9</v>
      </c>
      <c r="M48" s="60">
        <v>300</v>
      </c>
      <c r="N48" s="59">
        <v>6</v>
      </c>
      <c r="O48" s="61" t="s">
        <v>51</v>
      </c>
      <c r="P48" s="58"/>
      <c r="Q48" s="60"/>
      <c r="R48" s="90" t="s">
        <v>51</v>
      </c>
      <c r="S48" s="101"/>
      <c r="AP48" s="10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</row>
    <row r="49" spans="1:53" ht="18" customHeight="1" x14ac:dyDescent="0.35">
      <c r="A49" s="100" t="s">
        <v>74</v>
      </c>
      <c r="B49" s="2">
        <v>9.15</v>
      </c>
      <c r="C49" s="25">
        <v>12</v>
      </c>
      <c r="D49" s="25"/>
      <c r="E49" s="2" t="s">
        <v>32</v>
      </c>
      <c r="F49" s="25">
        <v>1211</v>
      </c>
      <c r="G49" s="25">
        <v>812</v>
      </c>
      <c r="H49" s="25">
        <v>413</v>
      </c>
      <c r="I49" s="25">
        <v>256</v>
      </c>
      <c r="J49" s="25">
        <f t="shared" si="1"/>
        <v>157</v>
      </c>
      <c r="K49" s="25">
        <v>168</v>
      </c>
      <c r="L49" s="25">
        <v>6.7</v>
      </c>
      <c r="M49" s="60">
        <v>295</v>
      </c>
      <c r="N49" s="59">
        <v>7</v>
      </c>
      <c r="O49" s="61" t="s">
        <v>51</v>
      </c>
      <c r="P49" s="58"/>
      <c r="Q49" s="60"/>
      <c r="R49" s="90" t="s">
        <v>51</v>
      </c>
      <c r="S49" s="101"/>
      <c r="AP49" s="10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</row>
    <row r="50" spans="1:53" ht="18" customHeight="1" x14ac:dyDescent="0.35">
      <c r="A50" s="100" t="s">
        <v>66</v>
      </c>
      <c r="B50" s="2">
        <v>9.1999999999999993</v>
      </c>
      <c r="C50" s="25">
        <v>10</v>
      </c>
      <c r="D50" s="25"/>
      <c r="E50" s="2">
        <v>1</v>
      </c>
      <c r="F50" s="25">
        <v>1238</v>
      </c>
      <c r="G50" s="25">
        <v>830</v>
      </c>
      <c r="H50" s="25">
        <v>420</v>
      </c>
      <c r="I50" s="25">
        <v>273</v>
      </c>
      <c r="J50" s="25">
        <f t="shared" si="1"/>
        <v>147</v>
      </c>
      <c r="K50" s="25">
        <v>170</v>
      </c>
      <c r="L50" s="59">
        <v>6.5</v>
      </c>
      <c r="M50" s="60">
        <v>300</v>
      </c>
      <c r="N50" s="59">
        <v>9</v>
      </c>
      <c r="O50" s="61" t="s">
        <v>51</v>
      </c>
      <c r="P50" s="25"/>
      <c r="Q50" s="60"/>
      <c r="R50" s="91" t="s">
        <v>51</v>
      </c>
      <c r="S50" s="101"/>
      <c r="AP50" s="10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</row>
    <row r="51" spans="1:53" ht="18" customHeight="1" x14ac:dyDescent="0.35">
      <c r="A51" s="100" t="s">
        <v>67</v>
      </c>
      <c r="B51" s="2">
        <v>9.14</v>
      </c>
      <c r="C51" s="25">
        <v>11</v>
      </c>
      <c r="D51" s="25"/>
      <c r="E51" s="2" t="s">
        <v>32</v>
      </c>
      <c r="F51" s="25">
        <v>1185</v>
      </c>
      <c r="G51" s="25">
        <v>794</v>
      </c>
      <c r="H51" s="25">
        <v>412</v>
      </c>
      <c r="I51" s="25">
        <v>268</v>
      </c>
      <c r="J51" s="25">
        <f t="shared" si="1"/>
        <v>144</v>
      </c>
      <c r="K51" s="25">
        <v>164</v>
      </c>
      <c r="L51" s="59">
        <v>7</v>
      </c>
      <c r="M51" s="60">
        <v>302</v>
      </c>
      <c r="N51" s="59">
        <v>8</v>
      </c>
      <c r="O51" s="61" t="s">
        <v>51</v>
      </c>
      <c r="P51" s="25"/>
      <c r="Q51" s="60"/>
      <c r="R51" s="91" t="s">
        <v>51</v>
      </c>
      <c r="S51" s="101"/>
      <c r="AP51" s="10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</row>
    <row r="52" spans="1:53" ht="18" customHeight="1" x14ac:dyDescent="0.35">
      <c r="A52" s="100">
        <v>45591</v>
      </c>
      <c r="B52" s="2">
        <v>9.25</v>
      </c>
      <c r="C52" s="25">
        <v>16</v>
      </c>
      <c r="D52" s="25"/>
      <c r="E52" s="2">
        <v>0.8</v>
      </c>
      <c r="F52" s="25">
        <v>1200</v>
      </c>
      <c r="G52" s="25">
        <v>804</v>
      </c>
      <c r="H52" s="25">
        <v>423</v>
      </c>
      <c r="I52" s="25">
        <v>274</v>
      </c>
      <c r="J52" s="25">
        <f t="shared" si="1"/>
        <v>149</v>
      </c>
      <c r="K52" s="25">
        <v>159</v>
      </c>
      <c r="L52" s="25">
        <v>6.4</v>
      </c>
      <c r="M52" s="25">
        <v>318</v>
      </c>
      <c r="N52" s="59">
        <v>9</v>
      </c>
      <c r="O52" s="61" t="s">
        <v>51</v>
      </c>
      <c r="P52" s="25"/>
      <c r="Q52" s="60"/>
      <c r="R52" s="91" t="s">
        <v>51</v>
      </c>
      <c r="S52" s="101"/>
      <c r="AP52" s="10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</row>
    <row r="53" spans="1:53" ht="18" customHeight="1" x14ac:dyDescent="0.35">
      <c r="A53" s="70" t="s">
        <v>75</v>
      </c>
      <c r="B53" s="2">
        <v>9.0399999999999991</v>
      </c>
      <c r="C53" s="25">
        <v>17</v>
      </c>
      <c r="D53" s="25"/>
      <c r="E53" s="2" t="s">
        <v>32</v>
      </c>
      <c r="F53" s="25">
        <v>1108</v>
      </c>
      <c r="G53" s="25">
        <v>743</v>
      </c>
      <c r="H53" s="25">
        <v>403</v>
      </c>
      <c r="I53" s="25">
        <v>264</v>
      </c>
      <c r="J53" s="25">
        <f t="shared" si="1"/>
        <v>139</v>
      </c>
      <c r="K53" s="25">
        <v>142</v>
      </c>
      <c r="L53" s="59">
        <v>6</v>
      </c>
      <c r="M53" s="25">
        <v>300</v>
      </c>
      <c r="N53" s="59">
        <v>6</v>
      </c>
      <c r="O53" s="61" t="s">
        <v>51</v>
      </c>
      <c r="P53" s="25"/>
      <c r="Q53" s="60"/>
      <c r="R53" s="91" t="s">
        <v>51</v>
      </c>
      <c r="S53" s="101"/>
      <c r="AP53" s="10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</row>
    <row r="54" spans="1:53" ht="18" customHeight="1" x14ac:dyDescent="0.35">
      <c r="A54" s="100" t="s">
        <v>69</v>
      </c>
      <c r="B54" s="2">
        <v>9.1</v>
      </c>
      <c r="C54" s="25">
        <v>19</v>
      </c>
      <c r="D54" s="25"/>
      <c r="E54" s="2">
        <v>0.8</v>
      </c>
      <c r="F54" s="25">
        <v>1100</v>
      </c>
      <c r="G54" s="25">
        <v>737</v>
      </c>
      <c r="H54" s="25">
        <v>410</v>
      </c>
      <c r="I54" s="25">
        <v>264</v>
      </c>
      <c r="J54" s="25">
        <f t="shared" si="1"/>
        <v>146</v>
      </c>
      <c r="K54" s="25">
        <v>148</v>
      </c>
      <c r="L54" s="59">
        <v>6</v>
      </c>
      <c r="M54" s="25">
        <v>307</v>
      </c>
      <c r="N54" s="59">
        <v>7</v>
      </c>
      <c r="O54" s="61" t="s">
        <v>51</v>
      </c>
      <c r="P54" s="25"/>
      <c r="Q54" s="60"/>
      <c r="R54" s="91" t="s">
        <v>51</v>
      </c>
      <c r="S54" s="101"/>
      <c r="AP54" s="10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</row>
    <row r="55" spans="1:53" ht="18" customHeight="1" x14ac:dyDescent="0.35">
      <c r="A55" s="100" t="s">
        <v>70</v>
      </c>
      <c r="B55" s="2">
        <v>9.1</v>
      </c>
      <c r="C55" s="25">
        <v>16</v>
      </c>
      <c r="D55" s="25"/>
      <c r="E55" s="2">
        <v>0.2</v>
      </c>
      <c r="F55" s="25">
        <v>1119</v>
      </c>
      <c r="G55" s="25">
        <v>750</v>
      </c>
      <c r="H55" s="25">
        <v>395</v>
      </c>
      <c r="I55" s="25">
        <v>254</v>
      </c>
      <c r="J55" s="25">
        <f t="shared" si="1"/>
        <v>141</v>
      </c>
      <c r="K55" s="25">
        <v>140</v>
      </c>
      <c r="L55" s="25">
        <v>6.8</v>
      </c>
      <c r="M55" s="25">
        <v>298</v>
      </c>
      <c r="N55" s="59">
        <v>6</v>
      </c>
      <c r="O55" s="61" t="s">
        <v>51</v>
      </c>
      <c r="P55" s="25"/>
      <c r="Q55" s="60"/>
      <c r="R55" s="91" t="s">
        <v>51</v>
      </c>
      <c r="S55" s="101"/>
      <c r="AP55" s="10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</row>
    <row r="56" spans="1:53" ht="18" customHeight="1" thickBot="1" x14ac:dyDescent="0.4">
      <c r="A56" s="111" t="s">
        <v>71</v>
      </c>
      <c r="B56" s="25">
        <v>9.1</v>
      </c>
      <c r="C56" s="25">
        <v>15</v>
      </c>
      <c r="D56" s="25"/>
      <c r="E56" s="2">
        <v>0.5</v>
      </c>
      <c r="F56" s="25">
        <v>1030</v>
      </c>
      <c r="G56" s="25">
        <v>690</v>
      </c>
      <c r="H56" s="25">
        <v>410</v>
      </c>
      <c r="I56" s="25">
        <v>269</v>
      </c>
      <c r="J56" s="25">
        <f t="shared" si="1"/>
        <v>141</v>
      </c>
      <c r="K56" s="25">
        <v>140</v>
      </c>
      <c r="L56" s="25">
        <v>6.8</v>
      </c>
      <c r="M56" s="25">
        <v>304</v>
      </c>
      <c r="N56" s="59">
        <v>8</v>
      </c>
      <c r="O56" s="61" t="s">
        <v>51</v>
      </c>
      <c r="P56" s="25"/>
      <c r="Q56" s="60"/>
      <c r="R56" s="91" t="s">
        <v>51</v>
      </c>
      <c r="S56" s="101"/>
      <c r="AP56" s="10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</row>
    <row r="57" spans="1:53" ht="18" customHeight="1" x14ac:dyDescent="0.35">
      <c r="A57" s="110" t="s">
        <v>76</v>
      </c>
      <c r="B57" s="1">
        <v>9</v>
      </c>
      <c r="C57" s="12">
        <v>15</v>
      </c>
      <c r="D57" s="12"/>
      <c r="E57" s="1">
        <v>0.2</v>
      </c>
      <c r="F57" s="85">
        <v>960</v>
      </c>
      <c r="G57" s="85">
        <v>643</v>
      </c>
      <c r="H57" s="76">
        <v>415</v>
      </c>
      <c r="I57" s="76">
        <v>273</v>
      </c>
      <c r="J57" s="25">
        <f>H57-I57</f>
        <v>142</v>
      </c>
      <c r="K57" s="76">
        <v>144</v>
      </c>
      <c r="L57" s="87">
        <v>6</v>
      </c>
      <c r="M57" s="88">
        <v>318</v>
      </c>
      <c r="N57" s="87">
        <v>7</v>
      </c>
      <c r="O57" s="69" t="s">
        <v>51</v>
      </c>
      <c r="P57" s="12"/>
      <c r="Q57" s="88"/>
      <c r="R57" s="89" t="s">
        <v>51</v>
      </c>
      <c r="S57" s="101"/>
      <c r="AP57" s="10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</row>
    <row r="58" spans="1:53" ht="18" customHeight="1" x14ac:dyDescent="0.35">
      <c r="A58" s="100" t="s">
        <v>77</v>
      </c>
      <c r="B58" s="2">
        <v>9.1</v>
      </c>
      <c r="C58" s="58">
        <v>14</v>
      </c>
      <c r="D58" s="58"/>
      <c r="E58" s="2" t="s">
        <v>32</v>
      </c>
      <c r="F58" s="50">
        <v>925</v>
      </c>
      <c r="G58" s="25">
        <v>620</v>
      </c>
      <c r="H58" s="25">
        <v>422</v>
      </c>
      <c r="I58" s="25">
        <v>280</v>
      </c>
      <c r="J58" s="25">
        <f>H58-I58</f>
        <v>142</v>
      </c>
      <c r="K58" s="25">
        <v>140</v>
      </c>
      <c r="L58" s="59">
        <v>6.3</v>
      </c>
      <c r="M58" s="60">
        <v>321</v>
      </c>
      <c r="N58" s="59">
        <v>9</v>
      </c>
      <c r="O58" s="61" t="s">
        <v>51</v>
      </c>
      <c r="P58" s="58"/>
      <c r="Q58" s="60"/>
      <c r="R58" s="90" t="s">
        <v>51</v>
      </c>
      <c r="S58" s="101"/>
      <c r="AP58" s="10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</row>
    <row r="59" spans="1:53" ht="18" customHeight="1" x14ac:dyDescent="0.35">
      <c r="A59" s="100" t="s">
        <v>78</v>
      </c>
      <c r="B59" s="2">
        <v>9.1</v>
      </c>
      <c r="C59" s="58">
        <v>14</v>
      </c>
      <c r="D59" s="58"/>
      <c r="E59" s="2" t="s">
        <v>32</v>
      </c>
      <c r="F59" s="50">
        <v>935</v>
      </c>
      <c r="G59" s="50">
        <v>627</v>
      </c>
      <c r="H59" s="25">
        <v>433</v>
      </c>
      <c r="I59" s="25">
        <v>282</v>
      </c>
      <c r="J59" s="25">
        <f t="shared" ref="J59:J122" si="2">H59-I59</f>
        <v>151</v>
      </c>
      <c r="K59" s="25">
        <v>152</v>
      </c>
      <c r="L59" s="59">
        <v>6.5</v>
      </c>
      <c r="M59" s="60">
        <v>314</v>
      </c>
      <c r="N59" s="59">
        <v>8</v>
      </c>
      <c r="O59" s="61" t="s">
        <v>51</v>
      </c>
      <c r="P59" s="58"/>
      <c r="Q59" s="60"/>
      <c r="R59" s="90" t="s">
        <v>51</v>
      </c>
      <c r="S59" s="101"/>
      <c r="AP59" s="10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</row>
    <row r="60" spans="1:53" ht="18" customHeight="1" x14ac:dyDescent="0.35">
      <c r="A60" s="100" t="s">
        <v>100</v>
      </c>
      <c r="B60" s="2">
        <v>9.08</v>
      </c>
      <c r="C60" s="17">
        <v>11</v>
      </c>
      <c r="D60" s="17"/>
      <c r="E60" s="2" t="s">
        <v>32</v>
      </c>
      <c r="F60" s="50">
        <v>955</v>
      </c>
      <c r="G60" s="50">
        <v>640</v>
      </c>
      <c r="H60" s="25">
        <v>440</v>
      </c>
      <c r="I60" s="25">
        <v>284</v>
      </c>
      <c r="J60" s="25">
        <f t="shared" si="2"/>
        <v>156</v>
      </c>
      <c r="K60" s="25">
        <v>160</v>
      </c>
      <c r="L60" s="59">
        <v>6.5</v>
      </c>
      <c r="M60" s="60">
        <v>320</v>
      </c>
      <c r="N60" s="59">
        <v>9</v>
      </c>
      <c r="O60" s="61" t="s">
        <v>51</v>
      </c>
      <c r="P60" s="17"/>
      <c r="Q60" s="60"/>
      <c r="R60" s="90" t="s">
        <v>51</v>
      </c>
      <c r="S60" s="101"/>
      <c r="AP60" s="10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</row>
    <row r="61" spans="1:53" ht="18" customHeight="1" x14ac:dyDescent="0.35">
      <c r="A61" s="100" t="s">
        <v>79</v>
      </c>
      <c r="B61" s="2">
        <v>9.1</v>
      </c>
      <c r="C61" s="17">
        <v>10</v>
      </c>
      <c r="D61" s="17"/>
      <c r="E61" s="2">
        <v>0.2</v>
      </c>
      <c r="F61" s="50">
        <v>925</v>
      </c>
      <c r="G61" s="50">
        <v>620</v>
      </c>
      <c r="H61" s="25">
        <v>398</v>
      </c>
      <c r="I61" s="25">
        <v>246</v>
      </c>
      <c r="J61" s="25">
        <f t="shared" si="2"/>
        <v>152</v>
      </c>
      <c r="K61" s="25">
        <v>130</v>
      </c>
      <c r="L61" s="59">
        <v>6.7</v>
      </c>
      <c r="M61" s="60">
        <v>340</v>
      </c>
      <c r="N61" s="59">
        <v>10</v>
      </c>
      <c r="O61" s="61" t="s">
        <v>51</v>
      </c>
      <c r="P61" s="17"/>
      <c r="Q61" s="60"/>
      <c r="R61" s="90" t="s">
        <v>51</v>
      </c>
      <c r="S61" s="101"/>
      <c r="AP61" s="10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</row>
    <row r="62" spans="1:53" ht="18" customHeight="1" x14ac:dyDescent="0.35">
      <c r="A62" s="100" t="s">
        <v>80</v>
      </c>
      <c r="B62" s="2">
        <v>9.02</v>
      </c>
      <c r="C62" s="58">
        <v>11</v>
      </c>
      <c r="D62" s="58"/>
      <c r="E62" s="2">
        <v>0.3</v>
      </c>
      <c r="F62" s="50">
        <v>886</v>
      </c>
      <c r="G62" s="50">
        <v>594</v>
      </c>
      <c r="H62" s="25">
        <v>350</v>
      </c>
      <c r="I62" s="25">
        <v>233</v>
      </c>
      <c r="J62" s="25">
        <f t="shared" si="2"/>
        <v>117</v>
      </c>
      <c r="K62" s="25">
        <v>120</v>
      </c>
      <c r="L62" s="59">
        <v>6.9</v>
      </c>
      <c r="M62" s="60">
        <v>310</v>
      </c>
      <c r="N62" s="59">
        <v>8</v>
      </c>
      <c r="O62" s="61" t="s">
        <v>51</v>
      </c>
      <c r="P62" s="58"/>
      <c r="Q62" s="60"/>
      <c r="R62" s="90" t="s">
        <v>51</v>
      </c>
      <c r="S62" s="101"/>
      <c r="AP62" s="10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</row>
    <row r="63" spans="1:53" ht="18" customHeight="1" x14ac:dyDescent="0.35">
      <c r="A63" s="100" t="s">
        <v>81</v>
      </c>
      <c r="B63" s="2">
        <v>9.02</v>
      </c>
      <c r="C63" s="17">
        <v>12</v>
      </c>
      <c r="D63" s="17"/>
      <c r="E63" s="2">
        <v>0.9</v>
      </c>
      <c r="F63" s="50">
        <v>873</v>
      </c>
      <c r="G63" s="50">
        <v>580</v>
      </c>
      <c r="H63" s="25">
        <v>343</v>
      </c>
      <c r="I63" s="25">
        <v>224</v>
      </c>
      <c r="J63" s="25">
        <f t="shared" si="2"/>
        <v>119</v>
      </c>
      <c r="K63" s="25">
        <v>129</v>
      </c>
      <c r="L63" s="59">
        <v>7.2</v>
      </c>
      <c r="M63" s="60">
        <v>300</v>
      </c>
      <c r="N63" s="59">
        <v>7</v>
      </c>
      <c r="O63" s="61" t="s">
        <v>51</v>
      </c>
      <c r="P63" s="17"/>
      <c r="Q63" s="60"/>
      <c r="R63" s="90" t="s">
        <v>51</v>
      </c>
      <c r="S63" s="101"/>
      <c r="AP63" s="10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</row>
    <row r="64" spans="1:53" ht="18" customHeight="1" x14ac:dyDescent="0.35">
      <c r="A64" s="100" t="s">
        <v>82</v>
      </c>
      <c r="B64" s="2">
        <v>9.14</v>
      </c>
      <c r="C64" s="58">
        <v>14</v>
      </c>
      <c r="D64" s="58"/>
      <c r="E64" s="2">
        <v>0.2</v>
      </c>
      <c r="F64" s="17">
        <v>885</v>
      </c>
      <c r="G64" s="17">
        <v>593</v>
      </c>
      <c r="H64" s="17">
        <v>350</v>
      </c>
      <c r="I64" s="17">
        <v>239</v>
      </c>
      <c r="J64" s="25">
        <f t="shared" si="2"/>
        <v>111</v>
      </c>
      <c r="K64" s="17">
        <v>132</v>
      </c>
      <c r="L64" s="59">
        <v>7.4</v>
      </c>
      <c r="M64" s="60">
        <v>308</v>
      </c>
      <c r="N64" s="59">
        <v>9</v>
      </c>
      <c r="O64" s="61" t="s">
        <v>51</v>
      </c>
      <c r="P64" s="17"/>
      <c r="Q64" s="60"/>
      <c r="R64" s="90" t="s">
        <v>51</v>
      </c>
      <c r="S64" s="101"/>
      <c r="AP64" s="10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</row>
    <row r="65" spans="1:53" ht="18" customHeight="1" x14ac:dyDescent="0.35">
      <c r="A65" s="100" t="s">
        <v>83</v>
      </c>
      <c r="B65" s="2">
        <v>9.1</v>
      </c>
      <c r="C65" s="58">
        <v>12</v>
      </c>
      <c r="D65" s="58"/>
      <c r="E65" s="2">
        <v>0.2</v>
      </c>
      <c r="F65" s="50">
        <v>910</v>
      </c>
      <c r="G65" s="50">
        <v>610</v>
      </c>
      <c r="H65" s="25">
        <v>357</v>
      </c>
      <c r="I65" s="25">
        <v>221</v>
      </c>
      <c r="J65" s="25">
        <f t="shared" si="2"/>
        <v>136</v>
      </c>
      <c r="K65" s="25">
        <v>137</v>
      </c>
      <c r="L65" s="59">
        <v>7.4</v>
      </c>
      <c r="M65" s="60">
        <v>316</v>
      </c>
      <c r="N65" s="59">
        <v>9</v>
      </c>
      <c r="O65" s="61" t="s">
        <v>51</v>
      </c>
      <c r="P65" s="17"/>
      <c r="Q65" s="60"/>
      <c r="R65" s="90" t="s">
        <v>51</v>
      </c>
      <c r="S65" s="101"/>
      <c r="AP65" s="10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</row>
    <row r="66" spans="1:53" ht="18" customHeight="1" x14ac:dyDescent="0.35">
      <c r="A66" s="100" t="s">
        <v>84</v>
      </c>
      <c r="B66" s="2">
        <v>9.2799999999999994</v>
      </c>
      <c r="C66" s="58">
        <v>13</v>
      </c>
      <c r="D66" s="58"/>
      <c r="E66" s="2">
        <v>0.4</v>
      </c>
      <c r="F66" s="50">
        <v>943</v>
      </c>
      <c r="G66" s="50">
        <v>632</v>
      </c>
      <c r="H66" s="25">
        <v>330</v>
      </c>
      <c r="I66" s="25">
        <v>214</v>
      </c>
      <c r="J66" s="25">
        <f t="shared" si="2"/>
        <v>116</v>
      </c>
      <c r="K66" s="25">
        <v>133</v>
      </c>
      <c r="L66" s="59">
        <v>6.9</v>
      </c>
      <c r="M66" s="60">
        <v>310</v>
      </c>
      <c r="N66" s="59">
        <v>8</v>
      </c>
      <c r="O66" s="61" t="s">
        <v>51</v>
      </c>
      <c r="P66" s="58"/>
      <c r="Q66" s="60"/>
      <c r="R66" s="90" t="s">
        <v>51</v>
      </c>
      <c r="S66" s="101"/>
      <c r="AP66" s="10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</row>
    <row r="67" spans="1:53" ht="18" customHeight="1" x14ac:dyDescent="0.35">
      <c r="A67" s="100" t="s">
        <v>85</v>
      </c>
      <c r="B67" s="2">
        <v>9.3000000000000007</v>
      </c>
      <c r="C67" s="58">
        <v>13</v>
      </c>
      <c r="D67" s="58"/>
      <c r="E67" s="2">
        <v>0.3</v>
      </c>
      <c r="F67" s="50">
        <v>958</v>
      </c>
      <c r="G67" s="50">
        <v>642</v>
      </c>
      <c r="H67" s="25">
        <v>337</v>
      </c>
      <c r="I67" s="25">
        <v>208</v>
      </c>
      <c r="J67" s="25">
        <f t="shared" si="2"/>
        <v>129</v>
      </c>
      <c r="K67" s="25">
        <v>137</v>
      </c>
      <c r="L67" s="59">
        <v>6.9</v>
      </c>
      <c r="M67" s="60">
        <v>317</v>
      </c>
      <c r="N67" s="59">
        <v>9</v>
      </c>
      <c r="O67" s="61" t="s">
        <v>51</v>
      </c>
      <c r="P67" s="58"/>
      <c r="Q67" s="60"/>
      <c r="R67" s="90" t="s">
        <v>51</v>
      </c>
      <c r="S67" s="101"/>
      <c r="AP67" s="10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</row>
    <row r="68" spans="1:53" ht="18" customHeight="1" x14ac:dyDescent="0.35">
      <c r="A68" s="100" t="s">
        <v>86</v>
      </c>
      <c r="B68" s="2">
        <v>9.26</v>
      </c>
      <c r="C68" s="58">
        <v>15</v>
      </c>
      <c r="D68" s="58"/>
      <c r="E68" s="2" t="s">
        <v>32</v>
      </c>
      <c r="F68" s="50">
        <v>973</v>
      </c>
      <c r="G68" s="50">
        <v>652</v>
      </c>
      <c r="H68" s="25">
        <v>345</v>
      </c>
      <c r="I68" s="25">
        <v>213</v>
      </c>
      <c r="J68" s="25">
        <f t="shared" si="2"/>
        <v>132</v>
      </c>
      <c r="K68" s="25">
        <v>142</v>
      </c>
      <c r="L68" s="59">
        <v>7</v>
      </c>
      <c r="M68" s="60">
        <v>324</v>
      </c>
      <c r="N68" s="59">
        <v>9</v>
      </c>
      <c r="O68" s="61" t="s">
        <v>51</v>
      </c>
      <c r="P68" s="58"/>
      <c r="Q68" s="60"/>
      <c r="R68" s="90" t="s">
        <v>51</v>
      </c>
      <c r="S68" s="101"/>
      <c r="AP68" s="10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</row>
    <row r="69" spans="1:53" ht="18" customHeight="1" x14ac:dyDescent="0.35">
      <c r="A69" s="100" t="s">
        <v>87</v>
      </c>
      <c r="B69" s="2">
        <v>8.01</v>
      </c>
      <c r="C69" s="58">
        <v>15</v>
      </c>
      <c r="D69" s="58"/>
      <c r="E69" s="2">
        <v>0.3</v>
      </c>
      <c r="F69" s="50">
        <v>1014</v>
      </c>
      <c r="G69" s="50">
        <v>680</v>
      </c>
      <c r="H69" s="25">
        <v>357</v>
      </c>
      <c r="I69" s="25">
        <v>221</v>
      </c>
      <c r="J69" s="25">
        <f t="shared" si="2"/>
        <v>136</v>
      </c>
      <c r="K69" s="25">
        <v>155</v>
      </c>
      <c r="L69" s="59">
        <v>6</v>
      </c>
      <c r="M69" s="60">
        <v>130</v>
      </c>
      <c r="N69" s="59" t="s">
        <v>32</v>
      </c>
      <c r="O69" s="61" t="s">
        <v>51</v>
      </c>
      <c r="P69" s="58"/>
      <c r="Q69" s="60"/>
      <c r="R69" s="90" t="s">
        <v>51</v>
      </c>
      <c r="S69" s="101"/>
      <c r="AP69" s="10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</row>
    <row r="70" spans="1:53" ht="18" customHeight="1" x14ac:dyDescent="0.35">
      <c r="A70" s="100" t="s">
        <v>88</v>
      </c>
      <c r="B70" s="2">
        <v>6.5</v>
      </c>
      <c r="C70" s="58">
        <v>15</v>
      </c>
      <c r="D70" s="58"/>
      <c r="E70" s="2" t="s">
        <v>32</v>
      </c>
      <c r="F70" s="50">
        <v>885</v>
      </c>
      <c r="G70" s="50">
        <v>593</v>
      </c>
      <c r="H70" s="50">
        <v>240</v>
      </c>
      <c r="I70" s="25">
        <v>148</v>
      </c>
      <c r="J70" s="25">
        <f t="shared" si="2"/>
        <v>92</v>
      </c>
      <c r="K70" s="25">
        <v>142</v>
      </c>
      <c r="L70" s="59">
        <v>6.5</v>
      </c>
      <c r="M70" s="60">
        <v>100</v>
      </c>
      <c r="N70" s="59" t="s">
        <v>32</v>
      </c>
      <c r="O70" s="61" t="s">
        <v>51</v>
      </c>
      <c r="P70" s="58"/>
      <c r="Q70" s="60"/>
      <c r="R70" s="90" t="s">
        <v>51</v>
      </c>
      <c r="S70" s="101"/>
      <c r="AP70" s="10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</row>
    <row r="71" spans="1:53" ht="18" customHeight="1" x14ac:dyDescent="0.35">
      <c r="A71" s="100" t="s">
        <v>89</v>
      </c>
      <c r="B71" s="2">
        <v>7</v>
      </c>
      <c r="C71" s="58"/>
      <c r="D71" s="58"/>
      <c r="E71" s="2">
        <v>0.5</v>
      </c>
      <c r="F71" s="50">
        <v>939</v>
      </c>
      <c r="G71" s="50">
        <v>629</v>
      </c>
      <c r="H71" s="25">
        <v>250</v>
      </c>
      <c r="I71" s="25">
        <v>155</v>
      </c>
      <c r="J71" s="25">
        <f t="shared" si="2"/>
        <v>95</v>
      </c>
      <c r="K71" s="25">
        <v>139</v>
      </c>
      <c r="L71" s="59">
        <v>7</v>
      </c>
      <c r="M71" s="60">
        <v>92</v>
      </c>
      <c r="N71" s="59" t="s">
        <v>32</v>
      </c>
      <c r="O71" s="61" t="s">
        <v>51</v>
      </c>
      <c r="P71" s="58"/>
      <c r="Q71" s="60"/>
      <c r="R71" s="90" t="s">
        <v>51</v>
      </c>
      <c r="S71" s="101"/>
      <c r="AP71" s="10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</row>
    <row r="72" spans="1:53" ht="18" customHeight="1" x14ac:dyDescent="0.35">
      <c r="A72" s="100" t="s">
        <v>90</v>
      </c>
      <c r="B72" s="2">
        <v>7.5</v>
      </c>
      <c r="C72" s="58"/>
      <c r="D72" s="58"/>
      <c r="E72" s="2" t="s">
        <v>32</v>
      </c>
      <c r="F72" s="50">
        <v>804</v>
      </c>
      <c r="G72" s="50">
        <v>539</v>
      </c>
      <c r="H72" s="25">
        <v>210</v>
      </c>
      <c r="I72" s="25">
        <v>130</v>
      </c>
      <c r="J72" s="25">
        <f t="shared" si="2"/>
        <v>80</v>
      </c>
      <c r="K72" s="25">
        <v>106</v>
      </c>
      <c r="L72" s="59">
        <v>6.8</v>
      </c>
      <c r="M72" s="60">
        <v>83</v>
      </c>
      <c r="N72" s="59" t="s">
        <v>32</v>
      </c>
      <c r="O72" s="61" t="s">
        <v>51</v>
      </c>
      <c r="P72" s="58"/>
      <c r="Q72" s="60"/>
      <c r="R72" s="90" t="s">
        <v>51</v>
      </c>
      <c r="S72" s="101"/>
      <c r="AP72" s="10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</row>
    <row r="73" spans="1:53" ht="18" customHeight="1" x14ac:dyDescent="0.35">
      <c r="A73" s="100" t="s">
        <v>92</v>
      </c>
      <c r="B73" s="2">
        <v>7.6</v>
      </c>
      <c r="C73" s="58" t="s">
        <v>51</v>
      </c>
      <c r="D73" s="58"/>
      <c r="E73" s="2">
        <v>0.2</v>
      </c>
      <c r="F73" s="50">
        <v>776</v>
      </c>
      <c r="G73" s="50">
        <v>520</v>
      </c>
      <c r="H73" s="25">
        <v>200</v>
      </c>
      <c r="I73" s="25">
        <v>124</v>
      </c>
      <c r="J73" s="25">
        <f t="shared" si="2"/>
        <v>76</v>
      </c>
      <c r="K73" s="25">
        <v>94</v>
      </c>
      <c r="L73" s="59">
        <v>7</v>
      </c>
      <c r="M73" s="60">
        <v>74</v>
      </c>
      <c r="N73" s="59" t="s">
        <v>32</v>
      </c>
      <c r="O73" s="61" t="s">
        <v>51</v>
      </c>
      <c r="P73" s="58"/>
      <c r="Q73" s="60"/>
      <c r="R73" s="90" t="s">
        <v>51</v>
      </c>
      <c r="S73" s="101"/>
      <c r="AP73" s="10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</row>
    <row r="74" spans="1:53" ht="18" customHeight="1" x14ac:dyDescent="0.35">
      <c r="A74" s="100" t="s">
        <v>93</v>
      </c>
      <c r="B74" s="2">
        <v>7.5</v>
      </c>
      <c r="C74" s="58" t="s">
        <v>51</v>
      </c>
      <c r="D74" s="58"/>
      <c r="E74" s="2">
        <v>0.2</v>
      </c>
      <c r="F74" s="50">
        <v>801</v>
      </c>
      <c r="G74" s="50">
        <v>537</v>
      </c>
      <c r="H74" s="25">
        <v>220</v>
      </c>
      <c r="I74" s="25">
        <v>136</v>
      </c>
      <c r="J74" s="25">
        <f t="shared" si="2"/>
        <v>84</v>
      </c>
      <c r="K74" s="25">
        <v>115</v>
      </c>
      <c r="L74" s="59">
        <v>7.2</v>
      </c>
      <c r="M74" s="60">
        <v>80</v>
      </c>
      <c r="N74" s="59" t="s">
        <v>32</v>
      </c>
      <c r="O74" s="61" t="s">
        <v>51</v>
      </c>
      <c r="P74" s="58"/>
      <c r="Q74" s="60"/>
      <c r="R74" s="90" t="s">
        <v>51</v>
      </c>
      <c r="S74" s="101"/>
      <c r="AP74" s="10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</row>
    <row r="75" spans="1:53" ht="18" customHeight="1" x14ac:dyDescent="0.35">
      <c r="A75" s="100" t="s">
        <v>94</v>
      </c>
      <c r="B75" s="2">
        <v>8.1</v>
      </c>
      <c r="C75" s="25" t="s">
        <v>51</v>
      </c>
      <c r="D75" s="25"/>
      <c r="E75" s="2" t="s">
        <v>32</v>
      </c>
      <c r="F75" s="25">
        <v>887</v>
      </c>
      <c r="G75" s="25">
        <v>594</v>
      </c>
      <c r="H75" s="25">
        <v>240</v>
      </c>
      <c r="I75" s="25">
        <v>150</v>
      </c>
      <c r="J75" s="25">
        <f t="shared" si="2"/>
        <v>90</v>
      </c>
      <c r="K75" s="25">
        <v>118</v>
      </c>
      <c r="L75" s="25">
        <v>6.9</v>
      </c>
      <c r="M75" s="60">
        <v>86</v>
      </c>
      <c r="N75" s="59" t="s">
        <v>32</v>
      </c>
      <c r="O75" s="61" t="s">
        <v>51</v>
      </c>
      <c r="P75" s="58"/>
      <c r="Q75" s="60"/>
      <c r="R75" s="90" t="s">
        <v>51</v>
      </c>
      <c r="S75" s="101"/>
      <c r="AP75" s="10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</row>
    <row r="76" spans="1:53" ht="18" customHeight="1" x14ac:dyDescent="0.35">
      <c r="A76" s="100" t="s">
        <v>95</v>
      </c>
      <c r="B76" s="2">
        <v>8.15</v>
      </c>
      <c r="C76" s="25" t="s">
        <v>51</v>
      </c>
      <c r="D76" s="25"/>
      <c r="E76" s="2">
        <v>0.3</v>
      </c>
      <c r="F76" s="25">
        <v>955</v>
      </c>
      <c r="G76" s="25">
        <v>640</v>
      </c>
      <c r="H76" s="25">
        <v>248</v>
      </c>
      <c r="I76" s="25">
        <v>159</v>
      </c>
      <c r="J76" s="25">
        <f t="shared" si="2"/>
        <v>89</v>
      </c>
      <c r="K76" s="25">
        <v>122</v>
      </c>
      <c r="L76" s="25">
        <v>6.5</v>
      </c>
      <c r="M76" s="60">
        <v>88</v>
      </c>
      <c r="N76" s="59" t="s">
        <v>32</v>
      </c>
      <c r="O76" s="61" t="s">
        <v>51</v>
      </c>
      <c r="P76" s="58"/>
      <c r="Q76" s="60"/>
      <c r="R76" s="90" t="s">
        <v>51</v>
      </c>
      <c r="S76" s="101"/>
      <c r="AP76" s="10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</row>
    <row r="77" spans="1:53" ht="18" customHeight="1" x14ac:dyDescent="0.35">
      <c r="A77" s="100" t="s">
        <v>96</v>
      </c>
      <c r="B77" s="2">
        <v>7.65</v>
      </c>
      <c r="C77" s="25" t="s">
        <v>51</v>
      </c>
      <c r="D77" s="25"/>
      <c r="E77" s="2">
        <v>0.3</v>
      </c>
      <c r="F77" s="25">
        <v>925</v>
      </c>
      <c r="G77" s="25">
        <v>620</v>
      </c>
      <c r="H77" s="25">
        <v>200</v>
      </c>
      <c r="I77" s="25">
        <v>126</v>
      </c>
      <c r="J77" s="25">
        <f t="shared" si="2"/>
        <v>74</v>
      </c>
      <c r="K77" s="25">
        <v>95</v>
      </c>
      <c r="L77" s="59">
        <v>6.5</v>
      </c>
      <c r="M77" s="60">
        <v>100</v>
      </c>
      <c r="N77" s="59" t="s">
        <v>32</v>
      </c>
      <c r="O77" s="61" t="s">
        <v>51</v>
      </c>
      <c r="P77" s="58"/>
      <c r="Q77" s="60"/>
      <c r="R77" s="90" t="s">
        <v>51</v>
      </c>
      <c r="S77" s="101"/>
      <c r="AP77" s="10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</row>
    <row r="78" spans="1:53" ht="18" customHeight="1" x14ac:dyDescent="0.35">
      <c r="A78" s="100" t="s">
        <v>97</v>
      </c>
      <c r="B78" s="2">
        <v>8.1</v>
      </c>
      <c r="C78" s="25" t="s">
        <v>51</v>
      </c>
      <c r="D78" s="25"/>
      <c r="E78" s="2">
        <v>0.3</v>
      </c>
      <c r="F78" s="25">
        <v>858</v>
      </c>
      <c r="G78" s="25">
        <v>575</v>
      </c>
      <c r="H78" s="25">
        <v>215</v>
      </c>
      <c r="I78" s="25">
        <v>133</v>
      </c>
      <c r="J78" s="25">
        <f t="shared" si="2"/>
        <v>82</v>
      </c>
      <c r="K78" s="25">
        <v>90</v>
      </c>
      <c r="L78" s="59">
        <v>6.5</v>
      </c>
      <c r="M78" s="60">
        <v>110</v>
      </c>
      <c r="N78" s="59" t="s">
        <v>32</v>
      </c>
      <c r="O78" s="61" t="s">
        <v>51</v>
      </c>
      <c r="P78" s="58"/>
      <c r="Q78" s="60"/>
      <c r="R78" s="90" t="s">
        <v>51</v>
      </c>
      <c r="S78" s="101"/>
      <c r="AP78" s="10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</row>
    <row r="79" spans="1:53" ht="18" customHeight="1" x14ac:dyDescent="0.35">
      <c r="A79" s="100" t="s">
        <v>98</v>
      </c>
      <c r="B79" s="2">
        <v>8</v>
      </c>
      <c r="C79" s="25" t="s">
        <v>51</v>
      </c>
      <c r="D79" s="25"/>
      <c r="E79" s="2">
        <v>0.2</v>
      </c>
      <c r="F79" s="25">
        <v>880</v>
      </c>
      <c r="G79" s="25">
        <v>590</v>
      </c>
      <c r="H79" s="25">
        <v>212</v>
      </c>
      <c r="I79" s="25">
        <v>131</v>
      </c>
      <c r="J79" s="25">
        <f t="shared" si="2"/>
        <v>81</v>
      </c>
      <c r="K79" s="25">
        <v>124</v>
      </c>
      <c r="L79" s="25">
        <v>6.3</v>
      </c>
      <c r="M79" s="25">
        <v>100</v>
      </c>
      <c r="N79" s="59" t="s">
        <v>32</v>
      </c>
      <c r="O79" s="61" t="s">
        <v>51</v>
      </c>
      <c r="P79" s="58"/>
      <c r="Q79" s="60"/>
      <c r="R79" s="90" t="s">
        <v>51</v>
      </c>
      <c r="S79" s="101"/>
      <c r="AP79" s="10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</row>
    <row r="80" spans="1:53" ht="18" customHeight="1" thickBot="1" x14ac:dyDescent="0.4">
      <c r="A80" s="73" t="s">
        <v>99</v>
      </c>
      <c r="B80" s="2">
        <v>8</v>
      </c>
      <c r="C80" s="25" t="s">
        <v>51</v>
      </c>
      <c r="D80" s="25"/>
      <c r="E80" s="2">
        <v>0.2</v>
      </c>
      <c r="F80" s="25">
        <v>850</v>
      </c>
      <c r="G80" s="25">
        <v>570</v>
      </c>
      <c r="H80" s="25">
        <v>200</v>
      </c>
      <c r="I80" s="25">
        <v>124</v>
      </c>
      <c r="J80" s="25">
        <f t="shared" si="2"/>
        <v>76</v>
      </c>
      <c r="K80" s="25">
        <v>118</v>
      </c>
      <c r="L80" s="59">
        <v>6.5</v>
      </c>
      <c r="M80" s="25">
        <v>115</v>
      </c>
      <c r="N80" s="59" t="s">
        <v>32</v>
      </c>
      <c r="O80" s="61" t="s">
        <v>51</v>
      </c>
      <c r="P80" s="25"/>
      <c r="Q80" s="60"/>
      <c r="R80" s="91" t="s">
        <v>51</v>
      </c>
      <c r="S80" s="101"/>
      <c r="AP80" s="10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</row>
    <row r="81" spans="1:53" ht="18" customHeight="1" x14ac:dyDescent="0.35">
      <c r="A81" s="110" t="s">
        <v>101</v>
      </c>
      <c r="B81" s="1">
        <v>8</v>
      </c>
      <c r="C81" s="12" t="s">
        <v>51</v>
      </c>
      <c r="D81" s="12"/>
      <c r="E81" s="1">
        <v>0.2</v>
      </c>
      <c r="F81" s="85">
        <v>805</v>
      </c>
      <c r="G81" s="85">
        <v>540</v>
      </c>
      <c r="H81" s="76">
        <v>192</v>
      </c>
      <c r="I81" s="76">
        <v>119</v>
      </c>
      <c r="J81" s="25">
        <f t="shared" si="2"/>
        <v>73</v>
      </c>
      <c r="K81" s="76">
        <v>107</v>
      </c>
      <c r="L81" s="87">
        <v>6.7</v>
      </c>
      <c r="M81" s="88">
        <v>150</v>
      </c>
      <c r="N81" s="59" t="s">
        <v>32</v>
      </c>
      <c r="O81" s="57" t="s">
        <v>51</v>
      </c>
      <c r="P81" s="17"/>
      <c r="Q81" s="60"/>
      <c r="R81" s="90" t="s">
        <v>51</v>
      </c>
      <c r="S81" s="101"/>
      <c r="AP81" s="10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</row>
    <row r="82" spans="1:53" ht="18" customHeight="1" x14ac:dyDescent="0.35">
      <c r="A82" s="100" t="s">
        <v>102</v>
      </c>
      <c r="B82" s="2">
        <v>7.8</v>
      </c>
      <c r="C82" s="58" t="s">
        <v>51</v>
      </c>
      <c r="D82" s="58"/>
      <c r="E82" s="2">
        <v>0.1</v>
      </c>
      <c r="F82" s="50">
        <v>641</v>
      </c>
      <c r="G82" s="25">
        <v>430</v>
      </c>
      <c r="H82" s="25">
        <v>160</v>
      </c>
      <c r="I82" s="25">
        <v>99</v>
      </c>
      <c r="J82" s="25">
        <f t="shared" si="2"/>
        <v>61</v>
      </c>
      <c r="K82" s="25">
        <v>94</v>
      </c>
      <c r="L82" s="59">
        <v>6.8</v>
      </c>
      <c r="M82" s="60">
        <v>100</v>
      </c>
      <c r="N82" s="59" t="s">
        <v>32</v>
      </c>
      <c r="O82" s="57" t="s">
        <v>51</v>
      </c>
      <c r="P82" s="17"/>
      <c r="Q82" s="60"/>
      <c r="R82" s="90" t="s">
        <v>51</v>
      </c>
      <c r="S82" s="101"/>
      <c r="AP82" s="10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</row>
    <row r="83" spans="1:53" ht="18" customHeight="1" x14ac:dyDescent="0.35">
      <c r="A83" s="100" t="s">
        <v>103</v>
      </c>
      <c r="B83" s="2">
        <v>8.4</v>
      </c>
      <c r="C83" s="58" t="s">
        <v>51</v>
      </c>
      <c r="D83" s="58"/>
      <c r="E83" s="2">
        <v>0.2</v>
      </c>
      <c r="F83" s="50">
        <v>613</v>
      </c>
      <c r="G83" s="50">
        <v>411</v>
      </c>
      <c r="H83" s="25">
        <v>200</v>
      </c>
      <c r="I83" s="25">
        <v>125</v>
      </c>
      <c r="J83" s="25">
        <f t="shared" si="2"/>
        <v>75</v>
      </c>
      <c r="K83" s="25">
        <v>96</v>
      </c>
      <c r="L83" s="59">
        <v>7</v>
      </c>
      <c r="M83" s="60">
        <v>100</v>
      </c>
      <c r="N83" s="59">
        <v>2</v>
      </c>
      <c r="O83" s="61" t="s">
        <v>51</v>
      </c>
      <c r="P83" s="58"/>
      <c r="Q83" s="60"/>
      <c r="R83" s="90" t="s">
        <v>51</v>
      </c>
      <c r="S83" s="101"/>
      <c r="AP83" s="10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</row>
    <row r="84" spans="1:53" ht="18" customHeight="1" x14ac:dyDescent="0.35">
      <c r="A84" s="100" t="s">
        <v>104</v>
      </c>
      <c r="B84" s="2">
        <v>7.6</v>
      </c>
      <c r="C84" s="17" t="s">
        <v>51</v>
      </c>
      <c r="D84" s="17"/>
      <c r="E84" s="2">
        <v>0.2</v>
      </c>
      <c r="F84" s="50">
        <v>589</v>
      </c>
      <c r="G84" s="50">
        <v>395</v>
      </c>
      <c r="H84" s="25">
        <v>196</v>
      </c>
      <c r="I84" s="25">
        <v>121</v>
      </c>
      <c r="J84" s="25">
        <f t="shared" si="2"/>
        <v>75</v>
      </c>
      <c r="K84" s="25">
        <v>94</v>
      </c>
      <c r="L84" s="59">
        <v>6.9</v>
      </c>
      <c r="M84" s="60">
        <v>90</v>
      </c>
      <c r="N84" s="59" t="s">
        <v>32</v>
      </c>
      <c r="O84" s="61" t="s">
        <v>51</v>
      </c>
      <c r="P84" s="17"/>
      <c r="Q84" s="60"/>
      <c r="R84" s="90" t="s">
        <v>51</v>
      </c>
      <c r="S84" s="101"/>
      <c r="AP84" s="10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</row>
    <row r="85" spans="1:53" ht="18" customHeight="1" x14ac:dyDescent="0.35">
      <c r="A85" s="100" t="s">
        <v>105</v>
      </c>
      <c r="B85" s="2">
        <v>6.5</v>
      </c>
      <c r="C85" s="17" t="s">
        <v>51</v>
      </c>
      <c r="D85" s="17"/>
      <c r="E85" s="2" t="s">
        <v>32</v>
      </c>
      <c r="F85" s="50">
        <v>650</v>
      </c>
      <c r="G85" s="50">
        <v>436</v>
      </c>
      <c r="H85" s="25">
        <v>210</v>
      </c>
      <c r="I85" s="25">
        <v>130</v>
      </c>
      <c r="J85" s="25">
        <f t="shared" si="2"/>
        <v>80</v>
      </c>
      <c r="K85" s="25">
        <v>100</v>
      </c>
      <c r="L85" s="59">
        <v>7</v>
      </c>
      <c r="M85" s="60">
        <v>98</v>
      </c>
      <c r="N85" s="59" t="s">
        <v>32</v>
      </c>
      <c r="O85" s="61" t="s">
        <v>51</v>
      </c>
      <c r="P85" s="17"/>
      <c r="Q85" s="60"/>
      <c r="R85" s="90" t="s">
        <v>51</v>
      </c>
      <c r="S85" s="101"/>
      <c r="AP85" s="10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</row>
    <row r="86" spans="1:53" ht="18" customHeight="1" x14ac:dyDescent="0.35">
      <c r="A86" s="100" t="s">
        <v>106</v>
      </c>
      <c r="B86" s="2">
        <v>6.5</v>
      </c>
      <c r="C86" s="58" t="s">
        <v>51</v>
      </c>
      <c r="D86" s="58"/>
      <c r="E86" s="2" t="s">
        <v>32</v>
      </c>
      <c r="F86" s="50">
        <v>687</v>
      </c>
      <c r="G86" s="50">
        <v>460</v>
      </c>
      <c r="H86" s="25">
        <v>220</v>
      </c>
      <c r="I86" s="25">
        <v>136</v>
      </c>
      <c r="J86" s="25">
        <f t="shared" si="2"/>
        <v>84</v>
      </c>
      <c r="K86" s="25">
        <v>93</v>
      </c>
      <c r="L86" s="59">
        <v>7.3</v>
      </c>
      <c r="M86" s="60">
        <v>59</v>
      </c>
      <c r="N86" s="59" t="s">
        <v>32</v>
      </c>
      <c r="O86" s="61" t="s">
        <v>51</v>
      </c>
      <c r="P86" s="17"/>
      <c r="Q86" s="60"/>
      <c r="R86" s="90" t="s">
        <v>51</v>
      </c>
      <c r="S86" s="101"/>
      <c r="AP86" s="10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</row>
    <row r="87" spans="1:53" ht="18" customHeight="1" x14ac:dyDescent="0.35">
      <c r="A87" s="100" t="s">
        <v>107</v>
      </c>
      <c r="B87" s="2">
        <v>6</v>
      </c>
      <c r="C87" s="17" t="s">
        <v>51</v>
      </c>
      <c r="D87" s="17"/>
      <c r="E87" s="2">
        <v>0.2</v>
      </c>
      <c r="F87" s="50">
        <v>634</v>
      </c>
      <c r="G87" s="50">
        <v>425</v>
      </c>
      <c r="H87" s="25">
        <v>200</v>
      </c>
      <c r="I87" s="25">
        <v>124</v>
      </c>
      <c r="J87" s="25">
        <f t="shared" si="2"/>
        <v>76</v>
      </c>
      <c r="K87" s="25">
        <v>106</v>
      </c>
      <c r="L87" s="59">
        <v>7</v>
      </c>
      <c r="M87" s="60">
        <v>50</v>
      </c>
      <c r="N87" s="59" t="s">
        <v>32</v>
      </c>
      <c r="O87" s="61" t="s">
        <v>51</v>
      </c>
      <c r="P87" s="17"/>
      <c r="Q87" s="60"/>
      <c r="R87" s="90" t="s">
        <v>51</v>
      </c>
      <c r="S87" s="101"/>
      <c r="AP87" s="10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</row>
    <row r="88" spans="1:53" ht="18" customHeight="1" x14ac:dyDescent="0.35">
      <c r="A88" s="100" t="s">
        <v>108</v>
      </c>
      <c r="B88" s="2">
        <v>6.7</v>
      </c>
      <c r="C88" s="58" t="s">
        <v>51</v>
      </c>
      <c r="D88" s="58"/>
      <c r="E88" s="2">
        <v>0.2</v>
      </c>
      <c r="F88" s="17">
        <v>653</v>
      </c>
      <c r="G88" s="17">
        <v>438</v>
      </c>
      <c r="H88" s="17">
        <v>218</v>
      </c>
      <c r="I88" s="17">
        <v>135</v>
      </c>
      <c r="J88" s="25">
        <f t="shared" si="2"/>
        <v>83</v>
      </c>
      <c r="K88" s="17">
        <v>110</v>
      </c>
      <c r="L88" s="59">
        <v>7.5</v>
      </c>
      <c r="M88" s="60">
        <v>62</v>
      </c>
      <c r="N88" s="59" t="s">
        <v>32</v>
      </c>
      <c r="O88" s="61" t="s">
        <v>51</v>
      </c>
      <c r="P88" s="17"/>
      <c r="Q88" s="60"/>
      <c r="R88" s="90" t="s">
        <v>51</v>
      </c>
      <c r="S88" s="101"/>
      <c r="AP88" s="10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</row>
    <row r="89" spans="1:53" ht="18" customHeight="1" x14ac:dyDescent="0.35">
      <c r="A89" s="100" t="s">
        <v>109</v>
      </c>
      <c r="B89" s="2">
        <v>7</v>
      </c>
      <c r="C89" s="58">
        <v>32</v>
      </c>
      <c r="D89" s="58"/>
      <c r="E89" s="2">
        <v>0.2</v>
      </c>
      <c r="F89" s="50">
        <v>650</v>
      </c>
      <c r="G89" s="50">
        <v>436</v>
      </c>
      <c r="H89" s="25">
        <v>226</v>
      </c>
      <c r="I89" s="25">
        <v>140</v>
      </c>
      <c r="J89" s="25">
        <f t="shared" si="2"/>
        <v>86</v>
      </c>
      <c r="K89" s="25">
        <v>117</v>
      </c>
      <c r="L89" s="59">
        <v>7.3</v>
      </c>
      <c r="M89" s="60">
        <v>69</v>
      </c>
      <c r="N89" s="59" t="s">
        <v>32</v>
      </c>
      <c r="O89" s="61" t="s">
        <v>51</v>
      </c>
      <c r="P89" s="17"/>
      <c r="Q89" s="60"/>
      <c r="R89" s="90" t="s">
        <v>51</v>
      </c>
      <c r="S89" s="101"/>
      <c r="AP89" s="10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</row>
    <row r="90" spans="1:53" ht="18" customHeight="1" x14ac:dyDescent="0.35">
      <c r="A90" s="100" t="s">
        <v>110</v>
      </c>
      <c r="B90" s="2">
        <v>7.5</v>
      </c>
      <c r="C90" s="58" t="s">
        <v>51</v>
      </c>
      <c r="D90" s="58"/>
      <c r="E90" s="2">
        <v>0.4</v>
      </c>
      <c r="F90" s="50">
        <v>630</v>
      </c>
      <c r="G90" s="50">
        <v>422</v>
      </c>
      <c r="H90" s="25">
        <v>180</v>
      </c>
      <c r="I90" s="25">
        <v>112</v>
      </c>
      <c r="J90" s="25">
        <f t="shared" si="2"/>
        <v>68</v>
      </c>
      <c r="K90" s="25">
        <v>94</v>
      </c>
      <c r="L90" s="59">
        <v>5.9</v>
      </c>
      <c r="M90" s="60">
        <v>94</v>
      </c>
      <c r="N90" s="59" t="s">
        <v>32</v>
      </c>
      <c r="O90" s="61" t="s">
        <v>51</v>
      </c>
      <c r="P90" s="58"/>
      <c r="Q90" s="60"/>
      <c r="R90" s="90" t="s">
        <v>51</v>
      </c>
      <c r="S90" s="101"/>
      <c r="AP90" s="10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</row>
    <row r="91" spans="1:53" ht="18" customHeight="1" x14ac:dyDescent="0.35">
      <c r="A91" s="100" t="s">
        <v>111</v>
      </c>
      <c r="B91" s="2">
        <v>7.9</v>
      </c>
      <c r="C91" s="58" t="s">
        <v>51</v>
      </c>
      <c r="D91" s="58"/>
      <c r="E91" s="2">
        <v>0.2</v>
      </c>
      <c r="F91" s="50">
        <v>671</v>
      </c>
      <c r="G91" s="50">
        <v>450</v>
      </c>
      <c r="H91" s="25">
        <v>192</v>
      </c>
      <c r="I91" s="25">
        <v>119</v>
      </c>
      <c r="J91" s="25">
        <f t="shared" si="2"/>
        <v>73</v>
      </c>
      <c r="K91" s="25">
        <v>99</v>
      </c>
      <c r="L91" s="59">
        <v>6.2</v>
      </c>
      <c r="M91" s="60">
        <v>93</v>
      </c>
      <c r="N91" s="59" t="s">
        <v>32</v>
      </c>
      <c r="O91" s="61" t="s">
        <v>51</v>
      </c>
      <c r="P91" s="58"/>
      <c r="Q91" s="60"/>
      <c r="R91" s="90" t="s">
        <v>51</v>
      </c>
      <c r="S91" s="101"/>
      <c r="AP91" s="10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</row>
    <row r="92" spans="1:53" ht="18" customHeight="1" x14ac:dyDescent="0.35">
      <c r="A92" s="100" t="s">
        <v>112</v>
      </c>
      <c r="B92" s="2">
        <v>8.1</v>
      </c>
      <c r="C92" s="58" t="s">
        <v>51</v>
      </c>
      <c r="D92" s="58"/>
      <c r="E92" s="2" t="s">
        <v>32</v>
      </c>
      <c r="F92" s="50">
        <v>776</v>
      </c>
      <c r="G92" s="50">
        <v>520</v>
      </c>
      <c r="H92" s="25">
        <v>230</v>
      </c>
      <c r="I92" s="25">
        <v>142</v>
      </c>
      <c r="J92" s="25">
        <f t="shared" si="2"/>
        <v>88</v>
      </c>
      <c r="K92" s="25">
        <v>118</v>
      </c>
      <c r="L92" s="59">
        <v>6.2</v>
      </c>
      <c r="M92" s="60">
        <v>100</v>
      </c>
      <c r="N92" s="59" t="s">
        <v>32</v>
      </c>
      <c r="O92" s="61" t="s">
        <v>51</v>
      </c>
      <c r="P92" s="58"/>
      <c r="Q92" s="60"/>
      <c r="R92" s="90" t="s">
        <v>51</v>
      </c>
      <c r="S92" s="101"/>
      <c r="AP92" s="10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</row>
    <row r="93" spans="1:53" ht="18" customHeight="1" x14ac:dyDescent="0.35">
      <c r="A93" s="100" t="s">
        <v>113</v>
      </c>
      <c r="B93" s="2">
        <v>8.1999999999999993</v>
      </c>
      <c r="C93" s="58" t="s">
        <v>51</v>
      </c>
      <c r="D93" s="58"/>
      <c r="E93" s="2" t="s">
        <v>32</v>
      </c>
      <c r="F93" s="50">
        <v>850</v>
      </c>
      <c r="G93" s="50">
        <v>570</v>
      </c>
      <c r="H93" s="25">
        <v>215</v>
      </c>
      <c r="I93" s="25">
        <v>133</v>
      </c>
      <c r="J93" s="25">
        <f t="shared" si="2"/>
        <v>82</v>
      </c>
      <c r="K93" s="25">
        <v>112</v>
      </c>
      <c r="L93" s="59">
        <v>6.5</v>
      </c>
      <c r="M93" s="60">
        <v>110</v>
      </c>
      <c r="N93" s="59" t="s">
        <v>32</v>
      </c>
      <c r="O93" s="61" t="s">
        <v>51</v>
      </c>
      <c r="P93" s="58"/>
      <c r="Q93" s="60"/>
      <c r="R93" s="90" t="s">
        <v>51</v>
      </c>
      <c r="S93" s="101"/>
      <c r="AP93" s="10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</row>
    <row r="94" spans="1:53" ht="18" customHeight="1" x14ac:dyDescent="0.35">
      <c r="A94" s="100" t="s">
        <v>114</v>
      </c>
      <c r="B94" s="2">
        <v>8</v>
      </c>
      <c r="C94" s="58" t="s">
        <v>51</v>
      </c>
      <c r="D94" s="58"/>
      <c r="E94" s="2" t="s">
        <v>32</v>
      </c>
      <c r="F94" s="50">
        <v>731</v>
      </c>
      <c r="G94" s="50">
        <v>490</v>
      </c>
      <c r="H94" s="50">
        <v>180</v>
      </c>
      <c r="I94" s="25">
        <v>111</v>
      </c>
      <c r="J94" s="25">
        <f t="shared" si="2"/>
        <v>69</v>
      </c>
      <c r="K94" s="25">
        <v>95</v>
      </c>
      <c r="L94" s="59">
        <v>6.8</v>
      </c>
      <c r="M94" s="60">
        <v>92</v>
      </c>
      <c r="N94" s="59" t="s">
        <v>32</v>
      </c>
      <c r="O94" s="61" t="s">
        <v>51</v>
      </c>
      <c r="P94" s="58"/>
      <c r="Q94" s="60"/>
      <c r="R94" s="90" t="s">
        <v>51</v>
      </c>
      <c r="S94" s="101"/>
      <c r="AP94" s="10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</row>
    <row r="95" spans="1:53" ht="18" customHeight="1" x14ac:dyDescent="0.35">
      <c r="A95" s="100" t="s">
        <v>115</v>
      </c>
      <c r="B95" s="2">
        <v>8.1</v>
      </c>
      <c r="C95" s="58" t="s">
        <v>51</v>
      </c>
      <c r="D95" s="58"/>
      <c r="E95" s="2" t="s">
        <v>32</v>
      </c>
      <c r="F95" s="50">
        <v>643</v>
      </c>
      <c r="G95" s="50">
        <v>431</v>
      </c>
      <c r="H95" s="25">
        <v>195</v>
      </c>
      <c r="I95" s="25">
        <v>120</v>
      </c>
      <c r="J95" s="25">
        <f t="shared" si="2"/>
        <v>75</v>
      </c>
      <c r="K95" s="25">
        <v>107</v>
      </c>
      <c r="L95" s="59">
        <v>6.6</v>
      </c>
      <c r="M95" s="60">
        <v>100</v>
      </c>
      <c r="N95" s="59" t="s">
        <v>32</v>
      </c>
      <c r="O95" s="61" t="s">
        <v>51</v>
      </c>
      <c r="P95" s="58"/>
      <c r="Q95" s="60"/>
      <c r="R95" s="90" t="s">
        <v>51</v>
      </c>
      <c r="S95" s="101"/>
      <c r="AP95" s="10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</row>
    <row r="96" spans="1:53" ht="18" customHeight="1" x14ac:dyDescent="0.35">
      <c r="A96" s="100" t="s">
        <v>116</v>
      </c>
      <c r="B96" s="2">
        <v>8.3000000000000007</v>
      </c>
      <c r="C96" s="58" t="s">
        <v>51</v>
      </c>
      <c r="D96" s="58"/>
      <c r="E96" s="2" t="s">
        <v>32</v>
      </c>
      <c r="F96" s="50">
        <v>653</v>
      </c>
      <c r="G96" s="50">
        <v>438</v>
      </c>
      <c r="H96" s="25">
        <v>210</v>
      </c>
      <c r="I96" s="25">
        <v>130</v>
      </c>
      <c r="J96" s="25">
        <f t="shared" si="2"/>
        <v>80</v>
      </c>
      <c r="K96" s="25">
        <v>95</v>
      </c>
      <c r="L96" s="59">
        <v>6.8</v>
      </c>
      <c r="M96" s="60">
        <v>110</v>
      </c>
      <c r="N96" s="59" t="s">
        <v>32</v>
      </c>
      <c r="O96" s="61" t="s">
        <v>51</v>
      </c>
      <c r="P96" s="58"/>
      <c r="Q96" s="60"/>
      <c r="R96" s="90" t="s">
        <v>51</v>
      </c>
      <c r="S96" s="101"/>
      <c r="AP96" s="10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</row>
    <row r="97" spans="1:53" ht="18" customHeight="1" x14ac:dyDescent="0.35">
      <c r="A97" s="100" t="s">
        <v>117</v>
      </c>
      <c r="B97" s="2">
        <v>8.4499999999999993</v>
      </c>
      <c r="C97" s="58" t="s">
        <v>51</v>
      </c>
      <c r="D97" s="58"/>
      <c r="E97" s="2" t="s">
        <v>32</v>
      </c>
      <c r="F97" s="50">
        <v>668</v>
      </c>
      <c r="G97" s="50">
        <v>448</v>
      </c>
      <c r="H97" s="25">
        <v>200</v>
      </c>
      <c r="I97" s="25">
        <v>122</v>
      </c>
      <c r="J97" s="25">
        <f t="shared" si="2"/>
        <v>78</v>
      </c>
      <c r="K97" s="25">
        <v>110</v>
      </c>
      <c r="L97" s="59">
        <v>6.4</v>
      </c>
      <c r="M97" s="60">
        <v>142</v>
      </c>
      <c r="N97" s="59" t="s">
        <v>32</v>
      </c>
      <c r="O97" s="61" t="s">
        <v>51</v>
      </c>
      <c r="P97" s="58"/>
      <c r="Q97" s="60"/>
      <c r="R97" s="90" t="s">
        <v>51</v>
      </c>
      <c r="S97" s="101"/>
      <c r="AP97" s="10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</row>
    <row r="98" spans="1:53" ht="18" customHeight="1" x14ac:dyDescent="0.35">
      <c r="A98" s="100" t="s">
        <v>118</v>
      </c>
      <c r="B98" s="2">
        <v>8.4</v>
      </c>
      <c r="C98" s="58" t="s">
        <v>51</v>
      </c>
      <c r="D98" s="58"/>
      <c r="E98" s="2" t="s">
        <v>32</v>
      </c>
      <c r="F98" s="50">
        <v>692</v>
      </c>
      <c r="G98" s="50">
        <v>464</v>
      </c>
      <c r="H98" s="25">
        <v>215</v>
      </c>
      <c r="I98" s="25">
        <v>133</v>
      </c>
      <c r="J98" s="25">
        <f t="shared" si="2"/>
        <v>82</v>
      </c>
      <c r="K98" s="25">
        <v>117</v>
      </c>
      <c r="L98" s="59">
        <v>6.6</v>
      </c>
      <c r="M98" s="60">
        <v>166</v>
      </c>
      <c r="N98" s="60">
        <v>2</v>
      </c>
      <c r="O98" s="61" t="s">
        <v>51</v>
      </c>
      <c r="P98" s="58"/>
      <c r="Q98" s="60"/>
      <c r="R98" s="90" t="s">
        <v>51</v>
      </c>
      <c r="S98" s="101"/>
      <c r="AP98" s="10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</row>
    <row r="99" spans="1:53" ht="18" customHeight="1" x14ac:dyDescent="0.35">
      <c r="A99" s="100" t="s">
        <v>119</v>
      </c>
      <c r="B99" s="2">
        <v>8.5</v>
      </c>
      <c r="C99" s="25" t="s">
        <v>51</v>
      </c>
      <c r="D99" s="25"/>
      <c r="E99" s="2">
        <v>0.1</v>
      </c>
      <c r="F99" s="25">
        <v>731</v>
      </c>
      <c r="G99" s="25">
        <v>490</v>
      </c>
      <c r="H99" s="25">
        <v>240</v>
      </c>
      <c r="I99" s="25">
        <v>148</v>
      </c>
      <c r="J99" s="25">
        <f t="shared" si="2"/>
        <v>92</v>
      </c>
      <c r="K99" s="25">
        <v>142</v>
      </c>
      <c r="L99" s="25">
        <v>6.8</v>
      </c>
      <c r="M99" s="60">
        <v>183</v>
      </c>
      <c r="N99" s="60">
        <v>5</v>
      </c>
      <c r="O99" s="61" t="s">
        <v>51</v>
      </c>
      <c r="P99" s="58"/>
      <c r="Q99" s="60"/>
      <c r="R99" s="90" t="s">
        <v>51</v>
      </c>
      <c r="S99" s="101"/>
      <c r="AP99" s="10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</row>
    <row r="100" spans="1:53" ht="18" customHeight="1" x14ac:dyDescent="0.35">
      <c r="A100" s="100" t="s">
        <v>120</v>
      </c>
      <c r="B100" s="2">
        <v>8.65</v>
      </c>
      <c r="C100" s="25" t="s">
        <v>51</v>
      </c>
      <c r="D100" s="25"/>
      <c r="E100" s="2" t="s">
        <v>32</v>
      </c>
      <c r="F100" s="25">
        <v>749</v>
      </c>
      <c r="G100" s="25">
        <v>502</v>
      </c>
      <c r="H100" s="25">
        <v>248</v>
      </c>
      <c r="I100" s="25">
        <v>153</v>
      </c>
      <c r="J100" s="25">
        <f t="shared" si="2"/>
        <v>95</v>
      </c>
      <c r="K100" s="25">
        <v>146</v>
      </c>
      <c r="L100" s="25">
        <v>6.5</v>
      </c>
      <c r="M100" s="60">
        <v>200</v>
      </c>
      <c r="N100" s="60">
        <v>6</v>
      </c>
      <c r="O100" s="61" t="s">
        <v>51</v>
      </c>
      <c r="P100" s="58"/>
      <c r="Q100" s="60"/>
      <c r="R100" s="90" t="s">
        <v>51</v>
      </c>
      <c r="S100" s="101"/>
      <c r="AP100" s="10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</row>
    <row r="101" spans="1:53" ht="18" customHeight="1" x14ac:dyDescent="0.35">
      <c r="A101" s="100" t="s">
        <v>121</v>
      </c>
      <c r="B101" s="2">
        <v>8.6</v>
      </c>
      <c r="C101" s="25" t="s">
        <v>51</v>
      </c>
      <c r="D101" s="25"/>
      <c r="E101" s="2">
        <v>0.2</v>
      </c>
      <c r="F101" s="25">
        <v>768</v>
      </c>
      <c r="G101" s="25">
        <v>515</v>
      </c>
      <c r="H101" s="25">
        <v>240</v>
      </c>
      <c r="I101" s="25">
        <v>148</v>
      </c>
      <c r="J101" s="25">
        <f t="shared" si="2"/>
        <v>92</v>
      </c>
      <c r="K101" s="25">
        <v>150</v>
      </c>
      <c r="L101" s="59">
        <v>6.4</v>
      </c>
      <c r="M101" s="60">
        <v>210</v>
      </c>
      <c r="N101" s="60">
        <v>5</v>
      </c>
      <c r="O101" s="61" t="s">
        <v>51</v>
      </c>
      <c r="P101" s="58"/>
      <c r="Q101" s="60"/>
      <c r="R101" s="90" t="s">
        <v>51</v>
      </c>
      <c r="S101" s="101"/>
      <c r="AP101" s="10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</row>
    <row r="102" spans="1:53" ht="18" customHeight="1" x14ac:dyDescent="0.35">
      <c r="A102" s="100" t="s">
        <v>122</v>
      </c>
      <c r="B102" s="2">
        <v>8.5500000000000007</v>
      </c>
      <c r="C102" s="25" t="s">
        <v>51</v>
      </c>
      <c r="D102" s="25"/>
      <c r="E102" s="2">
        <v>0.2</v>
      </c>
      <c r="F102" s="25">
        <v>749</v>
      </c>
      <c r="G102" s="25">
        <v>502</v>
      </c>
      <c r="H102" s="25">
        <v>250</v>
      </c>
      <c r="I102" s="25">
        <v>161</v>
      </c>
      <c r="J102" s="25">
        <f t="shared" si="2"/>
        <v>89</v>
      </c>
      <c r="K102" s="25">
        <v>140</v>
      </c>
      <c r="L102" s="59">
        <v>6.7</v>
      </c>
      <c r="M102" s="60">
        <v>200</v>
      </c>
      <c r="N102" s="60">
        <v>4</v>
      </c>
      <c r="O102" s="61" t="s">
        <v>51</v>
      </c>
      <c r="P102" s="58"/>
      <c r="Q102" s="60"/>
      <c r="R102" s="90" t="s">
        <v>51</v>
      </c>
      <c r="S102" s="101"/>
      <c r="AP102" s="10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</row>
    <row r="103" spans="1:53" ht="18" customHeight="1" x14ac:dyDescent="0.35">
      <c r="A103" s="100" t="s">
        <v>123</v>
      </c>
      <c r="B103" s="2">
        <v>8.5</v>
      </c>
      <c r="C103" s="25" t="s">
        <v>51</v>
      </c>
      <c r="D103" s="25"/>
      <c r="E103" s="2">
        <v>0.3</v>
      </c>
      <c r="F103" s="25">
        <v>764</v>
      </c>
      <c r="G103" s="25">
        <v>512</v>
      </c>
      <c r="H103" s="25">
        <v>254</v>
      </c>
      <c r="I103" s="25">
        <v>160</v>
      </c>
      <c r="J103" s="25">
        <f t="shared" si="2"/>
        <v>94</v>
      </c>
      <c r="K103" s="25">
        <v>142</v>
      </c>
      <c r="L103" s="25">
        <v>6.2</v>
      </c>
      <c r="M103" s="25">
        <v>204</v>
      </c>
      <c r="N103" s="60">
        <v>4</v>
      </c>
      <c r="O103" s="61" t="s">
        <v>51</v>
      </c>
      <c r="P103" s="58"/>
      <c r="Q103" s="60"/>
      <c r="R103" s="90" t="s">
        <v>51</v>
      </c>
      <c r="S103" s="101"/>
      <c r="AP103" s="10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</row>
    <row r="104" spans="1:53" ht="18" customHeight="1" x14ac:dyDescent="0.35">
      <c r="A104" s="70" t="s">
        <v>124</v>
      </c>
      <c r="B104" s="2">
        <v>8.6</v>
      </c>
      <c r="C104" s="25" t="s">
        <v>51</v>
      </c>
      <c r="D104" s="25"/>
      <c r="E104" s="2">
        <v>0.2</v>
      </c>
      <c r="F104" s="25">
        <v>776</v>
      </c>
      <c r="G104" s="25">
        <v>520</v>
      </c>
      <c r="H104" s="25">
        <v>260</v>
      </c>
      <c r="I104" s="25">
        <v>161</v>
      </c>
      <c r="J104" s="25">
        <f t="shared" si="2"/>
        <v>99</v>
      </c>
      <c r="K104" s="25">
        <v>118</v>
      </c>
      <c r="L104" s="59">
        <v>6.7</v>
      </c>
      <c r="M104" s="25">
        <v>210</v>
      </c>
      <c r="N104" s="60">
        <v>3</v>
      </c>
      <c r="O104" s="61" t="s">
        <v>51</v>
      </c>
      <c r="P104" s="25"/>
      <c r="Q104" s="60"/>
      <c r="R104" s="91" t="s">
        <v>51</v>
      </c>
      <c r="S104" s="101"/>
      <c r="AP104" s="10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</row>
    <row r="105" spans="1:53" ht="18" customHeight="1" x14ac:dyDescent="0.35">
      <c r="A105" s="100" t="s">
        <v>125</v>
      </c>
      <c r="B105" s="2">
        <v>8.5</v>
      </c>
      <c r="C105" s="25" t="s">
        <v>51</v>
      </c>
      <c r="D105" s="25"/>
      <c r="E105" s="2">
        <v>0.1</v>
      </c>
      <c r="F105" s="25">
        <v>813</v>
      </c>
      <c r="G105" s="25">
        <v>545</v>
      </c>
      <c r="H105" s="25">
        <v>245</v>
      </c>
      <c r="I105" s="25">
        <v>151</v>
      </c>
      <c r="J105" s="25">
        <f t="shared" si="2"/>
        <v>94</v>
      </c>
      <c r="K105" s="25">
        <v>125</v>
      </c>
      <c r="L105" s="59">
        <v>6.9</v>
      </c>
      <c r="M105" s="25">
        <v>230</v>
      </c>
      <c r="N105" s="60">
        <v>4</v>
      </c>
      <c r="O105" s="61" t="s">
        <v>51</v>
      </c>
      <c r="P105" s="25"/>
      <c r="Q105" s="60"/>
      <c r="R105" s="91" t="s">
        <v>51</v>
      </c>
      <c r="S105" s="101"/>
      <c r="AP105" s="10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</row>
    <row r="106" spans="1:53" ht="18" customHeight="1" thickBot="1" x14ac:dyDescent="0.4">
      <c r="A106" s="111" t="s">
        <v>126</v>
      </c>
      <c r="B106" s="2">
        <v>8.68</v>
      </c>
      <c r="C106" s="25" t="s">
        <v>51</v>
      </c>
      <c r="D106" s="25"/>
      <c r="E106" s="2">
        <v>0.2</v>
      </c>
      <c r="F106" s="25">
        <v>682</v>
      </c>
      <c r="G106" s="25">
        <v>457</v>
      </c>
      <c r="H106" s="25">
        <v>210</v>
      </c>
      <c r="I106" s="25">
        <v>130</v>
      </c>
      <c r="J106" s="25">
        <f t="shared" si="2"/>
        <v>80</v>
      </c>
      <c r="K106" s="25">
        <v>127</v>
      </c>
      <c r="L106" s="25">
        <v>67</v>
      </c>
      <c r="M106" s="25">
        <v>245</v>
      </c>
      <c r="N106" s="60">
        <v>3</v>
      </c>
      <c r="O106" s="61" t="s">
        <v>51</v>
      </c>
      <c r="P106" s="25"/>
      <c r="Q106" s="60"/>
      <c r="R106" s="91" t="s">
        <v>51</v>
      </c>
      <c r="S106" s="101"/>
      <c r="AP106" s="10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</row>
    <row r="107" spans="1:53" ht="18" customHeight="1" x14ac:dyDescent="0.35">
      <c r="A107" s="110" t="s">
        <v>127</v>
      </c>
      <c r="B107" s="1">
        <v>8.8000000000000007</v>
      </c>
      <c r="C107" s="12" t="s">
        <v>51</v>
      </c>
      <c r="D107" s="12"/>
      <c r="E107" s="1">
        <v>0.2</v>
      </c>
      <c r="F107" s="85">
        <v>701</v>
      </c>
      <c r="G107" s="85">
        <v>470</v>
      </c>
      <c r="H107" s="76">
        <v>217</v>
      </c>
      <c r="I107" s="76">
        <v>137</v>
      </c>
      <c r="J107" s="25">
        <f t="shared" si="2"/>
        <v>80</v>
      </c>
      <c r="K107" s="76">
        <v>136</v>
      </c>
      <c r="L107" s="87">
        <v>6.9</v>
      </c>
      <c r="M107" s="88">
        <v>260</v>
      </c>
      <c r="N107" s="59" t="s">
        <v>32</v>
      </c>
      <c r="O107" s="57" t="s">
        <v>51</v>
      </c>
      <c r="P107" s="17"/>
      <c r="Q107" s="60"/>
      <c r="R107" s="90" t="s">
        <v>51</v>
      </c>
      <c r="S107" s="101"/>
      <c r="AP107" s="10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</row>
    <row r="108" spans="1:53" ht="18" customHeight="1" x14ac:dyDescent="0.35">
      <c r="A108" s="100" t="s">
        <v>128</v>
      </c>
      <c r="B108" s="2">
        <v>8.6</v>
      </c>
      <c r="C108" s="58" t="s">
        <v>51</v>
      </c>
      <c r="D108" s="58"/>
      <c r="E108" s="2">
        <v>0.5</v>
      </c>
      <c r="F108" s="50">
        <v>723</v>
      </c>
      <c r="G108" s="25">
        <v>485</v>
      </c>
      <c r="H108" s="25">
        <v>227</v>
      </c>
      <c r="I108" s="25">
        <v>140</v>
      </c>
      <c r="J108" s="25">
        <f t="shared" si="2"/>
        <v>87</v>
      </c>
      <c r="K108" s="25">
        <v>145</v>
      </c>
      <c r="L108" s="59">
        <v>6.5</v>
      </c>
      <c r="M108" s="60">
        <v>249</v>
      </c>
      <c r="N108" s="59">
        <v>3</v>
      </c>
      <c r="O108" s="57" t="s">
        <v>51</v>
      </c>
      <c r="P108" s="17"/>
      <c r="Q108" s="60"/>
      <c r="R108" s="90" t="s">
        <v>51</v>
      </c>
      <c r="S108" s="101"/>
      <c r="AP108" s="10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</row>
    <row r="109" spans="1:53" ht="18" customHeight="1" x14ac:dyDescent="0.35">
      <c r="A109" s="100" t="s">
        <v>129</v>
      </c>
      <c r="B109" s="2">
        <v>8.65</v>
      </c>
      <c r="C109" s="58" t="s">
        <v>51</v>
      </c>
      <c r="D109" s="58"/>
      <c r="E109" s="2" t="s">
        <v>32</v>
      </c>
      <c r="F109" s="50">
        <v>701</v>
      </c>
      <c r="G109" s="50">
        <v>470</v>
      </c>
      <c r="H109" s="25">
        <v>236</v>
      </c>
      <c r="I109" s="25">
        <v>146</v>
      </c>
      <c r="J109" s="25">
        <f t="shared" si="2"/>
        <v>90</v>
      </c>
      <c r="K109" s="25">
        <v>150</v>
      </c>
      <c r="L109" s="59">
        <v>6.2</v>
      </c>
      <c r="M109" s="60">
        <v>240</v>
      </c>
      <c r="N109" s="59">
        <v>4</v>
      </c>
      <c r="O109" s="61" t="s">
        <v>51</v>
      </c>
      <c r="P109" s="58"/>
      <c r="Q109" s="60"/>
      <c r="R109" s="90" t="s">
        <v>51</v>
      </c>
      <c r="S109" s="101"/>
      <c r="AP109" s="10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</row>
    <row r="110" spans="1:53" ht="18" customHeight="1" x14ac:dyDescent="0.35">
      <c r="A110" s="100" t="s">
        <v>130</v>
      </c>
      <c r="B110" s="2">
        <v>8.6999999999999993</v>
      </c>
      <c r="C110" s="17" t="s">
        <v>51</v>
      </c>
      <c r="D110" s="17"/>
      <c r="E110" s="2" t="s">
        <v>32</v>
      </c>
      <c r="F110" s="50">
        <v>761</v>
      </c>
      <c r="G110" s="50">
        <v>510</v>
      </c>
      <c r="H110" s="25">
        <v>240</v>
      </c>
      <c r="I110" s="25">
        <v>150</v>
      </c>
      <c r="J110" s="25">
        <f t="shared" si="2"/>
        <v>90</v>
      </c>
      <c r="K110" s="25">
        <v>156</v>
      </c>
      <c r="L110" s="59">
        <v>6.5</v>
      </c>
      <c r="M110" s="60">
        <v>248</v>
      </c>
      <c r="N110" s="59">
        <v>5</v>
      </c>
      <c r="O110" s="61" t="s">
        <v>51</v>
      </c>
      <c r="P110" s="17"/>
      <c r="Q110" s="60"/>
      <c r="R110" s="90" t="s">
        <v>51</v>
      </c>
      <c r="S110" s="101"/>
      <c r="AP110" s="10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</row>
    <row r="111" spans="1:53" ht="18" customHeight="1" x14ac:dyDescent="0.35">
      <c r="A111" s="100" t="s">
        <v>131</v>
      </c>
      <c r="B111" s="2">
        <v>8.6</v>
      </c>
      <c r="C111" s="17" t="s">
        <v>51</v>
      </c>
      <c r="D111" s="17"/>
      <c r="E111" s="2" t="s">
        <v>32</v>
      </c>
      <c r="F111" s="50">
        <v>850</v>
      </c>
      <c r="G111" s="50">
        <v>470</v>
      </c>
      <c r="H111" s="25">
        <v>250</v>
      </c>
      <c r="I111" s="25">
        <v>155</v>
      </c>
      <c r="J111" s="25">
        <f t="shared" si="2"/>
        <v>95</v>
      </c>
      <c r="K111" s="25">
        <v>110</v>
      </c>
      <c r="L111" s="59">
        <v>5.5</v>
      </c>
      <c r="M111" s="60">
        <v>200</v>
      </c>
      <c r="N111" s="59">
        <v>3</v>
      </c>
      <c r="O111" s="61" t="s">
        <v>51</v>
      </c>
      <c r="P111" s="17"/>
      <c r="Q111" s="60"/>
      <c r="R111" s="90" t="s">
        <v>51</v>
      </c>
      <c r="S111" s="101"/>
      <c r="AP111" s="10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</row>
    <row r="112" spans="1:53" ht="18" customHeight="1" x14ac:dyDescent="0.35">
      <c r="A112" s="100" t="s">
        <v>132</v>
      </c>
      <c r="B112" s="2">
        <v>8.68</v>
      </c>
      <c r="C112" s="58" t="s">
        <v>51</v>
      </c>
      <c r="D112" s="58"/>
      <c r="E112" s="2" t="s">
        <v>32</v>
      </c>
      <c r="F112" s="50">
        <v>720</v>
      </c>
      <c r="G112" s="50">
        <v>483</v>
      </c>
      <c r="H112" s="25">
        <v>258</v>
      </c>
      <c r="I112" s="25">
        <v>163</v>
      </c>
      <c r="J112" s="25">
        <f t="shared" si="2"/>
        <v>95</v>
      </c>
      <c r="K112" s="25">
        <v>118</v>
      </c>
      <c r="L112" s="59">
        <v>5</v>
      </c>
      <c r="M112" s="60">
        <v>210</v>
      </c>
      <c r="N112" s="59">
        <v>2</v>
      </c>
      <c r="O112" s="61" t="s">
        <v>51</v>
      </c>
      <c r="P112" s="17"/>
      <c r="Q112" s="60"/>
      <c r="R112" s="90" t="s">
        <v>51</v>
      </c>
      <c r="S112" s="101"/>
      <c r="AP112" s="10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</row>
    <row r="113" spans="1:53" ht="18" customHeight="1" x14ac:dyDescent="0.35">
      <c r="A113" s="100" t="s">
        <v>133</v>
      </c>
      <c r="B113" s="2">
        <v>8.8000000000000007</v>
      </c>
      <c r="C113" s="17" t="s">
        <v>51</v>
      </c>
      <c r="D113" s="17"/>
      <c r="E113" s="2" t="s">
        <v>32</v>
      </c>
      <c r="F113" s="50">
        <v>731</v>
      </c>
      <c r="G113" s="50">
        <v>490</v>
      </c>
      <c r="H113" s="25">
        <v>264</v>
      </c>
      <c r="I113" s="25">
        <v>170</v>
      </c>
      <c r="J113" s="25">
        <f t="shared" si="2"/>
        <v>94</v>
      </c>
      <c r="K113" s="25">
        <v>120</v>
      </c>
      <c r="L113" s="59">
        <v>4.5</v>
      </c>
      <c r="M113" s="60">
        <v>208</v>
      </c>
      <c r="N113" s="59">
        <v>6</v>
      </c>
      <c r="O113" s="61" t="s">
        <v>51</v>
      </c>
      <c r="P113" s="17"/>
      <c r="Q113" s="60"/>
      <c r="R113" s="90" t="s">
        <v>51</v>
      </c>
      <c r="S113" s="101"/>
      <c r="AP113" s="10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</row>
    <row r="114" spans="1:53" ht="18" customHeight="1" x14ac:dyDescent="0.35">
      <c r="A114" s="100" t="s">
        <v>134</v>
      </c>
      <c r="B114" s="2">
        <v>8.76</v>
      </c>
      <c r="C114" s="58" t="s">
        <v>51</v>
      </c>
      <c r="D114" s="58"/>
      <c r="E114" s="2" t="s">
        <v>32</v>
      </c>
      <c r="F114" s="17">
        <v>677</v>
      </c>
      <c r="G114" s="17">
        <v>454</v>
      </c>
      <c r="H114" s="17">
        <v>240</v>
      </c>
      <c r="I114" s="17">
        <v>140</v>
      </c>
      <c r="J114" s="25">
        <f t="shared" si="2"/>
        <v>100</v>
      </c>
      <c r="K114" s="17">
        <v>109</v>
      </c>
      <c r="L114" s="59">
        <v>4</v>
      </c>
      <c r="M114" s="60">
        <v>195</v>
      </c>
      <c r="N114" s="59">
        <v>2</v>
      </c>
      <c r="O114" s="61" t="s">
        <v>51</v>
      </c>
      <c r="P114" s="17"/>
      <c r="Q114" s="60"/>
      <c r="R114" s="90" t="s">
        <v>51</v>
      </c>
      <c r="S114" s="101"/>
      <c r="AP114" s="10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</row>
    <row r="115" spans="1:53" ht="18" customHeight="1" x14ac:dyDescent="0.35">
      <c r="A115" s="100" t="s">
        <v>135</v>
      </c>
      <c r="B115" s="2">
        <v>8.56</v>
      </c>
      <c r="C115" s="58" t="s">
        <v>51</v>
      </c>
      <c r="D115" s="58"/>
      <c r="E115" s="2" t="s">
        <v>32</v>
      </c>
      <c r="F115" s="50">
        <v>776</v>
      </c>
      <c r="G115" s="50">
        <v>520</v>
      </c>
      <c r="H115" s="25">
        <v>310</v>
      </c>
      <c r="I115" s="25">
        <v>190</v>
      </c>
      <c r="J115" s="25">
        <f t="shared" si="2"/>
        <v>120</v>
      </c>
      <c r="K115" s="25">
        <v>140</v>
      </c>
      <c r="L115" s="59">
        <v>3.5</v>
      </c>
      <c r="M115" s="60">
        <v>175</v>
      </c>
      <c r="N115" s="59">
        <v>2</v>
      </c>
      <c r="O115" s="61" t="s">
        <v>51</v>
      </c>
      <c r="P115" s="17"/>
      <c r="Q115" s="60"/>
      <c r="R115" s="90" t="s">
        <v>51</v>
      </c>
      <c r="S115" s="101"/>
      <c r="AP115" s="10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</row>
    <row r="116" spans="1:53" ht="18" customHeight="1" x14ac:dyDescent="0.35">
      <c r="A116" s="100" t="s">
        <v>136</v>
      </c>
      <c r="B116" s="2">
        <v>8.4</v>
      </c>
      <c r="C116" s="58" t="s">
        <v>51</v>
      </c>
      <c r="D116" s="58"/>
      <c r="E116" s="2">
        <v>0.2</v>
      </c>
      <c r="F116" s="50">
        <v>809</v>
      </c>
      <c r="G116" s="50">
        <v>542</v>
      </c>
      <c r="H116" s="25">
        <v>320</v>
      </c>
      <c r="I116" s="25">
        <v>190</v>
      </c>
      <c r="J116" s="25">
        <f t="shared" si="2"/>
        <v>130</v>
      </c>
      <c r="K116" s="25">
        <v>90</v>
      </c>
      <c r="L116" s="59">
        <v>2.5</v>
      </c>
      <c r="M116" s="60">
        <v>180</v>
      </c>
      <c r="N116" s="59">
        <v>2</v>
      </c>
      <c r="O116" s="61" t="s">
        <v>51</v>
      </c>
      <c r="P116" s="58"/>
      <c r="Q116" s="60"/>
      <c r="R116" s="90" t="s">
        <v>51</v>
      </c>
      <c r="S116" s="101"/>
      <c r="AP116" s="10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</row>
    <row r="117" spans="1:53" ht="18" customHeight="1" x14ac:dyDescent="0.35">
      <c r="A117" s="100" t="s">
        <v>137</v>
      </c>
      <c r="B117" s="2">
        <v>8.5500000000000007</v>
      </c>
      <c r="C117" s="58" t="s">
        <v>51</v>
      </c>
      <c r="D117" s="58"/>
      <c r="E117" s="2" t="s">
        <v>32</v>
      </c>
      <c r="F117" s="50">
        <v>826</v>
      </c>
      <c r="G117" s="50">
        <v>554</v>
      </c>
      <c r="H117" s="25">
        <v>327</v>
      </c>
      <c r="I117" s="25">
        <v>202</v>
      </c>
      <c r="J117" s="25">
        <f t="shared" si="2"/>
        <v>125</v>
      </c>
      <c r="K117" s="25">
        <v>98</v>
      </c>
      <c r="L117" s="59">
        <v>2.5</v>
      </c>
      <c r="M117" s="60">
        <v>195</v>
      </c>
      <c r="N117" s="59">
        <v>5</v>
      </c>
      <c r="O117" s="61" t="s">
        <v>51</v>
      </c>
      <c r="P117" s="58"/>
      <c r="Q117" s="60"/>
      <c r="R117" s="90" t="s">
        <v>51</v>
      </c>
      <c r="S117" s="101"/>
      <c r="AP117" s="10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</row>
    <row r="118" spans="1:53" ht="18" customHeight="1" x14ac:dyDescent="0.35">
      <c r="A118" s="100" t="s">
        <v>138</v>
      </c>
      <c r="B118" s="2">
        <v>8.4</v>
      </c>
      <c r="C118" s="58" t="s">
        <v>51</v>
      </c>
      <c r="D118" s="58"/>
      <c r="E118" s="2">
        <v>0.1</v>
      </c>
      <c r="F118" s="50">
        <v>846</v>
      </c>
      <c r="G118" s="50">
        <v>567</v>
      </c>
      <c r="H118" s="25">
        <v>320</v>
      </c>
      <c r="I118" s="25">
        <v>190</v>
      </c>
      <c r="J118" s="25">
        <f t="shared" si="2"/>
        <v>130</v>
      </c>
      <c r="K118" s="25">
        <v>107</v>
      </c>
      <c r="L118" s="59">
        <v>2.2999999999999998</v>
      </c>
      <c r="M118" s="60">
        <v>200</v>
      </c>
      <c r="N118" s="59">
        <v>3</v>
      </c>
      <c r="O118" s="61" t="s">
        <v>51</v>
      </c>
      <c r="P118" s="58"/>
      <c r="Q118" s="60"/>
      <c r="R118" s="90" t="s">
        <v>51</v>
      </c>
      <c r="S118" s="101"/>
      <c r="AP118" s="10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</row>
    <row r="119" spans="1:53" ht="18" customHeight="1" x14ac:dyDescent="0.35">
      <c r="A119" s="100" t="s">
        <v>139</v>
      </c>
      <c r="B119" s="2">
        <v>8.4</v>
      </c>
      <c r="C119" s="58" t="s">
        <v>51</v>
      </c>
      <c r="D119" s="58"/>
      <c r="E119" s="2" t="s">
        <v>32</v>
      </c>
      <c r="F119" s="50">
        <v>865</v>
      </c>
      <c r="G119" s="50">
        <v>580</v>
      </c>
      <c r="H119" s="25">
        <v>300</v>
      </c>
      <c r="I119" s="25">
        <v>186</v>
      </c>
      <c r="J119" s="25">
        <f t="shared" si="2"/>
        <v>114</v>
      </c>
      <c r="K119" s="25">
        <v>90</v>
      </c>
      <c r="L119" s="59">
        <v>2</v>
      </c>
      <c r="M119" s="60">
        <v>170</v>
      </c>
      <c r="N119" s="59">
        <v>3</v>
      </c>
      <c r="O119" s="61" t="s">
        <v>51</v>
      </c>
      <c r="P119" s="58"/>
      <c r="Q119" s="60"/>
      <c r="R119" s="90" t="s">
        <v>51</v>
      </c>
      <c r="S119" s="101"/>
      <c r="AP119" s="10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</row>
    <row r="120" spans="1:53" ht="18" customHeight="1" x14ac:dyDescent="0.35">
      <c r="A120" s="100" t="s">
        <v>140</v>
      </c>
      <c r="B120" s="2">
        <v>8.5</v>
      </c>
      <c r="C120" s="58" t="s">
        <v>51</v>
      </c>
      <c r="D120" s="58"/>
      <c r="E120" s="2" t="s">
        <v>32</v>
      </c>
      <c r="F120" s="50">
        <v>955</v>
      </c>
      <c r="G120" s="50">
        <v>640</v>
      </c>
      <c r="H120" s="50">
        <v>317</v>
      </c>
      <c r="I120" s="25">
        <v>196</v>
      </c>
      <c r="J120" s="25">
        <f t="shared" si="2"/>
        <v>121</v>
      </c>
      <c r="K120" s="25">
        <v>97</v>
      </c>
      <c r="L120" s="59">
        <v>2</v>
      </c>
      <c r="M120" s="60">
        <v>185</v>
      </c>
      <c r="N120" s="59">
        <v>4</v>
      </c>
      <c r="O120" s="61" t="s">
        <v>51</v>
      </c>
      <c r="P120" s="58"/>
      <c r="Q120" s="60"/>
      <c r="R120" s="90" t="s">
        <v>51</v>
      </c>
      <c r="S120" s="101"/>
      <c r="AP120" s="10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</row>
    <row r="121" spans="1:53" ht="18" customHeight="1" x14ac:dyDescent="0.35">
      <c r="A121" s="100" t="s">
        <v>141</v>
      </c>
      <c r="B121" s="2">
        <v>8.65</v>
      </c>
      <c r="C121" s="58" t="s">
        <v>51</v>
      </c>
      <c r="D121" s="58"/>
      <c r="E121" s="2" t="s">
        <v>32</v>
      </c>
      <c r="F121" s="50">
        <v>886</v>
      </c>
      <c r="G121" s="50">
        <v>593</v>
      </c>
      <c r="H121" s="25">
        <v>320</v>
      </c>
      <c r="I121" s="25">
        <v>198</v>
      </c>
      <c r="J121" s="25">
        <f t="shared" si="2"/>
        <v>122</v>
      </c>
      <c r="K121" s="25">
        <v>107</v>
      </c>
      <c r="L121" s="59">
        <v>1.6</v>
      </c>
      <c r="M121" s="60">
        <v>190</v>
      </c>
      <c r="N121" s="59"/>
      <c r="O121" s="61" t="s">
        <v>51</v>
      </c>
      <c r="P121" s="58"/>
      <c r="Q121" s="60"/>
      <c r="R121" s="90" t="s">
        <v>51</v>
      </c>
      <c r="S121" s="101"/>
      <c r="AP121" s="10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</row>
    <row r="122" spans="1:53" ht="18" customHeight="1" x14ac:dyDescent="0.35">
      <c r="A122" s="100" t="s">
        <v>142</v>
      </c>
      <c r="B122" s="2">
        <v>8.1</v>
      </c>
      <c r="C122" s="58" t="s">
        <v>51</v>
      </c>
      <c r="D122" s="58"/>
      <c r="E122" s="2" t="s">
        <v>32</v>
      </c>
      <c r="F122" s="50">
        <v>910</v>
      </c>
      <c r="G122" s="50">
        <v>610</v>
      </c>
      <c r="H122" s="25">
        <v>329</v>
      </c>
      <c r="I122" s="25">
        <v>203</v>
      </c>
      <c r="J122" s="25">
        <f t="shared" si="2"/>
        <v>126</v>
      </c>
      <c r="K122" s="25">
        <v>115</v>
      </c>
      <c r="L122" s="59">
        <v>1.6</v>
      </c>
      <c r="M122" s="60">
        <v>170</v>
      </c>
      <c r="N122" s="59">
        <v>3</v>
      </c>
      <c r="O122" s="61" t="s">
        <v>51</v>
      </c>
      <c r="P122" s="58"/>
      <c r="Q122" s="60"/>
      <c r="R122" s="90" t="s">
        <v>51</v>
      </c>
      <c r="S122" s="101"/>
      <c r="AP122" s="10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</row>
    <row r="123" spans="1:53" ht="18" customHeight="1" x14ac:dyDescent="0.35">
      <c r="A123" s="100" t="s">
        <v>143</v>
      </c>
      <c r="B123" s="2">
        <v>8.25</v>
      </c>
      <c r="C123" s="58" t="s">
        <v>51</v>
      </c>
      <c r="D123" s="58"/>
      <c r="E123" s="2" t="s">
        <v>32</v>
      </c>
      <c r="F123" s="50">
        <v>935</v>
      </c>
      <c r="G123" s="50">
        <v>627</v>
      </c>
      <c r="H123" s="25">
        <v>341</v>
      </c>
      <c r="I123" s="25">
        <v>211</v>
      </c>
      <c r="J123" s="25">
        <f t="shared" ref="J123:J130" si="3">H123-I123</f>
        <v>130</v>
      </c>
      <c r="K123" s="25">
        <v>110</v>
      </c>
      <c r="L123" s="59">
        <v>1.3</v>
      </c>
      <c r="M123" s="60">
        <v>155</v>
      </c>
      <c r="N123" s="59">
        <v>3</v>
      </c>
      <c r="O123" s="61" t="s">
        <v>51</v>
      </c>
      <c r="P123" s="58"/>
      <c r="Q123" s="60"/>
      <c r="R123" s="90" t="s">
        <v>51</v>
      </c>
      <c r="S123" s="101"/>
      <c r="AP123" s="10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</row>
    <row r="124" spans="1:53" ht="18" customHeight="1" x14ac:dyDescent="0.35">
      <c r="A124" s="100" t="s">
        <v>144</v>
      </c>
      <c r="B124" s="2">
        <v>8.3000000000000007</v>
      </c>
      <c r="C124" s="58" t="s">
        <v>51</v>
      </c>
      <c r="D124" s="58"/>
      <c r="E124" s="2" t="s">
        <v>32</v>
      </c>
      <c r="F124" s="50">
        <v>947</v>
      </c>
      <c r="G124" s="50">
        <v>635</v>
      </c>
      <c r="H124" s="25">
        <v>330</v>
      </c>
      <c r="I124" s="25">
        <v>202</v>
      </c>
      <c r="J124" s="25">
        <f t="shared" si="3"/>
        <v>128</v>
      </c>
      <c r="K124" s="25">
        <v>109</v>
      </c>
      <c r="L124" s="59">
        <v>1</v>
      </c>
      <c r="M124" s="60">
        <v>163</v>
      </c>
      <c r="N124" s="59">
        <v>2</v>
      </c>
      <c r="O124" s="61" t="s">
        <v>51</v>
      </c>
      <c r="P124" s="58"/>
      <c r="Q124" s="60"/>
      <c r="R124" s="90" t="s">
        <v>51</v>
      </c>
      <c r="S124" s="101"/>
      <c r="AP124" s="10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</row>
    <row r="125" spans="1:53" ht="18" customHeight="1" x14ac:dyDescent="0.35">
      <c r="A125" s="100" t="s">
        <v>145</v>
      </c>
      <c r="B125" s="2">
        <v>8</v>
      </c>
      <c r="C125" s="25" t="s">
        <v>51</v>
      </c>
      <c r="D125" s="25"/>
      <c r="E125" s="2">
        <v>0.2</v>
      </c>
      <c r="F125" s="25">
        <v>916</v>
      </c>
      <c r="G125" s="25">
        <v>614</v>
      </c>
      <c r="H125" s="25">
        <v>290</v>
      </c>
      <c r="I125" s="25">
        <v>166</v>
      </c>
      <c r="J125" s="25">
        <f t="shared" si="3"/>
        <v>124</v>
      </c>
      <c r="K125" s="25">
        <v>95</v>
      </c>
      <c r="L125" s="59">
        <v>1</v>
      </c>
      <c r="M125" s="60">
        <v>134</v>
      </c>
      <c r="N125" s="60"/>
      <c r="O125" s="61" t="s">
        <v>51</v>
      </c>
      <c r="P125" s="58"/>
      <c r="Q125" s="60"/>
      <c r="R125" s="90" t="s">
        <v>51</v>
      </c>
      <c r="S125" s="101"/>
      <c r="AP125" s="10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</row>
    <row r="126" spans="1:53" ht="18" customHeight="1" x14ac:dyDescent="0.35">
      <c r="A126" s="100" t="s">
        <v>146</v>
      </c>
      <c r="B126" s="2">
        <v>8.15</v>
      </c>
      <c r="C126" s="25" t="s">
        <v>51</v>
      </c>
      <c r="D126" s="25"/>
      <c r="E126" s="2" t="s">
        <v>32</v>
      </c>
      <c r="F126" s="25">
        <v>866</v>
      </c>
      <c r="G126" s="25">
        <v>580</v>
      </c>
      <c r="H126" s="25">
        <v>315</v>
      </c>
      <c r="I126" s="25">
        <v>195</v>
      </c>
      <c r="J126" s="25">
        <f t="shared" si="3"/>
        <v>120</v>
      </c>
      <c r="K126" s="25">
        <v>106</v>
      </c>
      <c r="L126" s="59">
        <v>1</v>
      </c>
      <c r="M126" s="60">
        <v>110</v>
      </c>
      <c r="N126" s="60" t="s">
        <v>32</v>
      </c>
      <c r="O126" s="61" t="s">
        <v>51</v>
      </c>
      <c r="P126" s="58"/>
      <c r="Q126" s="60"/>
      <c r="R126" s="90" t="s">
        <v>51</v>
      </c>
      <c r="S126" s="101"/>
      <c r="AP126" s="10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</row>
    <row r="127" spans="1:53" ht="18" customHeight="1" x14ac:dyDescent="0.35">
      <c r="A127" s="100" t="s">
        <v>147</v>
      </c>
      <c r="B127" s="2">
        <v>8</v>
      </c>
      <c r="C127" s="25" t="s">
        <v>51</v>
      </c>
      <c r="D127" s="25"/>
      <c r="E127" s="2" t="s">
        <v>32</v>
      </c>
      <c r="F127" s="25">
        <v>883</v>
      </c>
      <c r="G127" s="25">
        <v>592</v>
      </c>
      <c r="H127" s="25">
        <v>329</v>
      </c>
      <c r="I127" s="25">
        <v>203</v>
      </c>
      <c r="J127" s="25">
        <f t="shared" si="3"/>
        <v>126</v>
      </c>
      <c r="K127" s="25">
        <v>110</v>
      </c>
      <c r="L127" s="59">
        <v>1</v>
      </c>
      <c r="M127" s="60">
        <v>98</v>
      </c>
      <c r="N127" s="60" t="s">
        <v>32</v>
      </c>
      <c r="O127" s="61"/>
      <c r="P127" s="58"/>
      <c r="Q127" s="60"/>
      <c r="R127" s="90"/>
      <c r="S127" s="101"/>
      <c r="AP127" s="10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</row>
    <row r="128" spans="1:53" ht="18" customHeight="1" x14ac:dyDescent="0.35">
      <c r="A128" s="100" t="s">
        <v>148</v>
      </c>
      <c r="B128" s="2">
        <v>8.1999999999999993</v>
      </c>
      <c r="C128" s="25" t="s">
        <v>51</v>
      </c>
      <c r="D128" s="25"/>
      <c r="E128" s="2">
        <v>0.2</v>
      </c>
      <c r="F128" s="25">
        <v>917</v>
      </c>
      <c r="G128" s="25">
        <v>615</v>
      </c>
      <c r="H128" s="25">
        <v>342</v>
      </c>
      <c r="I128" s="25">
        <v>212</v>
      </c>
      <c r="J128" s="25">
        <f t="shared" si="3"/>
        <v>130</v>
      </c>
      <c r="K128" s="25">
        <v>122</v>
      </c>
      <c r="L128" s="59">
        <v>1</v>
      </c>
      <c r="M128" s="60">
        <v>90</v>
      </c>
      <c r="N128" s="60">
        <v>1</v>
      </c>
      <c r="O128" s="61" t="s">
        <v>51</v>
      </c>
      <c r="P128" s="58"/>
      <c r="Q128" s="60"/>
      <c r="R128" s="90" t="s">
        <v>51</v>
      </c>
      <c r="S128" s="101"/>
      <c r="AP128" s="10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</row>
    <row r="129" spans="1:53" ht="18" customHeight="1" x14ac:dyDescent="0.35">
      <c r="A129" s="100" t="s">
        <v>149</v>
      </c>
      <c r="B129" s="2">
        <v>8.1</v>
      </c>
      <c r="C129" s="25" t="s">
        <v>51</v>
      </c>
      <c r="D129" s="25"/>
      <c r="E129" s="2" t="s">
        <v>32</v>
      </c>
      <c r="F129" s="25">
        <v>895</v>
      </c>
      <c r="G129" s="25">
        <v>600</v>
      </c>
      <c r="H129" s="25">
        <v>325</v>
      </c>
      <c r="I129" s="25">
        <v>201</v>
      </c>
      <c r="J129" s="25">
        <f t="shared" si="3"/>
        <v>124</v>
      </c>
      <c r="K129" s="25">
        <v>110</v>
      </c>
      <c r="L129" s="59">
        <v>1</v>
      </c>
      <c r="M129" s="25">
        <v>78</v>
      </c>
      <c r="N129" s="60" t="s">
        <v>32</v>
      </c>
      <c r="O129" s="61"/>
      <c r="P129" s="58"/>
      <c r="Q129" s="60"/>
      <c r="R129" s="90"/>
      <c r="S129" s="101"/>
      <c r="AP129" s="10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</row>
    <row r="130" spans="1:53" ht="18" customHeight="1" thickBot="1" x14ac:dyDescent="0.4">
      <c r="A130" s="73" t="s">
        <v>150</v>
      </c>
      <c r="B130" s="2">
        <v>8.25</v>
      </c>
      <c r="C130" s="25" t="s">
        <v>51</v>
      </c>
      <c r="D130" s="25"/>
      <c r="E130" s="2">
        <v>0.2</v>
      </c>
      <c r="F130" s="25">
        <v>879</v>
      </c>
      <c r="G130" s="25">
        <v>589</v>
      </c>
      <c r="H130" s="25">
        <v>337</v>
      </c>
      <c r="I130" s="25">
        <v>208</v>
      </c>
      <c r="J130" s="25">
        <f t="shared" si="3"/>
        <v>129</v>
      </c>
      <c r="K130" s="25">
        <v>99</v>
      </c>
      <c r="L130" s="59">
        <v>1</v>
      </c>
      <c r="M130" s="25">
        <v>72</v>
      </c>
      <c r="N130" s="60">
        <v>3</v>
      </c>
      <c r="O130" s="61"/>
      <c r="P130" s="25"/>
      <c r="Q130" s="60"/>
      <c r="R130" s="91"/>
      <c r="S130" s="101"/>
      <c r="AP130" s="10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</row>
    <row r="131" spans="1:53" ht="18" customHeight="1" x14ac:dyDescent="0.35">
      <c r="A131" s="110" t="s">
        <v>174</v>
      </c>
      <c r="B131" s="1">
        <v>8.25</v>
      </c>
      <c r="C131" s="12" t="s">
        <v>51</v>
      </c>
      <c r="D131" s="12"/>
      <c r="E131" s="1">
        <v>0.2</v>
      </c>
      <c r="F131" s="85">
        <v>902</v>
      </c>
      <c r="G131" s="85">
        <v>605</v>
      </c>
      <c r="H131" s="76">
        <v>350</v>
      </c>
      <c r="I131" s="76">
        <v>217</v>
      </c>
      <c r="J131" s="25">
        <f>H131-I131</f>
        <v>133</v>
      </c>
      <c r="K131" s="76">
        <v>118</v>
      </c>
      <c r="L131" s="87">
        <v>1</v>
      </c>
      <c r="M131" s="88">
        <v>100</v>
      </c>
      <c r="N131" s="59">
        <v>3</v>
      </c>
      <c r="O131" s="57" t="s">
        <v>51</v>
      </c>
      <c r="P131" s="17"/>
      <c r="Q131" s="60"/>
      <c r="R131" s="90" t="s">
        <v>51</v>
      </c>
      <c r="S131" s="101"/>
      <c r="AP131" s="10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</row>
    <row r="132" spans="1:53" ht="18" customHeight="1" x14ac:dyDescent="0.35">
      <c r="A132" s="100" t="s">
        <v>175</v>
      </c>
      <c r="B132" s="2">
        <v>8.4</v>
      </c>
      <c r="C132" s="58" t="s">
        <v>51</v>
      </c>
      <c r="D132" s="58"/>
      <c r="E132" s="2">
        <v>3</v>
      </c>
      <c r="F132" s="50">
        <v>885</v>
      </c>
      <c r="G132" s="25">
        <v>593</v>
      </c>
      <c r="H132" s="25">
        <v>308</v>
      </c>
      <c r="I132" s="25">
        <v>200</v>
      </c>
      <c r="J132" s="25">
        <f t="shared" ref="J132:J195" si="4">H132-I132</f>
        <v>108</v>
      </c>
      <c r="K132" s="25">
        <v>112</v>
      </c>
      <c r="L132" s="59"/>
      <c r="M132" s="60">
        <v>110</v>
      </c>
      <c r="N132" s="59">
        <v>2</v>
      </c>
      <c r="O132" s="57" t="s">
        <v>51</v>
      </c>
      <c r="P132" s="17"/>
      <c r="Q132" s="60"/>
      <c r="R132" s="90" t="s">
        <v>51</v>
      </c>
      <c r="S132" s="101"/>
      <c r="AP132" s="10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</row>
    <row r="133" spans="1:53" ht="18" customHeight="1" x14ac:dyDescent="0.35">
      <c r="A133" s="100" t="s">
        <v>176</v>
      </c>
      <c r="B133" s="2">
        <v>8.35</v>
      </c>
      <c r="C133" s="58" t="s">
        <v>51</v>
      </c>
      <c r="D133" s="58"/>
      <c r="E133" s="2">
        <v>0.4</v>
      </c>
      <c r="F133" s="50">
        <v>851</v>
      </c>
      <c r="G133" s="50">
        <v>570</v>
      </c>
      <c r="H133" s="25">
        <v>260</v>
      </c>
      <c r="I133" s="25">
        <v>152</v>
      </c>
      <c r="J133" s="25">
        <f t="shared" si="4"/>
        <v>108</v>
      </c>
      <c r="K133" s="25">
        <v>100</v>
      </c>
      <c r="L133" s="59">
        <v>4</v>
      </c>
      <c r="M133" s="60">
        <v>116</v>
      </c>
      <c r="N133" s="59">
        <v>2</v>
      </c>
      <c r="O133" s="61" t="s">
        <v>51</v>
      </c>
      <c r="P133" s="58"/>
      <c r="Q133" s="60"/>
      <c r="R133" s="90" t="s">
        <v>51</v>
      </c>
      <c r="S133" s="101"/>
      <c r="AP133" s="10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</row>
    <row r="134" spans="1:53" ht="18" customHeight="1" x14ac:dyDescent="0.35">
      <c r="A134" s="100" t="s">
        <v>177</v>
      </c>
      <c r="B134" s="2">
        <v>8.42</v>
      </c>
      <c r="C134" s="17" t="s">
        <v>51</v>
      </c>
      <c r="D134" s="17"/>
      <c r="E134" s="2">
        <v>0.3</v>
      </c>
      <c r="F134" s="50">
        <v>848</v>
      </c>
      <c r="G134" s="50">
        <v>568</v>
      </c>
      <c r="H134" s="25">
        <v>234</v>
      </c>
      <c r="I134" s="25">
        <v>140</v>
      </c>
      <c r="J134" s="25">
        <f t="shared" si="4"/>
        <v>94</v>
      </c>
      <c r="K134" s="25">
        <v>119</v>
      </c>
      <c r="L134" s="59">
        <v>3.9</v>
      </c>
      <c r="M134" s="60">
        <v>120</v>
      </c>
      <c r="N134" s="59">
        <v>4</v>
      </c>
      <c r="O134" s="61" t="s">
        <v>51</v>
      </c>
      <c r="P134" s="17"/>
      <c r="Q134" s="60"/>
      <c r="R134" s="90" t="s">
        <v>51</v>
      </c>
      <c r="S134" s="101"/>
      <c r="AP134" s="10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</row>
    <row r="135" spans="1:53" ht="18" customHeight="1" x14ac:dyDescent="0.35">
      <c r="A135" s="100" t="s">
        <v>178</v>
      </c>
      <c r="B135" s="2">
        <v>8.1999999999999993</v>
      </c>
      <c r="C135" s="17" t="s">
        <v>51</v>
      </c>
      <c r="D135" s="17"/>
      <c r="E135" s="2">
        <v>0.3</v>
      </c>
      <c r="F135" s="50">
        <v>870</v>
      </c>
      <c r="G135" s="50">
        <v>583</v>
      </c>
      <c r="H135" s="25">
        <v>264</v>
      </c>
      <c r="I135" s="25">
        <v>153</v>
      </c>
      <c r="J135" s="25">
        <f t="shared" si="4"/>
        <v>111</v>
      </c>
      <c r="K135" s="25">
        <v>102</v>
      </c>
      <c r="L135" s="59">
        <v>3</v>
      </c>
      <c r="M135" s="60">
        <v>100</v>
      </c>
      <c r="N135" s="59" t="s">
        <v>32</v>
      </c>
      <c r="O135" s="61" t="s">
        <v>51</v>
      </c>
      <c r="P135" s="17"/>
      <c r="Q135" s="60"/>
      <c r="R135" s="90" t="s">
        <v>51</v>
      </c>
      <c r="S135" s="101"/>
      <c r="AP135" s="10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</row>
    <row r="136" spans="1:53" ht="18" customHeight="1" x14ac:dyDescent="0.35">
      <c r="A136" s="100" t="s">
        <v>179</v>
      </c>
      <c r="B136" s="2">
        <v>8</v>
      </c>
      <c r="C136" s="58" t="s">
        <v>51</v>
      </c>
      <c r="D136" s="58"/>
      <c r="E136" s="2">
        <v>0.3</v>
      </c>
      <c r="F136" s="50">
        <v>882</v>
      </c>
      <c r="G136" s="50">
        <v>590</v>
      </c>
      <c r="H136" s="25">
        <v>273</v>
      </c>
      <c r="I136" s="25">
        <v>159</v>
      </c>
      <c r="J136" s="25">
        <f t="shared" si="4"/>
        <v>114</v>
      </c>
      <c r="K136" s="25">
        <v>100</v>
      </c>
      <c r="L136" s="59">
        <v>2.8</v>
      </c>
      <c r="M136" s="60">
        <v>94</v>
      </c>
      <c r="N136" s="59" t="s">
        <v>32</v>
      </c>
      <c r="O136" s="61" t="s">
        <v>51</v>
      </c>
      <c r="P136" s="17"/>
      <c r="Q136" s="60"/>
      <c r="R136" s="90" t="s">
        <v>51</v>
      </c>
      <c r="S136" s="101"/>
      <c r="AP136" s="10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</row>
    <row r="137" spans="1:53" ht="18" customHeight="1" x14ac:dyDescent="0.35">
      <c r="A137" s="100" t="s">
        <v>180</v>
      </c>
      <c r="B137" s="2">
        <v>8</v>
      </c>
      <c r="C137" s="17" t="s">
        <v>51</v>
      </c>
      <c r="D137" s="17"/>
      <c r="E137" s="2">
        <v>0.3</v>
      </c>
      <c r="F137" s="50">
        <v>896</v>
      </c>
      <c r="G137" s="50">
        <v>600</v>
      </c>
      <c r="H137" s="25">
        <v>293</v>
      </c>
      <c r="I137" s="25">
        <v>170</v>
      </c>
      <c r="J137" s="25">
        <f t="shared" si="4"/>
        <v>123</v>
      </c>
      <c r="K137" s="25">
        <v>103</v>
      </c>
      <c r="L137" s="59">
        <v>2</v>
      </c>
      <c r="M137" s="60">
        <v>98</v>
      </c>
      <c r="N137" s="59" t="s">
        <v>32</v>
      </c>
      <c r="O137" s="61" t="s">
        <v>51</v>
      </c>
      <c r="P137" s="17"/>
      <c r="Q137" s="60"/>
      <c r="R137" s="90" t="s">
        <v>51</v>
      </c>
      <c r="S137" s="101"/>
      <c r="AP137" s="10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</row>
    <row r="138" spans="1:53" ht="18" customHeight="1" x14ac:dyDescent="0.35">
      <c r="A138" s="100" t="s">
        <v>181</v>
      </c>
      <c r="B138" s="2">
        <v>8.08</v>
      </c>
      <c r="C138" s="58" t="s">
        <v>51</v>
      </c>
      <c r="D138" s="58"/>
      <c r="E138" s="2" t="s">
        <v>182</v>
      </c>
      <c r="F138" s="17">
        <v>909</v>
      </c>
      <c r="G138" s="17">
        <v>609</v>
      </c>
      <c r="H138" s="17">
        <v>303</v>
      </c>
      <c r="I138" s="17">
        <v>178</v>
      </c>
      <c r="J138" s="25">
        <f t="shared" si="4"/>
        <v>125</v>
      </c>
      <c r="K138" s="17">
        <v>100</v>
      </c>
      <c r="L138" s="59">
        <v>2.1</v>
      </c>
      <c r="M138" s="60">
        <v>96</v>
      </c>
      <c r="N138" s="59" t="s">
        <v>32</v>
      </c>
      <c r="O138" s="61" t="s">
        <v>51</v>
      </c>
      <c r="P138" s="17"/>
      <c r="Q138" s="60"/>
      <c r="R138" s="90" t="s">
        <v>51</v>
      </c>
      <c r="S138" s="101"/>
      <c r="AP138" s="10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</row>
    <row r="139" spans="1:53" ht="18" customHeight="1" x14ac:dyDescent="0.35">
      <c r="A139" s="100" t="s">
        <v>183</v>
      </c>
      <c r="B139" s="2">
        <v>8.1999999999999993</v>
      </c>
      <c r="C139" s="58" t="s">
        <v>51</v>
      </c>
      <c r="D139" s="58"/>
      <c r="E139" s="2">
        <v>0.4</v>
      </c>
      <c r="F139" s="50">
        <v>910</v>
      </c>
      <c r="G139" s="50">
        <v>610</v>
      </c>
      <c r="H139" s="25">
        <v>280</v>
      </c>
      <c r="I139" s="25">
        <v>170</v>
      </c>
      <c r="J139" s="25">
        <f t="shared" si="4"/>
        <v>110</v>
      </c>
      <c r="K139" s="25">
        <v>118</v>
      </c>
      <c r="L139" s="59">
        <v>1</v>
      </c>
      <c r="M139" s="60">
        <v>116</v>
      </c>
      <c r="N139" s="59" t="s">
        <v>32</v>
      </c>
      <c r="O139" s="61"/>
      <c r="P139" s="17"/>
      <c r="Q139" s="60"/>
      <c r="R139" s="90"/>
      <c r="S139" s="101"/>
      <c r="AP139" s="10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</row>
    <row r="140" spans="1:53" ht="18" customHeight="1" x14ac:dyDescent="0.35">
      <c r="A140" s="100" t="s">
        <v>184</v>
      </c>
      <c r="B140" s="2">
        <v>8.1999999999999993</v>
      </c>
      <c r="C140" s="58" t="s">
        <v>51</v>
      </c>
      <c r="D140" s="58"/>
      <c r="E140" s="2">
        <v>0.2</v>
      </c>
      <c r="F140" s="50">
        <v>880</v>
      </c>
      <c r="G140" s="50">
        <v>590</v>
      </c>
      <c r="H140" s="25">
        <v>295</v>
      </c>
      <c r="I140" s="25">
        <v>182</v>
      </c>
      <c r="J140" s="25">
        <f t="shared" si="4"/>
        <v>113</v>
      </c>
      <c r="K140" s="25">
        <v>118</v>
      </c>
      <c r="L140" s="59">
        <v>1.4</v>
      </c>
      <c r="M140" s="60">
        <v>110</v>
      </c>
      <c r="N140" s="59" t="s">
        <v>32</v>
      </c>
      <c r="O140" s="61"/>
      <c r="P140" s="58"/>
      <c r="Q140" s="60"/>
      <c r="R140" s="90"/>
      <c r="S140" s="101"/>
      <c r="AP140" s="10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</row>
    <row r="141" spans="1:53" ht="18" customHeight="1" x14ac:dyDescent="0.35">
      <c r="A141" s="100" t="s">
        <v>185</v>
      </c>
      <c r="B141" s="2">
        <v>8.25</v>
      </c>
      <c r="C141" s="58" t="s">
        <v>51</v>
      </c>
      <c r="D141" s="58"/>
      <c r="E141" s="2">
        <v>0.2</v>
      </c>
      <c r="F141" s="50">
        <v>917</v>
      </c>
      <c r="G141" s="50">
        <v>615</v>
      </c>
      <c r="H141" s="25">
        <v>315</v>
      </c>
      <c r="I141" s="25">
        <v>195</v>
      </c>
      <c r="J141" s="25">
        <f t="shared" si="4"/>
        <v>120</v>
      </c>
      <c r="K141" s="25">
        <v>127</v>
      </c>
      <c r="L141" s="59">
        <v>1.7</v>
      </c>
      <c r="M141" s="60">
        <v>125</v>
      </c>
      <c r="N141" s="59">
        <v>3</v>
      </c>
      <c r="O141" s="61"/>
      <c r="P141" s="58"/>
      <c r="Q141" s="60"/>
      <c r="R141" s="90"/>
      <c r="S141" s="101"/>
      <c r="AP141" s="10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</row>
    <row r="142" spans="1:53" ht="18" customHeight="1" x14ac:dyDescent="0.35">
      <c r="A142" s="100" t="s">
        <v>186</v>
      </c>
      <c r="B142" s="2">
        <v>8.1</v>
      </c>
      <c r="C142" s="58" t="s">
        <v>51</v>
      </c>
      <c r="D142" s="58"/>
      <c r="E142" s="2">
        <v>0.2</v>
      </c>
      <c r="F142" s="50">
        <v>790</v>
      </c>
      <c r="G142" s="50">
        <v>529</v>
      </c>
      <c r="H142" s="25">
        <v>300</v>
      </c>
      <c r="I142" s="25">
        <v>180</v>
      </c>
      <c r="J142" s="25">
        <f t="shared" si="4"/>
        <v>120</v>
      </c>
      <c r="K142" s="25">
        <v>95</v>
      </c>
      <c r="L142" s="59">
        <v>1</v>
      </c>
      <c r="M142" s="60">
        <v>100</v>
      </c>
      <c r="N142" s="59" t="s">
        <v>32</v>
      </c>
      <c r="O142" s="61"/>
      <c r="P142" s="58"/>
      <c r="Q142" s="60"/>
      <c r="R142" s="90"/>
      <c r="S142" s="101"/>
      <c r="AP142" s="10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</row>
    <row r="143" spans="1:53" ht="18" customHeight="1" x14ac:dyDescent="0.35">
      <c r="A143" s="100" t="s">
        <v>187</v>
      </c>
      <c r="B143" s="2">
        <v>8.1999999999999993</v>
      </c>
      <c r="C143" s="58" t="s">
        <v>51</v>
      </c>
      <c r="D143" s="58"/>
      <c r="E143" s="2">
        <v>0.3</v>
      </c>
      <c r="F143" s="50">
        <v>855</v>
      </c>
      <c r="G143" s="50">
        <v>573</v>
      </c>
      <c r="H143" s="25">
        <v>293</v>
      </c>
      <c r="I143" s="25">
        <v>173</v>
      </c>
      <c r="J143" s="25">
        <f t="shared" si="4"/>
        <v>120</v>
      </c>
      <c r="K143" s="25">
        <v>92</v>
      </c>
      <c r="L143" s="59">
        <v>2.2999999999999998</v>
      </c>
      <c r="M143" s="60">
        <v>93</v>
      </c>
      <c r="N143" s="59" t="s">
        <v>32</v>
      </c>
      <c r="O143" s="61"/>
      <c r="P143" s="58"/>
      <c r="Q143" s="60"/>
      <c r="R143" s="90"/>
      <c r="S143" s="101"/>
      <c r="AP143" s="10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</row>
    <row r="144" spans="1:53" ht="18" customHeight="1" x14ac:dyDescent="0.35">
      <c r="A144" s="100" t="s">
        <v>188</v>
      </c>
      <c r="B144" s="2">
        <v>8.15</v>
      </c>
      <c r="C144" s="58" t="s">
        <v>51</v>
      </c>
      <c r="D144" s="58"/>
      <c r="E144" s="2" t="s">
        <v>182</v>
      </c>
      <c r="F144" s="50">
        <v>874</v>
      </c>
      <c r="G144" s="50">
        <v>586</v>
      </c>
      <c r="H144" s="50">
        <v>280</v>
      </c>
      <c r="I144" s="25">
        <v>173</v>
      </c>
      <c r="J144" s="25">
        <f t="shared" si="4"/>
        <v>107</v>
      </c>
      <c r="K144" s="25">
        <v>86</v>
      </c>
      <c r="L144" s="59">
        <v>2.6</v>
      </c>
      <c r="M144" s="60">
        <v>100</v>
      </c>
      <c r="N144" s="59" t="s">
        <v>32</v>
      </c>
      <c r="O144" s="61"/>
      <c r="P144" s="58"/>
      <c r="Q144" s="60"/>
      <c r="R144" s="90"/>
      <c r="S144" s="101"/>
      <c r="AP144" s="10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</row>
    <row r="145" spans="1:53" ht="18" customHeight="1" x14ac:dyDescent="0.35">
      <c r="A145" s="100" t="s">
        <v>189</v>
      </c>
      <c r="B145" s="2">
        <v>8.1</v>
      </c>
      <c r="C145" s="58" t="s">
        <v>51</v>
      </c>
      <c r="D145" s="58"/>
      <c r="E145" s="2" t="s">
        <v>182</v>
      </c>
      <c r="F145" s="50">
        <v>850</v>
      </c>
      <c r="G145" s="50">
        <v>570</v>
      </c>
      <c r="H145" s="25">
        <v>265</v>
      </c>
      <c r="I145" s="25">
        <v>164</v>
      </c>
      <c r="J145" s="25">
        <f t="shared" si="4"/>
        <v>101</v>
      </c>
      <c r="K145" s="25">
        <v>80</v>
      </c>
      <c r="L145" s="59">
        <v>2.8</v>
      </c>
      <c r="M145" s="60">
        <v>100</v>
      </c>
      <c r="N145" s="59" t="s">
        <v>32</v>
      </c>
      <c r="O145" s="61"/>
      <c r="P145" s="58"/>
      <c r="Q145" s="60"/>
      <c r="R145" s="90"/>
      <c r="S145" s="101"/>
      <c r="AP145" s="10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</row>
    <row r="146" spans="1:53" ht="18" customHeight="1" x14ac:dyDescent="0.35">
      <c r="A146" s="100" t="s">
        <v>190</v>
      </c>
      <c r="B146" s="2">
        <v>8.1999999999999993</v>
      </c>
      <c r="C146" s="58" t="s">
        <v>51</v>
      </c>
      <c r="D146" s="58"/>
      <c r="E146" s="2" t="s">
        <v>182</v>
      </c>
      <c r="F146" s="50">
        <v>879</v>
      </c>
      <c r="G146" s="50">
        <v>589</v>
      </c>
      <c r="H146" s="25">
        <v>250</v>
      </c>
      <c r="I146" s="25">
        <v>155</v>
      </c>
      <c r="J146" s="25">
        <f t="shared" si="4"/>
        <v>95</v>
      </c>
      <c r="K146" s="25">
        <v>92</v>
      </c>
      <c r="L146" s="59">
        <v>2.6</v>
      </c>
      <c r="M146" s="60">
        <v>110</v>
      </c>
      <c r="N146" s="59">
        <v>3</v>
      </c>
      <c r="O146" s="61"/>
      <c r="P146" s="58"/>
      <c r="Q146" s="60"/>
      <c r="R146" s="90"/>
      <c r="S146" s="101"/>
      <c r="AP146" s="10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</row>
    <row r="147" spans="1:53" ht="18" customHeight="1" x14ac:dyDescent="0.35">
      <c r="A147" s="100" t="s">
        <v>191</v>
      </c>
      <c r="B147" s="2">
        <v>8.15</v>
      </c>
      <c r="C147" s="58" t="s">
        <v>51</v>
      </c>
      <c r="D147" s="58"/>
      <c r="E147" s="2" t="s">
        <v>182</v>
      </c>
      <c r="F147" s="50">
        <v>850</v>
      </c>
      <c r="G147" s="50">
        <v>570</v>
      </c>
      <c r="H147" s="25">
        <v>269</v>
      </c>
      <c r="I147" s="25">
        <v>166</v>
      </c>
      <c r="J147" s="25">
        <f t="shared" si="4"/>
        <v>103</v>
      </c>
      <c r="K147" s="25">
        <v>99</v>
      </c>
      <c r="L147" s="59">
        <v>2.6</v>
      </c>
      <c r="M147" s="60">
        <v>117</v>
      </c>
      <c r="N147" s="59">
        <v>3</v>
      </c>
      <c r="O147" s="61"/>
      <c r="P147" s="58"/>
      <c r="Q147" s="60"/>
      <c r="R147" s="90"/>
      <c r="S147" s="101"/>
      <c r="AP147" s="10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</row>
    <row r="148" spans="1:53" ht="18" customHeight="1" x14ac:dyDescent="0.35">
      <c r="A148" s="100" t="s">
        <v>192</v>
      </c>
      <c r="B148" s="2">
        <v>8.25</v>
      </c>
      <c r="C148" s="58" t="s">
        <v>51</v>
      </c>
      <c r="D148" s="58"/>
      <c r="E148" s="2">
        <v>1</v>
      </c>
      <c r="F148" s="50">
        <v>879</v>
      </c>
      <c r="G148" s="50">
        <v>589</v>
      </c>
      <c r="H148" s="25">
        <v>282</v>
      </c>
      <c r="I148" s="25">
        <v>174</v>
      </c>
      <c r="J148" s="25">
        <f t="shared" si="4"/>
        <v>108</v>
      </c>
      <c r="K148" s="25">
        <v>106</v>
      </c>
      <c r="L148" s="59">
        <v>2.9</v>
      </c>
      <c r="M148" s="60">
        <v>110</v>
      </c>
      <c r="N148" s="59">
        <v>3</v>
      </c>
      <c r="O148" s="61"/>
      <c r="P148" s="58"/>
      <c r="Q148" s="60"/>
      <c r="R148" s="90"/>
      <c r="S148" s="101"/>
      <c r="AP148" s="10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</row>
    <row r="149" spans="1:53" ht="18" customHeight="1" x14ac:dyDescent="0.35">
      <c r="A149" s="100" t="s">
        <v>193</v>
      </c>
      <c r="B149" s="2">
        <v>8.3000000000000007</v>
      </c>
      <c r="C149" s="25" t="s">
        <v>51</v>
      </c>
      <c r="D149" s="25"/>
      <c r="E149" s="2" t="s">
        <v>182</v>
      </c>
      <c r="F149" s="25">
        <v>925</v>
      </c>
      <c r="G149" s="25">
        <v>620</v>
      </c>
      <c r="H149" s="25">
        <v>295</v>
      </c>
      <c r="I149" s="25">
        <v>182</v>
      </c>
      <c r="J149" s="25">
        <f t="shared" si="4"/>
        <v>113</v>
      </c>
      <c r="K149" s="25">
        <v>110</v>
      </c>
      <c r="L149" s="25">
        <v>3.2</v>
      </c>
      <c r="M149" s="60">
        <v>135</v>
      </c>
      <c r="N149" s="59">
        <v>3</v>
      </c>
      <c r="O149" s="61"/>
      <c r="P149" s="58"/>
      <c r="Q149" s="60"/>
      <c r="R149" s="90"/>
      <c r="S149" s="101"/>
      <c r="AP149" s="10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</row>
    <row r="150" spans="1:53" ht="18" customHeight="1" x14ac:dyDescent="0.35">
      <c r="A150" s="100" t="s">
        <v>194</v>
      </c>
      <c r="B150" s="2">
        <v>8.3000000000000007</v>
      </c>
      <c r="C150" s="25" t="s">
        <v>51</v>
      </c>
      <c r="D150" s="25"/>
      <c r="E150" s="2">
        <v>0.2</v>
      </c>
      <c r="F150" s="25">
        <v>970</v>
      </c>
      <c r="G150" s="25">
        <v>650</v>
      </c>
      <c r="H150" s="25">
        <v>315</v>
      </c>
      <c r="I150" s="25">
        <v>195</v>
      </c>
      <c r="J150" s="25">
        <f t="shared" si="4"/>
        <v>120</v>
      </c>
      <c r="K150" s="25">
        <v>119</v>
      </c>
      <c r="L150" s="2">
        <v>3</v>
      </c>
      <c r="M150" s="60">
        <v>122</v>
      </c>
      <c r="N150" s="59">
        <v>3</v>
      </c>
      <c r="O150" s="61"/>
      <c r="P150" s="58"/>
      <c r="Q150" s="60"/>
      <c r="R150" s="90"/>
      <c r="S150" s="101"/>
      <c r="AP150" s="10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</row>
    <row r="151" spans="1:53" ht="18" customHeight="1" x14ac:dyDescent="0.35">
      <c r="A151" s="100" t="s">
        <v>195</v>
      </c>
      <c r="B151" s="2">
        <v>8.1999999999999993</v>
      </c>
      <c r="C151" s="25" t="s">
        <v>51</v>
      </c>
      <c r="D151" s="25"/>
      <c r="E151" s="2" t="s">
        <v>182</v>
      </c>
      <c r="F151" s="25">
        <v>940</v>
      </c>
      <c r="G151" s="25">
        <v>630</v>
      </c>
      <c r="H151" s="25">
        <v>270</v>
      </c>
      <c r="I151" s="25">
        <v>180</v>
      </c>
      <c r="J151" s="25">
        <f t="shared" si="4"/>
        <v>90</v>
      </c>
      <c r="K151" s="25">
        <v>100</v>
      </c>
      <c r="L151" s="25">
        <v>2.7</v>
      </c>
      <c r="M151" s="60">
        <v>90</v>
      </c>
      <c r="N151" s="59">
        <v>3</v>
      </c>
      <c r="O151" s="61"/>
      <c r="P151" s="58"/>
      <c r="Q151" s="60"/>
      <c r="R151" s="90"/>
      <c r="S151" s="101"/>
      <c r="AP151" s="10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</row>
    <row r="152" spans="1:53" ht="18" customHeight="1" x14ac:dyDescent="0.35">
      <c r="A152" s="100" t="s">
        <v>196</v>
      </c>
      <c r="B152" s="2">
        <v>8.1</v>
      </c>
      <c r="C152" s="25" t="s">
        <v>51</v>
      </c>
      <c r="D152" s="25"/>
      <c r="E152" s="2" t="s">
        <v>182</v>
      </c>
      <c r="F152" s="25">
        <v>943</v>
      </c>
      <c r="G152" s="25">
        <v>632</v>
      </c>
      <c r="H152" s="25">
        <v>256</v>
      </c>
      <c r="I152" s="25">
        <v>158</v>
      </c>
      <c r="J152" s="25">
        <f t="shared" si="4"/>
        <v>98</v>
      </c>
      <c r="K152" s="25">
        <v>106</v>
      </c>
      <c r="L152" s="25">
        <v>2.6</v>
      </c>
      <c r="M152" s="60">
        <v>95</v>
      </c>
      <c r="N152" s="59">
        <v>2</v>
      </c>
      <c r="O152" s="61"/>
      <c r="P152" s="58"/>
      <c r="Q152" s="60"/>
      <c r="R152" s="90"/>
      <c r="S152" s="101"/>
      <c r="AP152" s="10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</row>
    <row r="153" spans="1:53" ht="18" customHeight="1" thickBot="1" x14ac:dyDescent="0.4">
      <c r="A153" s="111" t="s">
        <v>197</v>
      </c>
      <c r="B153" s="2">
        <v>8</v>
      </c>
      <c r="C153" s="25" t="s">
        <v>51</v>
      </c>
      <c r="D153" s="25"/>
      <c r="E153" s="2" t="s">
        <v>182</v>
      </c>
      <c r="F153" s="25">
        <v>994</v>
      </c>
      <c r="G153" s="25">
        <v>666</v>
      </c>
      <c r="H153" s="25">
        <v>240</v>
      </c>
      <c r="I153" s="25">
        <v>148</v>
      </c>
      <c r="J153" s="25">
        <f t="shared" si="4"/>
        <v>92</v>
      </c>
      <c r="K153" s="25">
        <v>119</v>
      </c>
      <c r="L153" s="25">
        <v>2.9</v>
      </c>
      <c r="M153" s="25">
        <v>80</v>
      </c>
      <c r="N153" s="59" t="s">
        <v>32</v>
      </c>
      <c r="O153" s="61"/>
      <c r="P153" s="58"/>
      <c r="Q153" s="60"/>
      <c r="R153" s="90"/>
      <c r="S153" s="101"/>
      <c r="AP153" s="10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</row>
    <row r="154" spans="1:53" ht="18" customHeight="1" x14ac:dyDescent="0.35">
      <c r="A154" s="110" t="s">
        <v>223</v>
      </c>
      <c r="B154" s="1">
        <v>8.1</v>
      </c>
      <c r="C154" s="12" t="s">
        <v>51</v>
      </c>
      <c r="D154" s="12"/>
      <c r="E154" s="1">
        <v>0.2</v>
      </c>
      <c r="F154" s="85">
        <v>955</v>
      </c>
      <c r="G154" s="85">
        <v>640</v>
      </c>
      <c r="H154" s="76">
        <v>285</v>
      </c>
      <c r="I154" s="76">
        <v>176</v>
      </c>
      <c r="J154" s="25">
        <f t="shared" si="4"/>
        <v>109</v>
      </c>
      <c r="K154" s="76">
        <v>125</v>
      </c>
      <c r="L154" s="87">
        <v>2.7</v>
      </c>
      <c r="M154" s="88">
        <v>100</v>
      </c>
      <c r="N154" s="59">
        <v>2</v>
      </c>
      <c r="O154" s="57" t="s">
        <v>51</v>
      </c>
      <c r="P154" s="17"/>
      <c r="Q154" s="60"/>
      <c r="R154" s="90" t="s">
        <v>51</v>
      </c>
      <c r="S154" s="101"/>
      <c r="AP154" s="10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</row>
    <row r="155" spans="1:53" ht="18" customHeight="1" x14ac:dyDescent="0.35">
      <c r="A155" s="100" t="s">
        <v>224</v>
      </c>
      <c r="B155" s="2">
        <v>8.1999999999999993</v>
      </c>
      <c r="C155" s="58" t="s">
        <v>51</v>
      </c>
      <c r="D155" s="58"/>
      <c r="E155" s="2">
        <v>1</v>
      </c>
      <c r="F155" s="50">
        <v>925</v>
      </c>
      <c r="G155" s="25">
        <v>620</v>
      </c>
      <c r="H155" s="25">
        <v>262</v>
      </c>
      <c r="I155" s="25">
        <v>162</v>
      </c>
      <c r="J155" s="25">
        <f t="shared" si="4"/>
        <v>100</v>
      </c>
      <c r="K155" s="25">
        <v>108</v>
      </c>
      <c r="L155" s="59">
        <v>2.9</v>
      </c>
      <c r="M155" s="60">
        <v>92</v>
      </c>
      <c r="N155" s="59">
        <v>3</v>
      </c>
      <c r="O155" s="57" t="s">
        <v>51</v>
      </c>
      <c r="P155" s="17"/>
      <c r="Q155" s="60"/>
      <c r="R155" s="90" t="s">
        <v>51</v>
      </c>
      <c r="S155" s="101"/>
      <c r="AP155" s="10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</row>
    <row r="156" spans="1:53" ht="18" customHeight="1" x14ac:dyDescent="0.35">
      <c r="A156" s="100" t="s">
        <v>225</v>
      </c>
      <c r="B156" s="2">
        <v>8.1999999999999993</v>
      </c>
      <c r="C156" s="58" t="s">
        <v>51</v>
      </c>
      <c r="D156" s="58"/>
      <c r="E156" s="2">
        <v>0.2</v>
      </c>
      <c r="F156" s="50">
        <v>962</v>
      </c>
      <c r="G156" s="50">
        <v>645</v>
      </c>
      <c r="H156" s="25">
        <v>280</v>
      </c>
      <c r="I156" s="25">
        <v>173</v>
      </c>
      <c r="J156" s="25">
        <f t="shared" si="4"/>
        <v>107</v>
      </c>
      <c r="K156" s="25">
        <v>100</v>
      </c>
      <c r="L156" s="59">
        <v>2.6</v>
      </c>
      <c r="M156" s="60">
        <v>100</v>
      </c>
      <c r="N156" s="59">
        <v>2</v>
      </c>
      <c r="O156" s="61" t="s">
        <v>51</v>
      </c>
      <c r="P156" s="58"/>
      <c r="Q156" s="60"/>
      <c r="R156" s="90" t="s">
        <v>51</v>
      </c>
      <c r="S156" s="101"/>
      <c r="AP156" s="10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</row>
    <row r="157" spans="1:53" ht="18" customHeight="1" x14ac:dyDescent="0.35">
      <c r="A157" s="100" t="s">
        <v>226</v>
      </c>
      <c r="B157" s="2">
        <v>8</v>
      </c>
      <c r="C157" s="17" t="s">
        <v>51</v>
      </c>
      <c r="D157" s="17"/>
      <c r="E157" s="2" t="s">
        <v>32</v>
      </c>
      <c r="F157" s="50">
        <v>925</v>
      </c>
      <c r="G157" s="50">
        <v>620</v>
      </c>
      <c r="H157" s="25">
        <v>266</v>
      </c>
      <c r="I157" s="25">
        <v>164</v>
      </c>
      <c r="J157" s="25">
        <f t="shared" si="4"/>
        <v>102</v>
      </c>
      <c r="K157" s="25">
        <v>108</v>
      </c>
      <c r="L157" s="59">
        <v>2.6</v>
      </c>
      <c r="M157" s="60">
        <v>92</v>
      </c>
      <c r="N157" s="59" t="s">
        <v>32</v>
      </c>
      <c r="O157" s="61" t="s">
        <v>51</v>
      </c>
      <c r="P157" s="58"/>
      <c r="Q157" s="60"/>
      <c r="R157" s="90" t="s">
        <v>51</v>
      </c>
      <c r="S157" s="101"/>
      <c r="AP157" s="10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</row>
    <row r="158" spans="1:53" ht="18" customHeight="1" x14ac:dyDescent="0.35">
      <c r="A158" s="100" t="s">
        <v>227</v>
      </c>
      <c r="B158" s="2">
        <v>8</v>
      </c>
      <c r="C158" s="17" t="s">
        <v>51</v>
      </c>
      <c r="D158" s="17"/>
      <c r="E158" s="2">
        <v>0.2</v>
      </c>
      <c r="F158" s="50">
        <v>960</v>
      </c>
      <c r="G158" s="50">
        <v>643</v>
      </c>
      <c r="H158" s="25">
        <v>250</v>
      </c>
      <c r="I158" s="25">
        <v>155</v>
      </c>
      <c r="J158" s="25">
        <f t="shared" si="4"/>
        <v>95</v>
      </c>
      <c r="K158" s="25">
        <v>80</v>
      </c>
      <c r="L158" s="59">
        <v>2.7</v>
      </c>
      <c r="M158" s="60">
        <v>86</v>
      </c>
      <c r="N158" s="59" t="s">
        <v>32</v>
      </c>
      <c r="O158" s="61" t="s">
        <v>51</v>
      </c>
      <c r="P158" s="17"/>
      <c r="Q158" s="60"/>
      <c r="R158" s="90" t="s">
        <v>51</v>
      </c>
      <c r="S158" s="101"/>
      <c r="AP158" s="10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</row>
    <row r="159" spans="1:53" ht="18" customHeight="1" x14ac:dyDescent="0.35">
      <c r="A159" s="100" t="s">
        <v>228</v>
      </c>
      <c r="B159" s="2">
        <v>8.1999999999999993</v>
      </c>
      <c r="C159" s="58" t="s">
        <v>51</v>
      </c>
      <c r="D159" s="58"/>
      <c r="E159" s="2">
        <v>0.3</v>
      </c>
      <c r="F159" s="50">
        <v>655</v>
      </c>
      <c r="G159" s="50">
        <v>439</v>
      </c>
      <c r="H159" s="25">
        <v>200</v>
      </c>
      <c r="I159" s="25">
        <v>120</v>
      </c>
      <c r="J159" s="25">
        <f t="shared" si="4"/>
        <v>80</v>
      </c>
      <c r="K159" s="25">
        <v>116</v>
      </c>
      <c r="L159" s="59">
        <v>2.5</v>
      </c>
      <c r="M159" s="60">
        <v>93</v>
      </c>
      <c r="N159" s="59" t="s">
        <v>32</v>
      </c>
      <c r="O159" s="61"/>
      <c r="P159" s="17"/>
      <c r="Q159" s="60"/>
      <c r="R159" s="90"/>
      <c r="S159" s="101"/>
      <c r="AP159" s="10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</row>
    <row r="160" spans="1:53" ht="18" customHeight="1" x14ac:dyDescent="0.35">
      <c r="A160" s="100" t="s">
        <v>229</v>
      </c>
      <c r="B160" s="2">
        <v>8.1</v>
      </c>
      <c r="C160" s="17" t="s">
        <v>51</v>
      </c>
      <c r="D160" s="17"/>
      <c r="E160" s="2" t="s">
        <v>32</v>
      </c>
      <c r="F160" s="50">
        <v>671</v>
      </c>
      <c r="G160" s="50">
        <v>450</v>
      </c>
      <c r="H160" s="25">
        <v>219</v>
      </c>
      <c r="I160" s="25">
        <v>135</v>
      </c>
      <c r="J160" s="25">
        <f t="shared" si="4"/>
        <v>84</v>
      </c>
      <c r="K160" s="25">
        <v>127</v>
      </c>
      <c r="L160" s="59">
        <v>2.2999999999999998</v>
      </c>
      <c r="M160" s="60">
        <v>100</v>
      </c>
      <c r="N160" s="59" t="s">
        <v>32</v>
      </c>
      <c r="O160" s="61"/>
      <c r="P160" s="17"/>
      <c r="Q160" s="60"/>
      <c r="R160" s="90"/>
      <c r="S160" s="101"/>
      <c r="AP160" s="10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</row>
    <row r="161" spans="1:53" ht="18" customHeight="1" x14ac:dyDescent="0.35">
      <c r="A161" s="100" t="s">
        <v>230</v>
      </c>
      <c r="B161" s="2">
        <v>8</v>
      </c>
      <c r="C161" s="58" t="s">
        <v>51</v>
      </c>
      <c r="D161" s="58"/>
      <c r="E161" s="2" t="s">
        <v>32</v>
      </c>
      <c r="F161" s="17">
        <v>644</v>
      </c>
      <c r="G161" s="17">
        <v>432</v>
      </c>
      <c r="H161" s="17">
        <v>227</v>
      </c>
      <c r="I161" s="17">
        <v>140</v>
      </c>
      <c r="J161" s="25">
        <f t="shared" si="4"/>
        <v>87</v>
      </c>
      <c r="K161" s="17">
        <v>110</v>
      </c>
      <c r="L161" s="59">
        <v>2.5</v>
      </c>
      <c r="M161" s="60">
        <v>100</v>
      </c>
      <c r="N161" s="59" t="s">
        <v>32</v>
      </c>
      <c r="O161" s="61"/>
      <c r="P161" s="17"/>
      <c r="Q161" s="60"/>
      <c r="R161" s="90"/>
      <c r="S161" s="101"/>
      <c r="AP161" s="10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</row>
    <row r="162" spans="1:53" ht="18" customHeight="1" x14ac:dyDescent="0.35">
      <c r="A162" s="100" t="s">
        <v>231</v>
      </c>
      <c r="B162" s="2">
        <v>8.1999999999999993</v>
      </c>
      <c r="C162" s="58" t="s">
        <v>51</v>
      </c>
      <c r="D162" s="58"/>
      <c r="E162" s="2" t="s">
        <v>32</v>
      </c>
      <c r="F162" s="50">
        <v>629</v>
      </c>
      <c r="G162" s="50">
        <v>420</v>
      </c>
      <c r="H162" s="25">
        <v>210</v>
      </c>
      <c r="I162" s="25">
        <v>128</v>
      </c>
      <c r="J162" s="25">
        <f t="shared" si="4"/>
        <v>82</v>
      </c>
      <c r="K162" s="25">
        <v>112</v>
      </c>
      <c r="L162" s="59">
        <v>2.6</v>
      </c>
      <c r="M162" s="60">
        <v>110</v>
      </c>
      <c r="N162" s="59" t="s">
        <v>32</v>
      </c>
      <c r="O162" s="61"/>
      <c r="P162" s="17"/>
      <c r="Q162" s="60"/>
      <c r="R162" s="90"/>
      <c r="S162" s="101"/>
      <c r="AP162" s="10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</row>
    <row r="163" spans="1:53" ht="18" customHeight="1" x14ac:dyDescent="0.35">
      <c r="A163" s="100" t="s">
        <v>232</v>
      </c>
      <c r="B163" s="2">
        <v>8.1</v>
      </c>
      <c r="C163" s="58" t="s">
        <v>51</v>
      </c>
      <c r="D163" s="58"/>
      <c r="E163" s="2" t="s">
        <v>32</v>
      </c>
      <c r="F163" s="50">
        <v>604</v>
      </c>
      <c r="G163" s="50">
        <v>405</v>
      </c>
      <c r="H163" s="25">
        <v>225</v>
      </c>
      <c r="I163" s="25">
        <v>139</v>
      </c>
      <c r="J163" s="25">
        <f t="shared" si="4"/>
        <v>86</v>
      </c>
      <c r="K163" s="25">
        <v>96</v>
      </c>
      <c r="L163" s="59">
        <v>2.4</v>
      </c>
      <c r="M163" s="60">
        <v>100</v>
      </c>
      <c r="N163" s="59" t="s">
        <v>32</v>
      </c>
      <c r="O163" s="61"/>
      <c r="P163" s="58"/>
      <c r="Q163" s="60"/>
      <c r="R163" s="90"/>
      <c r="S163" s="101"/>
      <c r="AP163" s="10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</row>
    <row r="164" spans="1:53" ht="18" customHeight="1" x14ac:dyDescent="0.35">
      <c r="A164" s="100" t="s">
        <v>233</v>
      </c>
      <c r="B164" s="2">
        <v>8.25</v>
      </c>
      <c r="C164" s="58" t="s">
        <v>51</v>
      </c>
      <c r="D164" s="58"/>
      <c r="E164" s="2">
        <v>0.5</v>
      </c>
      <c r="F164" s="50">
        <v>701</v>
      </c>
      <c r="G164" s="50">
        <v>470</v>
      </c>
      <c r="H164" s="25">
        <v>215</v>
      </c>
      <c r="I164" s="25">
        <v>133</v>
      </c>
      <c r="J164" s="25">
        <f t="shared" si="4"/>
        <v>82</v>
      </c>
      <c r="K164" s="25">
        <v>99</v>
      </c>
      <c r="L164" s="59">
        <v>2.6</v>
      </c>
      <c r="M164" s="60">
        <v>122</v>
      </c>
      <c r="N164" s="59" t="s">
        <v>32</v>
      </c>
      <c r="O164" s="61"/>
      <c r="P164" s="58"/>
      <c r="Q164" s="60"/>
      <c r="R164" s="90"/>
      <c r="S164" s="101"/>
      <c r="AP164" s="10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</row>
    <row r="165" spans="1:53" ht="18" customHeight="1" x14ac:dyDescent="0.35">
      <c r="A165" s="100" t="s">
        <v>234</v>
      </c>
      <c r="B165" s="2">
        <v>8.3000000000000007</v>
      </c>
      <c r="C165" s="58" t="s">
        <v>51</v>
      </c>
      <c r="D165" s="58"/>
      <c r="E165" s="2" t="s">
        <v>32</v>
      </c>
      <c r="F165" s="50">
        <v>679</v>
      </c>
      <c r="G165" s="50">
        <v>455</v>
      </c>
      <c r="H165" s="25">
        <v>230</v>
      </c>
      <c r="I165" s="25">
        <v>142</v>
      </c>
      <c r="J165" s="25">
        <f t="shared" si="4"/>
        <v>88</v>
      </c>
      <c r="K165" s="25">
        <v>101</v>
      </c>
      <c r="L165" s="59">
        <v>2.4</v>
      </c>
      <c r="M165" s="60">
        <v>100</v>
      </c>
      <c r="N165" s="59">
        <v>3</v>
      </c>
      <c r="O165" s="61"/>
      <c r="P165" s="58"/>
      <c r="Q165" s="60"/>
      <c r="R165" s="90"/>
      <c r="S165" s="101"/>
      <c r="AP165" s="10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</row>
    <row r="166" spans="1:53" ht="18" customHeight="1" x14ac:dyDescent="0.35">
      <c r="A166" s="100" t="s">
        <v>235</v>
      </c>
      <c r="B166" s="2">
        <v>8.4</v>
      </c>
      <c r="C166" s="58" t="s">
        <v>51</v>
      </c>
      <c r="D166" s="58"/>
      <c r="E166" s="2">
        <v>0.3</v>
      </c>
      <c r="F166" s="50">
        <v>628</v>
      </c>
      <c r="G166" s="50">
        <v>421</v>
      </c>
      <c r="H166" s="25">
        <v>195</v>
      </c>
      <c r="I166" s="25">
        <v>120</v>
      </c>
      <c r="J166" s="25">
        <f t="shared" si="4"/>
        <v>75</v>
      </c>
      <c r="K166" s="25">
        <v>110</v>
      </c>
      <c r="L166" s="59">
        <v>2.2000000000000002</v>
      </c>
      <c r="M166" s="60">
        <v>120</v>
      </c>
      <c r="N166" s="59">
        <v>3</v>
      </c>
      <c r="O166" s="61"/>
      <c r="P166" s="58"/>
      <c r="Q166" s="60"/>
      <c r="R166" s="90"/>
      <c r="S166" s="101"/>
      <c r="AP166" s="10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</row>
    <row r="167" spans="1:53" ht="18" customHeight="1" x14ac:dyDescent="0.35">
      <c r="A167" s="100" t="s">
        <v>236</v>
      </c>
      <c r="B167" s="2">
        <v>8.3000000000000007</v>
      </c>
      <c r="C167" s="58" t="s">
        <v>51</v>
      </c>
      <c r="D167" s="58"/>
      <c r="E167" s="2">
        <v>0.3</v>
      </c>
      <c r="F167" s="50">
        <v>619</v>
      </c>
      <c r="G167" s="50">
        <v>415</v>
      </c>
      <c r="H167" s="50">
        <v>190</v>
      </c>
      <c r="I167" s="25">
        <v>113</v>
      </c>
      <c r="J167" s="25">
        <f t="shared" si="4"/>
        <v>77</v>
      </c>
      <c r="K167" s="25">
        <v>104</v>
      </c>
      <c r="L167" s="59">
        <v>2.5</v>
      </c>
      <c r="M167" s="60">
        <v>116</v>
      </c>
      <c r="N167" s="59">
        <v>2</v>
      </c>
      <c r="O167" s="61"/>
      <c r="P167" s="58"/>
      <c r="Q167" s="60"/>
      <c r="R167" s="90"/>
      <c r="S167" s="101"/>
      <c r="AP167" s="10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</row>
    <row r="168" spans="1:53" ht="18" customHeight="1" x14ac:dyDescent="0.35">
      <c r="A168" s="100" t="s">
        <v>237</v>
      </c>
      <c r="B168" s="2">
        <v>8.4</v>
      </c>
      <c r="C168" s="58" t="s">
        <v>51</v>
      </c>
      <c r="D168" s="58"/>
      <c r="E168" s="2">
        <v>0.1</v>
      </c>
      <c r="F168" s="50">
        <v>661</v>
      </c>
      <c r="G168" s="50">
        <v>443</v>
      </c>
      <c r="H168" s="25">
        <v>198</v>
      </c>
      <c r="I168" s="25">
        <v>121</v>
      </c>
      <c r="J168" s="25">
        <f t="shared" si="4"/>
        <v>77</v>
      </c>
      <c r="K168" s="25">
        <v>109</v>
      </c>
      <c r="L168" s="59">
        <v>2.5</v>
      </c>
      <c r="M168" s="60">
        <v>110</v>
      </c>
      <c r="N168" s="59">
        <v>2</v>
      </c>
      <c r="O168" s="61"/>
      <c r="P168" s="58"/>
      <c r="Q168" s="60"/>
      <c r="R168" s="90"/>
      <c r="S168" s="101"/>
      <c r="AP168" s="10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</row>
    <row r="169" spans="1:53" ht="18" customHeight="1" x14ac:dyDescent="0.35">
      <c r="A169" s="100" t="s">
        <v>238</v>
      </c>
      <c r="B169" s="2">
        <v>8.3000000000000007</v>
      </c>
      <c r="C169" s="58" t="s">
        <v>51</v>
      </c>
      <c r="D169" s="58"/>
      <c r="E169" s="2" t="s">
        <v>32</v>
      </c>
      <c r="F169" s="50">
        <v>619</v>
      </c>
      <c r="G169" s="50">
        <v>415</v>
      </c>
      <c r="H169" s="25">
        <v>213</v>
      </c>
      <c r="I169" s="25">
        <v>132</v>
      </c>
      <c r="J169" s="25">
        <f t="shared" si="4"/>
        <v>81</v>
      </c>
      <c r="K169" s="25">
        <v>117</v>
      </c>
      <c r="L169" s="59">
        <v>2.7</v>
      </c>
      <c r="M169" s="60">
        <v>100</v>
      </c>
      <c r="N169" s="59" t="s">
        <v>32</v>
      </c>
      <c r="O169" s="61"/>
      <c r="P169" s="58"/>
      <c r="Q169" s="60"/>
      <c r="R169" s="90"/>
      <c r="S169" s="101"/>
      <c r="AP169" s="10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</row>
    <row r="170" spans="1:53" ht="18" customHeight="1" x14ac:dyDescent="0.35">
      <c r="A170" s="100" t="s">
        <v>239</v>
      </c>
      <c r="B170" s="2">
        <v>8.4</v>
      </c>
      <c r="C170" s="58" t="s">
        <v>51</v>
      </c>
      <c r="D170" s="58"/>
      <c r="E170" s="2">
        <v>0.1</v>
      </c>
      <c r="F170" s="50">
        <v>639</v>
      </c>
      <c r="G170" s="50">
        <v>428</v>
      </c>
      <c r="H170" s="25">
        <v>205</v>
      </c>
      <c r="I170" s="25">
        <v>127</v>
      </c>
      <c r="J170" s="25">
        <f t="shared" si="4"/>
        <v>78</v>
      </c>
      <c r="K170" s="25">
        <v>102</v>
      </c>
      <c r="L170" s="59">
        <v>2.4</v>
      </c>
      <c r="M170" s="60">
        <v>107</v>
      </c>
      <c r="N170" s="59">
        <v>3</v>
      </c>
      <c r="O170" s="61"/>
      <c r="P170" s="58"/>
      <c r="Q170" s="60"/>
      <c r="R170" s="90"/>
      <c r="S170" s="101"/>
      <c r="AP170" s="10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</row>
    <row r="171" spans="1:53" ht="18" customHeight="1" x14ac:dyDescent="0.35">
      <c r="A171" s="100" t="s">
        <v>240</v>
      </c>
      <c r="B171" s="2">
        <v>8.4</v>
      </c>
      <c r="C171" s="58" t="s">
        <v>51</v>
      </c>
      <c r="D171" s="58"/>
      <c r="E171" s="2" t="s">
        <v>32</v>
      </c>
      <c r="F171" s="50">
        <v>650</v>
      </c>
      <c r="G171" s="50">
        <v>436</v>
      </c>
      <c r="H171" s="25">
        <v>219</v>
      </c>
      <c r="I171" s="25">
        <v>135</v>
      </c>
      <c r="J171" s="25">
        <f t="shared" si="4"/>
        <v>84</v>
      </c>
      <c r="K171" s="25">
        <v>110</v>
      </c>
      <c r="L171" s="59">
        <v>2.4</v>
      </c>
      <c r="M171" s="60">
        <v>119</v>
      </c>
      <c r="N171" s="59">
        <v>2</v>
      </c>
      <c r="O171" s="61"/>
      <c r="P171" s="58"/>
      <c r="Q171" s="60"/>
      <c r="R171" s="90"/>
      <c r="S171" s="101"/>
      <c r="AP171" s="10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</row>
    <row r="172" spans="1:53" ht="18" customHeight="1" x14ac:dyDescent="0.35">
      <c r="A172" s="100" t="s">
        <v>241</v>
      </c>
      <c r="B172" s="2">
        <v>8.1999999999999993</v>
      </c>
      <c r="C172" s="25" t="s">
        <v>51</v>
      </c>
      <c r="D172" s="25"/>
      <c r="E172" s="2">
        <v>0.2</v>
      </c>
      <c r="F172" s="25">
        <v>635</v>
      </c>
      <c r="G172" s="25">
        <v>421</v>
      </c>
      <c r="H172" s="25">
        <v>200</v>
      </c>
      <c r="I172" s="25">
        <v>122</v>
      </c>
      <c r="J172" s="25">
        <f t="shared" si="4"/>
        <v>78</v>
      </c>
      <c r="K172" s="25">
        <v>107</v>
      </c>
      <c r="L172" s="25">
        <v>2.6</v>
      </c>
      <c r="M172" s="60">
        <v>120</v>
      </c>
      <c r="N172" s="59" t="s">
        <v>32</v>
      </c>
      <c r="O172" s="61"/>
      <c r="P172" s="58"/>
      <c r="Q172" s="60"/>
      <c r="R172" s="90"/>
      <c r="S172" s="101"/>
      <c r="AP172" s="10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</row>
    <row r="173" spans="1:53" ht="18" customHeight="1" x14ac:dyDescent="0.35">
      <c r="A173" s="100" t="s">
        <v>242</v>
      </c>
      <c r="B173" s="2">
        <v>8.3800000000000008</v>
      </c>
      <c r="C173" s="25" t="s">
        <v>51</v>
      </c>
      <c r="D173" s="25"/>
      <c r="E173" s="2">
        <v>0.2</v>
      </c>
      <c r="F173" s="25">
        <v>652</v>
      </c>
      <c r="G173" s="25">
        <v>437</v>
      </c>
      <c r="H173" s="25">
        <v>209</v>
      </c>
      <c r="I173" s="25">
        <v>129</v>
      </c>
      <c r="J173" s="25">
        <f t="shared" si="4"/>
        <v>80</v>
      </c>
      <c r="K173" s="25">
        <v>100</v>
      </c>
      <c r="L173" s="2">
        <v>2.5</v>
      </c>
      <c r="M173" s="60">
        <v>132</v>
      </c>
      <c r="N173" s="59">
        <v>3</v>
      </c>
      <c r="O173" s="61"/>
      <c r="P173" s="58"/>
      <c r="Q173" s="60"/>
      <c r="R173" s="90"/>
      <c r="S173" s="101"/>
      <c r="AP173" s="10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</row>
    <row r="174" spans="1:53" ht="18" customHeight="1" x14ac:dyDescent="0.35">
      <c r="A174" s="100" t="s">
        <v>243</v>
      </c>
      <c r="B174" s="2">
        <v>8.3000000000000007</v>
      </c>
      <c r="C174" s="25" t="s">
        <v>51</v>
      </c>
      <c r="D174" s="25"/>
      <c r="E174" s="2">
        <v>0.1</v>
      </c>
      <c r="F174" s="25">
        <v>700</v>
      </c>
      <c r="G174" s="25">
        <v>469</v>
      </c>
      <c r="H174" s="25">
        <v>200</v>
      </c>
      <c r="I174" s="25">
        <v>124</v>
      </c>
      <c r="J174" s="25">
        <f t="shared" si="4"/>
        <v>76</v>
      </c>
      <c r="K174" s="25">
        <v>106</v>
      </c>
      <c r="L174" s="25">
        <v>2.2999999999999998</v>
      </c>
      <c r="M174" s="60">
        <v>110</v>
      </c>
      <c r="N174" s="59">
        <v>2</v>
      </c>
      <c r="O174" s="61"/>
      <c r="P174" s="58"/>
      <c r="Q174" s="60"/>
      <c r="R174" s="90"/>
      <c r="S174" s="101"/>
      <c r="AP174" s="10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</row>
    <row r="175" spans="1:53" ht="18" customHeight="1" x14ac:dyDescent="0.35">
      <c r="A175" s="100" t="s">
        <v>244</v>
      </c>
      <c r="B175" s="2">
        <v>8.1999999999999993</v>
      </c>
      <c r="C175" s="25" t="s">
        <v>51</v>
      </c>
      <c r="D175" s="25"/>
      <c r="E175" s="2" t="s">
        <v>32</v>
      </c>
      <c r="F175" s="25">
        <v>716</v>
      </c>
      <c r="G175" s="25">
        <v>480</v>
      </c>
      <c r="H175" s="25">
        <v>204</v>
      </c>
      <c r="I175" s="25">
        <v>126</v>
      </c>
      <c r="J175" s="25">
        <f t="shared" si="4"/>
        <v>78</v>
      </c>
      <c r="K175" s="25">
        <v>118</v>
      </c>
      <c r="L175" s="25">
        <v>2.2999999999999998</v>
      </c>
      <c r="M175" s="60">
        <v>125</v>
      </c>
      <c r="N175" s="59" t="s">
        <v>32</v>
      </c>
      <c r="O175" s="61"/>
      <c r="P175" s="58"/>
      <c r="Q175" s="60"/>
      <c r="R175" s="90"/>
      <c r="S175" s="101"/>
      <c r="AP175" s="10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</row>
    <row r="176" spans="1:53" ht="18" customHeight="1" x14ac:dyDescent="0.35">
      <c r="A176" s="100" t="s">
        <v>245</v>
      </c>
      <c r="B176" s="2">
        <v>8.3699999999999992</v>
      </c>
      <c r="C176" s="25" t="s">
        <v>51</v>
      </c>
      <c r="D176" s="25"/>
      <c r="E176" s="2">
        <v>0.2</v>
      </c>
      <c r="F176" s="25">
        <v>722</v>
      </c>
      <c r="G176" s="25">
        <v>484</v>
      </c>
      <c r="H176" s="25">
        <v>210</v>
      </c>
      <c r="I176" s="25">
        <v>126</v>
      </c>
      <c r="J176" s="25">
        <f t="shared" si="4"/>
        <v>84</v>
      </c>
      <c r="K176" s="25">
        <v>110</v>
      </c>
      <c r="L176" s="25">
        <v>2.5</v>
      </c>
      <c r="M176" s="25">
        <v>129</v>
      </c>
      <c r="N176" s="59">
        <v>3</v>
      </c>
      <c r="O176" s="61"/>
      <c r="P176" s="58"/>
      <c r="Q176" s="60"/>
      <c r="R176" s="90"/>
      <c r="S176" s="101"/>
      <c r="AP176" s="10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</row>
    <row r="177" spans="1:53" ht="18" customHeight="1" x14ac:dyDescent="0.35">
      <c r="A177" s="70" t="s">
        <v>246</v>
      </c>
      <c r="B177" s="2">
        <v>8.4</v>
      </c>
      <c r="C177" s="25" t="s">
        <v>51</v>
      </c>
      <c r="D177" s="25"/>
      <c r="E177" s="2">
        <v>0.3</v>
      </c>
      <c r="F177" s="25">
        <v>698</v>
      </c>
      <c r="G177" s="25">
        <v>480</v>
      </c>
      <c r="H177" s="25">
        <v>205</v>
      </c>
      <c r="I177" s="25">
        <v>123</v>
      </c>
      <c r="J177" s="25">
        <f t="shared" si="4"/>
        <v>82</v>
      </c>
      <c r="K177" s="25">
        <v>106</v>
      </c>
      <c r="L177" s="25">
        <v>2.9</v>
      </c>
      <c r="M177" s="25">
        <v>100</v>
      </c>
      <c r="N177" s="59">
        <v>3</v>
      </c>
      <c r="O177" s="61"/>
      <c r="P177" s="25"/>
      <c r="Q177" s="60"/>
      <c r="R177" s="91"/>
      <c r="S177" s="101"/>
      <c r="AP177" s="10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</row>
    <row r="178" spans="1:53" ht="18" customHeight="1" thickBot="1" x14ac:dyDescent="0.4">
      <c r="A178" s="111" t="s">
        <v>247</v>
      </c>
      <c r="B178" s="2">
        <v>8.15</v>
      </c>
      <c r="C178" s="25" t="s">
        <v>51</v>
      </c>
      <c r="D178" s="25"/>
      <c r="E178" s="2">
        <v>0.1</v>
      </c>
      <c r="F178" s="25">
        <v>696</v>
      </c>
      <c r="G178" s="25">
        <v>479</v>
      </c>
      <c r="H178" s="25">
        <v>200</v>
      </c>
      <c r="I178" s="25">
        <v>120</v>
      </c>
      <c r="J178" s="25">
        <f t="shared" si="4"/>
        <v>80</v>
      </c>
      <c r="K178" s="25">
        <v>104</v>
      </c>
      <c r="L178" s="25">
        <v>2.7</v>
      </c>
      <c r="M178" s="25">
        <v>95</v>
      </c>
      <c r="N178" s="59" t="s">
        <v>32</v>
      </c>
      <c r="O178" s="61"/>
      <c r="P178" s="25"/>
      <c r="Q178" s="60"/>
      <c r="R178" s="91"/>
      <c r="S178" s="101"/>
      <c r="AP178" s="10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</row>
    <row r="179" spans="1:53" ht="18" customHeight="1" x14ac:dyDescent="0.35">
      <c r="A179" s="110" t="s">
        <v>274</v>
      </c>
      <c r="B179" s="1">
        <v>8.1</v>
      </c>
      <c r="C179" s="12" t="s">
        <v>51</v>
      </c>
      <c r="D179" s="12"/>
      <c r="E179" s="1" t="s">
        <v>32</v>
      </c>
      <c r="F179" s="85">
        <v>80</v>
      </c>
      <c r="G179" s="85">
        <v>54</v>
      </c>
      <c r="H179" s="76">
        <v>3</v>
      </c>
      <c r="I179" s="76">
        <v>2</v>
      </c>
      <c r="J179" s="25">
        <f t="shared" si="4"/>
        <v>1</v>
      </c>
      <c r="K179" s="76">
        <v>4</v>
      </c>
      <c r="L179" s="87" t="s">
        <v>51</v>
      </c>
      <c r="M179" s="88">
        <v>50</v>
      </c>
      <c r="N179" s="59" t="s">
        <v>51</v>
      </c>
      <c r="O179" s="57" t="s">
        <v>51</v>
      </c>
      <c r="P179" s="17"/>
      <c r="Q179" s="60"/>
      <c r="R179" s="90" t="s">
        <v>51</v>
      </c>
      <c r="S179" s="101"/>
      <c r="AP179" s="10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</row>
    <row r="180" spans="1:53" ht="18" customHeight="1" x14ac:dyDescent="0.35">
      <c r="A180" s="100" t="s">
        <v>275</v>
      </c>
      <c r="B180" s="2">
        <v>8.1</v>
      </c>
      <c r="C180" s="58" t="s">
        <v>51</v>
      </c>
      <c r="D180" s="58"/>
      <c r="E180" s="2">
        <v>0.2</v>
      </c>
      <c r="F180" s="50">
        <v>704</v>
      </c>
      <c r="G180" s="25">
        <v>472</v>
      </c>
      <c r="H180" s="25">
        <v>215</v>
      </c>
      <c r="I180" s="25">
        <v>133</v>
      </c>
      <c r="J180" s="25">
        <f t="shared" si="4"/>
        <v>82</v>
      </c>
      <c r="K180" s="25">
        <v>109</v>
      </c>
      <c r="L180" s="59">
        <v>2.9</v>
      </c>
      <c r="M180" s="60">
        <v>103</v>
      </c>
      <c r="N180" s="59" t="s">
        <v>32</v>
      </c>
      <c r="O180" s="57" t="s">
        <v>51</v>
      </c>
      <c r="P180" s="17"/>
      <c r="Q180" s="60"/>
      <c r="R180" s="90" t="s">
        <v>51</v>
      </c>
      <c r="S180" s="101"/>
      <c r="AP180" s="10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</row>
    <row r="181" spans="1:53" ht="18" customHeight="1" x14ac:dyDescent="0.35">
      <c r="A181" s="100" t="s">
        <v>276</v>
      </c>
      <c r="B181" s="2">
        <v>8</v>
      </c>
      <c r="C181" s="58" t="s">
        <v>51</v>
      </c>
      <c r="D181" s="58"/>
      <c r="E181" s="2">
        <v>0.3</v>
      </c>
      <c r="F181" s="50">
        <v>716</v>
      </c>
      <c r="G181" s="50">
        <v>480</v>
      </c>
      <c r="H181" s="25">
        <v>220</v>
      </c>
      <c r="I181" s="25">
        <v>146</v>
      </c>
      <c r="J181" s="25">
        <f t="shared" si="4"/>
        <v>74</v>
      </c>
      <c r="K181" s="25">
        <v>110</v>
      </c>
      <c r="L181" s="59">
        <v>2.8</v>
      </c>
      <c r="M181" s="60">
        <v>100</v>
      </c>
      <c r="N181" s="59" t="s">
        <v>32</v>
      </c>
      <c r="O181" s="61" t="s">
        <v>51</v>
      </c>
      <c r="P181" s="58"/>
      <c r="Q181" s="60"/>
      <c r="R181" s="90" t="s">
        <v>51</v>
      </c>
      <c r="S181" s="101"/>
      <c r="AP181" s="10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</row>
    <row r="182" spans="1:53" ht="18" customHeight="1" x14ac:dyDescent="0.35">
      <c r="A182" s="100" t="s">
        <v>277</v>
      </c>
      <c r="B182" s="2">
        <v>8</v>
      </c>
      <c r="C182" s="17" t="s">
        <v>51</v>
      </c>
      <c r="D182" s="17"/>
      <c r="E182" s="2">
        <v>0.2</v>
      </c>
      <c r="F182" s="50">
        <v>742</v>
      </c>
      <c r="G182" s="50">
        <v>497</v>
      </c>
      <c r="H182" s="25">
        <v>220</v>
      </c>
      <c r="I182" s="25">
        <v>134</v>
      </c>
      <c r="J182" s="25">
        <f t="shared" si="4"/>
        <v>86</v>
      </c>
      <c r="K182" s="25">
        <v>112</v>
      </c>
      <c r="L182" s="59">
        <v>2.7</v>
      </c>
      <c r="M182" s="60">
        <v>95</v>
      </c>
      <c r="N182" s="59" t="s">
        <v>32</v>
      </c>
      <c r="O182" s="61" t="s">
        <v>51</v>
      </c>
      <c r="P182" s="58"/>
      <c r="Q182" s="60"/>
      <c r="R182" s="90" t="s">
        <v>51</v>
      </c>
      <c r="S182" s="101"/>
      <c r="AP182" s="10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</row>
    <row r="183" spans="1:53" ht="18" customHeight="1" x14ac:dyDescent="0.35">
      <c r="A183" s="100" t="s">
        <v>278</v>
      </c>
      <c r="B183" s="2">
        <v>8.1999999999999993</v>
      </c>
      <c r="C183" s="17" t="s">
        <v>51</v>
      </c>
      <c r="D183" s="17"/>
      <c r="E183" s="2">
        <v>0.1</v>
      </c>
      <c r="F183" s="50">
        <v>783</v>
      </c>
      <c r="G183" s="50">
        <v>525</v>
      </c>
      <c r="H183" s="25">
        <v>232</v>
      </c>
      <c r="I183" s="25">
        <v>143</v>
      </c>
      <c r="J183" s="25">
        <f t="shared" si="4"/>
        <v>89</v>
      </c>
      <c r="K183" s="25">
        <v>109</v>
      </c>
      <c r="L183" s="59">
        <v>2.5</v>
      </c>
      <c r="M183" s="60">
        <v>104</v>
      </c>
      <c r="N183" s="59">
        <v>2</v>
      </c>
      <c r="O183" s="61" t="s">
        <v>51</v>
      </c>
      <c r="P183" s="17"/>
      <c r="Q183" s="60"/>
      <c r="R183" s="90" t="s">
        <v>51</v>
      </c>
      <c r="S183" s="101"/>
      <c r="AP183" s="10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</row>
    <row r="184" spans="1:53" ht="18" customHeight="1" x14ac:dyDescent="0.35">
      <c r="A184" s="100" t="s">
        <v>279</v>
      </c>
      <c r="B184" s="2">
        <v>8</v>
      </c>
      <c r="C184" s="58" t="s">
        <v>51</v>
      </c>
      <c r="D184" s="58"/>
      <c r="E184" s="2">
        <v>0.1</v>
      </c>
      <c r="F184" s="50">
        <v>794</v>
      </c>
      <c r="G184" s="50">
        <v>532</v>
      </c>
      <c r="H184" s="25">
        <v>200</v>
      </c>
      <c r="I184" s="25">
        <v>120</v>
      </c>
      <c r="J184" s="25">
        <f t="shared" si="4"/>
        <v>80</v>
      </c>
      <c r="K184" s="25">
        <v>120</v>
      </c>
      <c r="L184" s="59">
        <v>2.4</v>
      </c>
      <c r="M184" s="60">
        <v>90</v>
      </c>
      <c r="N184" s="59" t="s">
        <v>182</v>
      </c>
      <c r="O184" s="61" t="s">
        <v>51</v>
      </c>
      <c r="P184" s="17"/>
      <c r="Q184" s="60"/>
      <c r="R184" s="90" t="s">
        <v>51</v>
      </c>
      <c r="S184" s="101"/>
      <c r="AP184" s="10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</row>
    <row r="185" spans="1:53" ht="18" customHeight="1" x14ac:dyDescent="0.35">
      <c r="A185" s="100" t="s">
        <v>280</v>
      </c>
      <c r="B185" s="2">
        <v>7.9</v>
      </c>
      <c r="C185" s="17" t="s">
        <v>51</v>
      </c>
      <c r="D185" s="17"/>
      <c r="E185" s="2">
        <v>0.2</v>
      </c>
      <c r="F185" s="50">
        <v>768</v>
      </c>
      <c r="G185" s="50">
        <v>515</v>
      </c>
      <c r="H185" s="25">
        <v>210</v>
      </c>
      <c r="I185" s="25">
        <v>130</v>
      </c>
      <c r="J185" s="25">
        <f t="shared" si="4"/>
        <v>80</v>
      </c>
      <c r="K185" s="25">
        <v>109</v>
      </c>
      <c r="L185" s="59">
        <v>2.4</v>
      </c>
      <c r="M185" s="60">
        <v>82</v>
      </c>
      <c r="N185" s="59" t="s">
        <v>32</v>
      </c>
      <c r="O185" s="61" t="s">
        <v>51</v>
      </c>
      <c r="P185" s="17"/>
      <c r="Q185" s="60"/>
      <c r="R185" s="90" t="s">
        <v>51</v>
      </c>
      <c r="S185" s="101"/>
      <c r="AP185" s="10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</row>
    <row r="186" spans="1:53" ht="18" customHeight="1" x14ac:dyDescent="0.35">
      <c r="A186" s="100" t="s">
        <v>281</v>
      </c>
      <c r="B186" s="2">
        <v>8.1999999999999993</v>
      </c>
      <c r="C186" s="58" t="s">
        <v>51</v>
      </c>
      <c r="D186" s="58"/>
      <c r="E186" s="2">
        <v>0.2</v>
      </c>
      <c r="F186" s="17">
        <v>782</v>
      </c>
      <c r="G186" s="17">
        <v>524</v>
      </c>
      <c r="H186" s="17">
        <v>207</v>
      </c>
      <c r="I186" s="17">
        <v>128</v>
      </c>
      <c r="J186" s="25">
        <f t="shared" si="4"/>
        <v>79</v>
      </c>
      <c r="K186" s="17">
        <v>119</v>
      </c>
      <c r="L186" s="59">
        <v>2.5</v>
      </c>
      <c r="M186" s="60">
        <v>90</v>
      </c>
      <c r="N186" s="59" t="s">
        <v>32</v>
      </c>
      <c r="O186" s="61" t="s">
        <v>51</v>
      </c>
      <c r="P186" s="17"/>
      <c r="Q186" s="60"/>
      <c r="R186" s="90" t="s">
        <v>51</v>
      </c>
      <c r="S186" s="101"/>
      <c r="AP186" s="10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</row>
    <row r="187" spans="1:53" ht="18" customHeight="1" x14ac:dyDescent="0.35">
      <c r="A187" s="100" t="s">
        <v>282</v>
      </c>
      <c r="B187" s="2">
        <v>8.1999999999999993</v>
      </c>
      <c r="C187" s="58" t="s">
        <v>51</v>
      </c>
      <c r="D187" s="58"/>
      <c r="E187" s="2">
        <v>0.1</v>
      </c>
      <c r="F187" s="50">
        <v>837</v>
      </c>
      <c r="G187" s="50">
        <v>561</v>
      </c>
      <c r="H187" s="25">
        <v>221</v>
      </c>
      <c r="I187" s="25">
        <v>137</v>
      </c>
      <c r="J187" s="25">
        <f t="shared" si="4"/>
        <v>84</v>
      </c>
      <c r="K187" s="25">
        <v>112</v>
      </c>
      <c r="L187" s="59">
        <v>2.2999999999999998</v>
      </c>
      <c r="M187" s="60">
        <v>131</v>
      </c>
      <c r="N187" s="59" t="s">
        <v>32</v>
      </c>
      <c r="O187" s="61" t="s">
        <v>51</v>
      </c>
      <c r="P187" s="17"/>
      <c r="Q187" s="60"/>
      <c r="R187" s="90" t="s">
        <v>51</v>
      </c>
      <c r="S187" s="101"/>
      <c r="AP187" s="10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</row>
    <row r="188" spans="1:53" ht="18" customHeight="1" x14ac:dyDescent="0.35">
      <c r="A188" s="100" t="s">
        <v>283</v>
      </c>
      <c r="B188" s="2">
        <v>8.1999999999999993</v>
      </c>
      <c r="C188" s="58" t="s">
        <v>51</v>
      </c>
      <c r="D188" s="58"/>
      <c r="E188" s="2">
        <v>0.1</v>
      </c>
      <c r="F188" s="50">
        <v>859</v>
      </c>
      <c r="G188" s="50">
        <v>576</v>
      </c>
      <c r="H188" s="25">
        <v>214</v>
      </c>
      <c r="I188" s="25">
        <v>132</v>
      </c>
      <c r="J188" s="25">
        <f t="shared" si="4"/>
        <v>82</v>
      </c>
      <c r="K188" s="25">
        <v>107</v>
      </c>
      <c r="L188" s="59">
        <v>2.2999999999999998</v>
      </c>
      <c r="M188" s="60">
        <v>92</v>
      </c>
      <c r="N188" s="59" t="s">
        <v>32</v>
      </c>
      <c r="O188" s="61" t="s">
        <v>51</v>
      </c>
      <c r="P188" s="58"/>
      <c r="Q188" s="60"/>
      <c r="R188" s="90" t="s">
        <v>51</v>
      </c>
      <c r="S188" s="101"/>
      <c r="AP188" s="10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</row>
    <row r="189" spans="1:53" ht="18" customHeight="1" x14ac:dyDescent="0.35">
      <c r="A189" s="100" t="s">
        <v>284</v>
      </c>
      <c r="B189" s="2">
        <v>8.1999999999999993</v>
      </c>
      <c r="C189" s="58" t="s">
        <v>51</v>
      </c>
      <c r="D189" s="58"/>
      <c r="E189" s="2">
        <v>0.2</v>
      </c>
      <c r="F189" s="50">
        <v>822</v>
      </c>
      <c r="G189" s="50">
        <v>551</v>
      </c>
      <c r="H189" s="25">
        <v>200</v>
      </c>
      <c r="I189" s="25">
        <v>124</v>
      </c>
      <c r="J189" s="25">
        <f t="shared" si="4"/>
        <v>76</v>
      </c>
      <c r="K189" s="25">
        <v>102</v>
      </c>
      <c r="L189" s="59">
        <v>2.5</v>
      </c>
      <c r="M189" s="60">
        <v>100</v>
      </c>
      <c r="N189" s="59" t="s">
        <v>32</v>
      </c>
      <c r="O189" s="61" t="s">
        <v>51</v>
      </c>
      <c r="P189" s="58"/>
      <c r="Q189" s="60"/>
      <c r="R189" s="90" t="s">
        <v>51</v>
      </c>
      <c r="S189" s="101"/>
      <c r="AP189" s="10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</row>
    <row r="190" spans="1:53" ht="18" customHeight="1" x14ac:dyDescent="0.35">
      <c r="A190" s="100" t="s">
        <v>285</v>
      </c>
      <c r="B190" s="2">
        <v>8.1999999999999993</v>
      </c>
      <c r="C190" s="58" t="s">
        <v>51</v>
      </c>
      <c r="D190" s="58"/>
      <c r="E190" s="2" t="s">
        <v>32</v>
      </c>
      <c r="F190" s="50">
        <v>822</v>
      </c>
      <c r="G190" s="50">
        <v>551</v>
      </c>
      <c r="H190" s="25">
        <v>207</v>
      </c>
      <c r="I190" s="25">
        <v>128</v>
      </c>
      <c r="J190" s="25">
        <f t="shared" si="4"/>
        <v>79</v>
      </c>
      <c r="K190" s="25">
        <v>97</v>
      </c>
      <c r="L190" s="59">
        <v>2.2999999999999998</v>
      </c>
      <c r="M190" s="60">
        <v>105</v>
      </c>
      <c r="N190" s="59" t="s">
        <v>32</v>
      </c>
      <c r="O190" s="61" t="s">
        <v>51</v>
      </c>
      <c r="P190" s="58"/>
      <c r="Q190" s="60"/>
      <c r="R190" s="90" t="s">
        <v>51</v>
      </c>
      <c r="S190" s="101"/>
      <c r="AP190" s="10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</row>
    <row r="191" spans="1:53" ht="18" customHeight="1" x14ac:dyDescent="0.35">
      <c r="A191" s="100" t="s">
        <v>286</v>
      </c>
      <c r="B191" s="2">
        <v>8.1</v>
      </c>
      <c r="C191" s="58" t="s">
        <v>51</v>
      </c>
      <c r="D191" s="58"/>
      <c r="E191" s="2">
        <v>0.1</v>
      </c>
      <c r="F191" s="50">
        <v>838</v>
      </c>
      <c r="G191" s="50">
        <v>562</v>
      </c>
      <c r="H191" s="25">
        <v>195</v>
      </c>
      <c r="I191" s="25">
        <v>120</v>
      </c>
      <c r="J191" s="25">
        <f t="shared" si="4"/>
        <v>75</v>
      </c>
      <c r="K191" s="25">
        <v>94</v>
      </c>
      <c r="L191" s="59">
        <v>2.2999999999999998</v>
      </c>
      <c r="M191" s="60">
        <v>100</v>
      </c>
      <c r="N191" s="59" t="s">
        <v>32</v>
      </c>
      <c r="O191" s="61" t="s">
        <v>51</v>
      </c>
      <c r="P191" s="58"/>
      <c r="Q191" s="60"/>
      <c r="R191" s="90" t="s">
        <v>51</v>
      </c>
      <c r="S191" s="101"/>
      <c r="AP191" s="10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</row>
    <row r="192" spans="1:53" ht="18" customHeight="1" x14ac:dyDescent="0.35">
      <c r="A192" s="100" t="s">
        <v>287</v>
      </c>
      <c r="B192" s="2">
        <v>8.1</v>
      </c>
      <c r="C192" s="58" t="s">
        <v>51</v>
      </c>
      <c r="D192" s="58"/>
      <c r="E192" s="2">
        <v>0.2</v>
      </c>
      <c r="F192" s="50">
        <v>862</v>
      </c>
      <c r="G192" s="50">
        <v>578</v>
      </c>
      <c r="H192" s="50">
        <v>203</v>
      </c>
      <c r="I192" s="25">
        <v>124</v>
      </c>
      <c r="J192" s="25">
        <f t="shared" si="4"/>
        <v>79</v>
      </c>
      <c r="K192" s="25">
        <v>90</v>
      </c>
      <c r="L192" s="59">
        <v>2.5</v>
      </c>
      <c r="M192" s="60">
        <v>100</v>
      </c>
      <c r="N192" s="59" t="s">
        <v>32</v>
      </c>
      <c r="O192" s="61" t="s">
        <v>51</v>
      </c>
      <c r="P192" s="58"/>
      <c r="Q192" s="60"/>
      <c r="R192" s="90" t="s">
        <v>51</v>
      </c>
      <c r="S192" s="101"/>
      <c r="AP192" s="10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</row>
    <row r="193" spans="1:53" ht="18" customHeight="1" x14ac:dyDescent="0.35">
      <c r="A193" s="100" t="s">
        <v>288</v>
      </c>
      <c r="B193" s="2">
        <v>8.1999999999999993</v>
      </c>
      <c r="C193" s="58" t="s">
        <v>51</v>
      </c>
      <c r="D193" s="58"/>
      <c r="E193" s="2" t="s">
        <v>32</v>
      </c>
      <c r="F193" s="50">
        <v>952</v>
      </c>
      <c r="G193" s="50">
        <v>638</v>
      </c>
      <c r="H193" s="25">
        <v>205</v>
      </c>
      <c r="I193" s="25">
        <v>127</v>
      </c>
      <c r="J193" s="25">
        <f t="shared" si="4"/>
        <v>78</v>
      </c>
      <c r="K193" s="25">
        <v>115</v>
      </c>
      <c r="L193" s="59">
        <v>2.2000000000000002</v>
      </c>
      <c r="M193" s="60">
        <v>95</v>
      </c>
      <c r="N193" s="59" t="s">
        <v>32</v>
      </c>
      <c r="O193" s="61" t="s">
        <v>51</v>
      </c>
      <c r="P193" s="58"/>
      <c r="Q193" s="60"/>
      <c r="R193" s="90" t="s">
        <v>51</v>
      </c>
      <c r="S193" s="101"/>
      <c r="AP193" s="10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</row>
    <row r="194" spans="1:53" ht="18" customHeight="1" x14ac:dyDescent="0.35">
      <c r="A194" s="100" t="s">
        <v>289</v>
      </c>
      <c r="B194" s="2">
        <v>8.25</v>
      </c>
      <c r="C194" s="58" t="s">
        <v>51</v>
      </c>
      <c r="D194" s="58"/>
      <c r="E194" s="2" t="s">
        <v>32</v>
      </c>
      <c r="F194" s="50">
        <v>910</v>
      </c>
      <c r="G194" s="50">
        <v>610</v>
      </c>
      <c r="H194" s="25">
        <v>213</v>
      </c>
      <c r="I194" s="25">
        <v>132</v>
      </c>
      <c r="J194" s="25">
        <f t="shared" si="4"/>
        <v>81</v>
      </c>
      <c r="K194" s="25">
        <v>109</v>
      </c>
      <c r="L194" s="59">
        <v>2.4</v>
      </c>
      <c r="M194" s="60">
        <v>98</v>
      </c>
      <c r="N194" s="59">
        <v>2</v>
      </c>
      <c r="O194" s="61" t="s">
        <v>51</v>
      </c>
      <c r="P194" s="58"/>
      <c r="Q194" s="60"/>
      <c r="R194" s="90" t="s">
        <v>51</v>
      </c>
      <c r="S194" s="101"/>
      <c r="AP194" s="10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</row>
    <row r="195" spans="1:53" ht="18" customHeight="1" x14ac:dyDescent="0.35">
      <c r="A195" s="100" t="s">
        <v>290</v>
      </c>
      <c r="B195" s="2">
        <v>8.1999999999999993</v>
      </c>
      <c r="C195" s="58" t="s">
        <v>51</v>
      </c>
      <c r="D195" s="58"/>
      <c r="E195" s="2" t="s">
        <v>32</v>
      </c>
      <c r="F195" s="50">
        <v>1026</v>
      </c>
      <c r="G195" s="50">
        <v>688</v>
      </c>
      <c r="H195" s="25">
        <v>218</v>
      </c>
      <c r="I195" s="25">
        <v>139</v>
      </c>
      <c r="J195" s="25">
        <f t="shared" si="4"/>
        <v>79</v>
      </c>
      <c r="K195" s="25">
        <v>118</v>
      </c>
      <c r="L195" s="59">
        <v>3</v>
      </c>
      <c r="M195" s="60">
        <v>85</v>
      </c>
      <c r="N195" s="59" t="s">
        <v>32</v>
      </c>
      <c r="O195" s="61" t="s">
        <v>51</v>
      </c>
      <c r="P195" s="58"/>
      <c r="Q195" s="60"/>
      <c r="R195" s="90" t="s">
        <v>51</v>
      </c>
      <c r="S195" s="101"/>
      <c r="AP195" s="10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</row>
    <row r="196" spans="1:53" ht="18" customHeight="1" x14ac:dyDescent="0.35">
      <c r="A196" s="100" t="s">
        <v>291</v>
      </c>
      <c r="B196" s="2">
        <v>8.1</v>
      </c>
      <c r="C196" s="58" t="s">
        <v>51</v>
      </c>
      <c r="D196" s="58"/>
      <c r="E196" s="2" t="s">
        <v>32</v>
      </c>
      <c r="F196" s="50">
        <v>805</v>
      </c>
      <c r="G196" s="50">
        <v>540</v>
      </c>
      <c r="H196" s="25">
        <v>200</v>
      </c>
      <c r="I196" s="25">
        <v>124</v>
      </c>
      <c r="J196" s="25">
        <f t="shared" ref="J196:J259" si="5">H196-I196</f>
        <v>76</v>
      </c>
      <c r="K196" s="25">
        <v>102</v>
      </c>
      <c r="L196" s="59">
        <v>3.5</v>
      </c>
      <c r="M196" s="60">
        <v>95</v>
      </c>
      <c r="N196" s="59" t="s">
        <v>32</v>
      </c>
      <c r="O196" s="61" t="s">
        <v>51</v>
      </c>
      <c r="P196" s="58"/>
      <c r="Q196" s="60"/>
      <c r="R196" s="90" t="s">
        <v>51</v>
      </c>
      <c r="S196" s="101"/>
      <c r="AP196" s="10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</row>
    <row r="197" spans="1:53" ht="18" customHeight="1" x14ac:dyDescent="0.35">
      <c r="A197" s="100" t="s">
        <v>292</v>
      </c>
      <c r="B197" s="2">
        <v>8.1</v>
      </c>
      <c r="C197" s="25" t="s">
        <v>51</v>
      </c>
      <c r="D197" s="25"/>
      <c r="E197" s="2">
        <v>0.1</v>
      </c>
      <c r="F197" s="25">
        <v>828</v>
      </c>
      <c r="G197" s="25">
        <v>555</v>
      </c>
      <c r="H197" s="25">
        <v>195</v>
      </c>
      <c r="I197" s="25">
        <v>120</v>
      </c>
      <c r="J197" s="25">
        <f t="shared" si="5"/>
        <v>75</v>
      </c>
      <c r="K197" s="25">
        <v>98</v>
      </c>
      <c r="L197" s="25">
        <v>3.5</v>
      </c>
      <c r="M197" s="60">
        <v>95</v>
      </c>
      <c r="N197" s="59" t="s">
        <v>32</v>
      </c>
      <c r="O197" s="61" t="s">
        <v>51</v>
      </c>
      <c r="P197" s="58"/>
      <c r="Q197" s="60"/>
      <c r="R197" s="90" t="s">
        <v>51</v>
      </c>
      <c r="S197" s="101"/>
      <c r="AP197" s="10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</row>
    <row r="198" spans="1:53" ht="18" customHeight="1" x14ac:dyDescent="0.35">
      <c r="A198" s="100" t="s">
        <v>293</v>
      </c>
      <c r="B198" s="2">
        <v>8.3000000000000007</v>
      </c>
      <c r="C198" s="25" t="s">
        <v>51</v>
      </c>
      <c r="D198" s="25"/>
      <c r="E198" s="2">
        <v>0.2</v>
      </c>
      <c r="F198" s="25">
        <v>885</v>
      </c>
      <c r="G198" s="25">
        <v>593</v>
      </c>
      <c r="H198" s="25">
        <v>209</v>
      </c>
      <c r="I198" s="25">
        <v>124</v>
      </c>
      <c r="J198" s="25">
        <f t="shared" si="5"/>
        <v>85</v>
      </c>
      <c r="K198" s="25">
        <v>106</v>
      </c>
      <c r="L198" s="2">
        <v>3.2</v>
      </c>
      <c r="M198" s="60">
        <v>90</v>
      </c>
      <c r="N198" s="59" t="s">
        <v>32</v>
      </c>
      <c r="O198" s="61" t="s">
        <v>51</v>
      </c>
      <c r="P198" s="58"/>
      <c r="Q198" s="60"/>
      <c r="R198" s="90" t="s">
        <v>51</v>
      </c>
      <c r="S198" s="101"/>
      <c r="AP198" s="10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</row>
    <row r="199" spans="1:53" ht="18" customHeight="1" x14ac:dyDescent="0.35">
      <c r="A199" s="100" t="s">
        <v>294</v>
      </c>
      <c r="B199" s="2">
        <v>8.1999999999999993</v>
      </c>
      <c r="C199" s="25" t="s">
        <v>51</v>
      </c>
      <c r="D199" s="25"/>
      <c r="E199" s="2">
        <v>0.2</v>
      </c>
      <c r="F199" s="25">
        <v>817</v>
      </c>
      <c r="G199" s="25">
        <v>548</v>
      </c>
      <c r="H199" s="25">
        <v>240</v>
      </c>
      <c r="I199" s="25">
        <v>148</v>
      </c>
      <c r="J199" s="25">
        <f t="shared" si="5"/>
        <v>92</v>
      </c>
      <c r="K199" s="25">
        <v>185</v>
      </c>
      <c r="L199" s="2">
        <v>3</v>
      </c>
      <c r="M199" s="60">
        <v>100</v>
      </c>
      <c r="N199" s="59">
        <v>1</v>
      </c>
      <c r="O199" s="61" t="s">
        <v>51</v>
      </c>
      <c r="P199" s="58"/>
      <c r="Q199" s="60"/>
      <c r="R199" s="90" t="s">
        <v>51</v>
      </c>
      <c r="S199" s="101"/>
      <c r="AP199" s="10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</row>
    <row r="200" spans="1:53" ht="18" customHeight="1" x14ac:dyDescent="0.35">
      <c r="A200" s="100" t="s">
        <v>295</v>
      </c>
      <c r="B200" s="2">
        <v>8.1999999999999993</v>
      </c>
      <c r="C200" s="25" t="s">
        <v>51</v>
      </c>
      <c r="D200" s="25"/>
      <c r="E200" s="2">
        <v>0.2</v>
      </c>
      <c r="F200" s="25">
        <v>835</v>
      </c>
      <c r="G200" s="25">
        <v>560</v>
      </c>
      <c r="H200" s="25">
        <v>225</v>
      </c>
      <c r="I200" s="25">
        <v>139</v>
      </c>
      <c r="J200" s="25">
        <f t="shared" si="5"/>
        <v>86</v>
      </c>
      <c r="K200" s="25">
        <v>194</v>
      </c>
      <c r="L200" s="2">
        <v>3</v>
      </c>
      <c r="M200" s="60">
        <v>105</v>
      </c>
      <c r="N200" s="59">
        <v>1</v>
      </c>
      <c r="O200" s="61" t="s">
        <v>51</v>
      </c>
      <c r="P200" s="58"/>
      <c r="Q200" s="60"/>
      <c r="R200" s="90" t="s">
        <v>51</v>
      </c>
      <c r="S200" s="101"/>
      <c r="AP200" s="10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</row>
    <row r="201" spans="1:53" ht="18" customHeight="1" x14ac:dyDescent="0.35">
      <c r="A201" s="100" t="s">
        <v>296</v>
      </c>
      <c r="B201" s="2">
        <v>8.1999999999999993</v>
      </c>
      <c r="C201" s="25" t="s">
        <v>51</v>
      </c>
      <c r="D201" s="25"/>
      <c r="E201" s="2">
        <v>0.3</v>
      </c>
      <c r="F201" s="25">
        <v>804</v>
      </c>
      <c r="G201" s="25">
        <v>539</v>
      </c>
      <c r="H201" s="25">
        <v>240</v>
      </c>
      <c r="I201" s="25">
        <v>148</v>
      </c>
      <c r="J201" s="25">
        <f t="shared" si="5"/>
        <v>92</v>
      </c>
      <c r="K201" s="25">
        <v>213</v>
      </c>
      <c r="L201" s="2">
        <v>3</v>
      </c>
      <c r="M201" s="25">
        <v>100</v>
      </c>
      <c r="N201" s="59" t="s">
        <v>32</v>
      </c>
      <c r="O201" s="61" t="s">
        <v>51</v>
      </c>
      <c r="P201" s="58"/>
      <c r="Q201" s="60"/>
      <c r="R201" s="90" t="s">
        <v>51</v>
      </c>
      <c r="S201" s="101"/>
      <c r="AP201" s="10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</row>
    <row r="202" spans="1:53" ht="18" customHeight="1" x14ac:dyDescent="0.35">
      <c r="A202" s="70" t="s">
        <v>297</v>
      </c>
      <c r="B202" s="2">
        <v>8.3000000000000007</v>
      </c>
      <c r="C202" s="25" t="s">
        <v>51</v>
      </c>
      <c r="D202" s="25"/>
      <c r="E202" s="2">
        <v>0.2</v>
      </c>
      <c r="F202" s="25">
        <v>817</v>
      </c>
      <c r="G202" s="25">
        <v>548</v>
      </c>
      <c r="H202" s="25">
        <v>253</v>
      </c>
      <c r="I202" s="25">
        <v>156</v>
      </c>
      <c r="J202" s="25">
        <f t="shared" si="5"/>
        <v>97</v>
      </c>
      <c r="K202" s="25">
        <v>205</v>
      </c>
      <c r="L202" s="2">
        <v>3</v>
      </c>
      <c r="M202" s="25">
        <v>110</v>
      </c>
      <c r="N202" s="59">
        <v>2</v>
      </c>
      <c r="O202" s="61" t="s">
        <v>51</v>
      </c>
      <c r="P202" s="58"/>
      <c r="Q202" s="60"/>
      <c r="R202" s="90" t="s">
        <v>51</v>
      </c>
      <c r="S202" s="101"/>
      <c r="AP202" s="10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</row>
    <row r="203" spans="1:53" ht="18" customHeight="1" x14ac:dyDescent="0.35">
      <c r="A203" s="100" t="s">
        <v>298</v>
      </c>
      <c r="B203" s="2">
        <v>8.25</v>
      </c>
      <c r="C203" s="25" t="s">
        <v>51</v>
      </c>
      <c r="D203" s="25"/>
      <c r="E203" s="2">
        <v>0.1</v>
      </c>
      <c r="F203" s="25">
        <v>841</v>
      </c>
      <c r="G203" s="25">
        <v>564</v>
      </c>
      <c r="H203" s="25">
        <v>240</v>
      </c>
      <c r="I203" s="25">
        <v>148</v>
      </c>
      <c r="J203" s="25">
        <f t="shared" si="5"/>
        <v>92</v>
      </c>
      <c r="K203" s="25">
        <v>230</v>
      </c>
      <c r="L203" s="25">
        <v>2.5</v>
      </c>
      <c r="M203" s="25">
        <v>90</v>
      </c>
      <c r="N203" s="59" t="s">
        <v>32</v>
      </c>
      <c r="O203" s="61" t="s">
        <v>51</v>
      </c>
      <c r="P203" s="25"/>
      <c r="Q203" s="60"/>
      <c r="R203" s="91" t="s">
        <v>51</v>
      </c>
      <c r="S203" s="101"/>
      <c r="AP203" s="10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</row>
    <row r="204" spans="1:53" ht="18" customHeight="1" thickBot="1" x14ac:dyDescent="0.4">
      <c r="A204" s="111" t="s">
        <v>299</v>
      </c>
      <c r="B204" s="2">
        <v>8.3000000000000007</v>
      </c>
      <c r="C204" s="25" t="s">
        <v>51</v>
      </c>
      <c r="D204" s="25"/>
      <c r="E204" s="2">
        <v>0.1</v>
      </c>
      <c r="F204" s="25">
        <v>1014</v>
      </c>
      <c r="G204" s="25">
        <v>680</v>
      </c>
      <c r="H204" s="25">
        <v>228</v>
      </c>
      <c r="I204" s="25">
        <v>141</v>
      </c>
      <c r="J204" s="25">
        <f t="shared" si="5"/>
        <v>87</v>
      </c>
      <c r="K204" s="25">
        <v>242</v>
      </c>
      <c r="L204" s="25">
        <v>2.5</v>
      </c>
      <c r="M204" s="25">
        <v>96</v>
      </c>
      <c r="N204" s="59" t="s">
        <v>32</v>
      </c>
      <c r="O204" s="61" t="s">
        <v>51</v>
      </c>
      <c r="P204" s="25"/>
      <c r="Q204" s="60"/>
      <c r="R204" s="91" t="s">
        <v>51</v>
      </c>
      <c r="S204" s="101"/>
      <c r="AP204" s="10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</row>
    <row r="205" spans="1:53" ht="18" customHeight="1" x14ac:dyDescent="0.35">
      <c r="A205" s="110" t="s">
        <v>300</v>
      </c>
      <c r="B205" s="1">
        <v>8.3000000000000007</v>
      </c>
      <c r="C205" s="12" t="s">
        <v>51</v>
      </c>
      <c r="D205" s="12"/>
      <c r="E205" s="1">
        <v>0.1</v>
      </c>
      <c r="F205" s="85">
        <v>1002</v>
      </c>
      <c r="G205" s="85">
        <v>672</v>
      </c>
      <c r="H205" s="76">
        <v>235</v>
      </c>
      <c r="I205" s="76">
        <v>145</v>
      </c>
      <c r="J205" s="25">
        <f t="shared" si="5"/>
        <v>90</v>
      </c>
      <c r="K205" s="76">
        <v>234</v>
      </c>
      <c r="L205" s="87">
        <v>2.5</v>
      </c>
      <c r="M205" s="88">
        <v>90</v>
      </c>
      <c r="N205" s="59" t="s">
        <v>182</v>
      </c>
      <c r="O205" s="57" t="s">
        <v>51</v>
      </c>
      <c r="P205" s="17"/>
      <c r="Q205" s="60"/>
      <c r="R205" s="90" t="s">
        <v>51</v>
      </c>
      <c r="S205" s="101"/>
      <c r="AP205" s="10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</row>
    <row r="206" spans="1:53" ht="18" customHeight="1" x14ac:dyDescent="0.35">
      <c r="A206" s="100" t="s">
        <v>301</v>
      </c>
      <c r="B206" s="2">
        <v>8.25</v>
      </c>
      <c r="C206" s="58" t="s">
        <v>51</v>
      </c>
      <c r="D206" s="58"/>
      <c r="E206" s="2" t="s">
        <v>32</v>
      </c>
      <c r="F206" s="50">
        <v>1037</v>
      </c>
      <c r="G206" s="25">
        <v>695</v>
      </c>
      <c r="H206" s="25">
        <v>210</v>
      </c>
      <c r="I206" s="25">
        <v>130</v>
      </c>
      <c r="J206" s="25">
        <f t="shared" si="5"/>
        <v>80</v>
      </c>
      <c r="K206" s="25">
        <v>210</v>
      </c>
      <c r="L206" s="59">
        <v>2.5</v>
      </c>
      <c r="M206" s="60">
        <v>90</v>
      </c>
      <c r="N206" s="59" t="s">
        <v>182</v>
      </c>
      <c r="O206" s="57" t="s">
        <v>51</v>
      </c>
      <c r="P206" s="17"/>
      <c r="Q206" s="60"/>
      <c r="R206" s="90" t="s">
        <v>51</v>
      </c>
      <c r="S206" s="101"/>
      <c r="AP206" s="10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</row>
    <row r="207" spans="1:53" ht="18" customHeight="1" x14ac:dyDescent="0.35">
      <c r="A207" s="100" t="s">
        <v>302</v>
      </c>
      <c r="B207" s="2">
        <v>8.3000000000000007</v>
      </c>
      <c r="C207" s="58" t="s">
        <v>51</v>
      </c>
      <c r="D207" s="58"/>
      <c r="E207" s="2">
        <v>0.1</v>
      </c>
      <c r="F207" s="50">
        <v>1048</v>
      </c>
      <c r="G207" s="50">
        <v>699</v>
      </c>
      <c r="H207" s="25">
        <v>215</v>
      </c>
      <c r="I207" s="25">
        <v>139</v>
      </c>
      <c r="J207" s="25">
        <f t="shared" si="5"/>
        <v>76</v>
      </c>
      <c r="K207" s="25">
        <v>212</v>
      </c>
      <c r="L207" s="59">
        <v>2.2999999999999998</v>
      </c>
      <c r="M207" s="60">
        <v>95</v>
      </c>
      <c r="N207" s="59">
        <v>2</v>
      </c>
      <c r="O207" s="61" t="s">
        <v>51</v>
      </c>
      <c r="P207" s="58"/>
      <c r="Q207" s="60"/>
      <c r="R207" s="90" t="s">
        <v>51</v>
      </c>
      <c r="S207" s="101"/>
      <c r="AP207" s="10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</row>
    <row r="208" spans="1:53" ht="18" customHeight="1" x14ac:dyDescent="0.35">
      <c r="A208" s="100" t="s">
        <v>303</v>
      </c>
      <c r="B208" s="2">
        <v>8.1</v>
      </c>
      <c r="C208" s="17" t="s">
        <v>51</v>
      </c>
      <c r="D208" s="17"/>
      <c r="E208" s="2">
        <v>0.1</v>
      </c>
      <c r="F208" s="50">
        <v>1080</v>
      </c>
      <c r="G208" s="50">
        <v>720</v>
      </c>
      <c r="H208" s="25">
        <v>200</v>
      </c>
      <c r="I208" s="25">
        <v>124</v>
      </c>
      <c r="J208" s="25">
        <f t="shared" si="5"/>
        <v>76</v>
      </c>
      <c r="K208" s="25">
        <v>220</v>
      </c>
      <c r="L208" s="59">
        <v>2</v>
      </c>
      <c r="M208" s="60">
        <v>91</v>
      </c>
      <c r="N208" s="59" t="s">
        <v>182</v>
      </c>
      <c r="O208" s="61" t="s">
        <v>51</v>
      </c>
      <c r="P208" s="58"/>
      <c r="Q208" s="60"/>
      <c r="R208" s="90" t="s">
        <v>51</v>
      </c>
      <c r="S208" s="101"/>
      <c r="AP208" s="10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</row>
    <row r="209" spans="1:53" ht="18" customHeight="1" x14ac:dyDescent="0.35">
      <c r="A209" s="100" t="s">
        <v>304</v>
      </c>
      <c r="B209" s="2">
        <v>8.1</v>
      </c>
      <c r="C209" s="17" t="s">
        <v>51</v>
      </c>
      <c r="D209" s="17"/>
      <c r="E209" s="2">
        <v>0.1</v>
      </c>
      <c r="F209" s="50">
        <v>1010</v>
      </c>
      <c r="G209" s="50">
        <v>676</v>
      </c>
      <c r="H209" s="25">
        <v>190</v>
      </c>
      <c r="I209" s="25">
        <v>117</v>
      </c>
      <c r="J209" s="25">
        <f t="shared" si="5"/>
        <v>73</v>
      </c>
      <c r="K209" s="25">
        <v>198</v>
      </c>
      <c r="L209" s="59">
        <v>2</v>
      </c>
      <c r="M209" s="60">
        <v>100</v>
      </c>
      <c r="N209" s="59" t="s">
        <v>182</v>
      </c>
      <c r="O209" s="61" t="s">
        <v>51</v>
      </c>
      <c r="P209" s="17"/>
      <c r="Q209" s="60"/>
      <c r="R209" s="90" t="s">
        <v>51</v>
      </c>
      <c r="S209" s="101"/>
      <c r="AP209" s="10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</row>
    <row r="210" spans="1:53" ht="18" customHeight="1" x14ac:dyDescent="0.35">
      <c r="A210" s="100" t="s">
        <v>305</v>
      </c>
      <c r="B210" s="2">
        <v>8.15</v>
      </c>
      <c r="C210" s="58" t="s">
        <v>51</v>
      </c>
      <c r="D210" s="58"/>
      <c r="E210" s="2" t="s">
        <v>32</v>
      </c>
      <c r="F210" s="50">
        <v>1029</v>
      </c>
      <c r="G210" s="50">
        <v>690</v>
      </c>
      <c r="H210" s="25">
        <v>196</v>
      </c>
      <c r="I210" s="25">
        <v>121</v>
      </c>
      <c r="J210" s="25">
        <f t="shared" si="5"/>
        <v>75</v>
      </c>
      <c r="K210" s="25">
        <v>190</v>
      </c>
      <c r="L210" s="59">
        <v>2</v>
      </c>
      <c r="M210" s="60">
        <v>96</v>
      </c>
      <c r="N210" s="59" t="s">
        <v>182</v>
      </c>
      <c r="O210" s="61" t="s">
        <v>51</v>
      </c>
      <c r="P210" s="17"/>
      <c r="Q210" s="60"/>
      <c r="R210" s="90" t="s">
        <v>51</v>
      </c>
      <c r="S210" s="101"/>
      <c r="AP210" s="10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</row>
    <row r="211" spans="1:53" ht="18" customHeight="1" x14ac:dyDescent="0.35">
      <c r="A211" s="100" t="s">
        <v>306</v>
      </c>
      <c r="B211" s="2">
        <v>8</v>
      </c>
      <c r="C211" s="17" t="s">
        <v>51</v>
      </c>
      <c r="D211" s="17"/>
      <c r="E211" s="2">
        <v>0.1</v>
      </c>
      <c r="F211" s="50">
        <v>940</v>
      </c>
      <c r="G211" s="50">
        <v>630</v>
      </c>
      <c r="H211" s="25">
        <v>200</v>
      </c>
      <c r="I211" s="25">
        <v>125</v>
      </c>
      <c r="J211" s="25">
        <f t="shared" si="5"/>
        <v>75</v>
      </c>
      <c r="K211" s="25">
        <v>220</v>
      </c>
      <c r="L211" s="59">
        <v>2.2999999999999998</v>
      </c>
      <c r="M211" s="60">
        <v>85</v>
      </c>
      <c r="N211" s="59" t="s">
        <v>182</v>
      </c>
      <c r="O211" s="61" t="s">
        <v>51</v>
      </c>
      <c r="P211" s="17"/>
      <c r="Q211" s="60"/>
      <c r="R211" s="90" t="s">
        <v>51</v>
      </c>
      <c r="S211" s="101"/>
      <c r="AP211" s="10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</row>
    <row r="212" spans="1:53" ht="18" customHeight="1" x14ac:dyDescent="0.35">
      <c r="A212" s="100" t="s">
        <v>307</v>
      </c>
      <c r="B212" s="2">
        <v>8.1</v>
      </c>
      <c r="C212" s="58" t="s">
        <v>51</v>
      </c>
      <c r="D212" s="58"/>
      <c r="E212" s="2">
        <v>0.1</v>
      </c>
      <c r="F212" s="17">
        <v>958</v>
      </c>
      <c r="G212" s="17">
        <v>642</v>
      </c>
      <c r="H212" s="17">
        <v>210</v>
      </c>
      <c r="I212" s="17">
        <v>130</v>
      </c>
      <c r="J212" s="25">
        <f t="shared" si="5"/>
        <v>80</v>
      </c>
      <c r="K212" s="17">
        <v>226</v>
      </c>
      <c r="L212" s="59">
        <v>2.2999999999999998</v>
      </c>
      <c r="M212" s="60">
        <v>89</v>
      </c>
      <c r="N212" s="59" t="s">
        <v>182</v>
      </c>
      <c r="O212" s="61" t="s">
        <v>51</v>
      </c>
      <c r="P212" s="17"/>
      <c r="Q212" s="60"/>
      <c r="R212" s="90" t="s">
        <v>51</v>
      </c>
      <c r="S212" s="101"/>
      <c r="AP212" s="10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</row>
    <row r="213" spans="1:53" ht="18" customHeight="1" x14ac:dyDescent="0.35">
      <c r="A213" s="100" t="s">
        <v>309</v>
      </c>
      <c r="B213" s="2">
        <v>8.1</v>
      </c>
      <c r="C213" s="58" t="s">
        <v>51</v>
      </c>
      <c r="D213" s="58"/>
      <c r="E213" s="2">
        <v>0.1</v>
      </c>
      <c r="F213" s="50">
        <v>1028</v>
      </c>
      <c r="G213" s="50">
        <v>688</v>
      </c>
      <c r="H213" s="25">
        <v>210</v>
      </c>
      <c r="I213" s="25">
        <v>130</v>
      </c>
      <c r="J213" s="25">
        <f t="shared" si="5"/>
        <v>80</v>
      </c>
      <c r="K213" s="25">
        <v>218</v>
      </c>
      <c r="L213" s="59">
        <v>2.5</v>
      </c>
      <c r="M213" s="60">
        <v>84</v>
      </c>
      <c r="N213" s="59" t="s">
        <v>182</v>
      </c>
      <c r="O213" s="61" t="s">
        <v>51</v>
      </c>
      <c r="P213" s="17"/>
      <c r="Q213" s="60"/>
      <c r="R213" s="90" t="s">
        <v>51</v>
      </c>
      <c r="S213" s="101"/>
      <c r="AP213" s="10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</row>
    <row r="214" spans="1:53" ht="18" customHeight="1" x14ac:dyDescent="0.35">
      <c r="A214" s="100" t="s">
        <v>310</v>
      </c>
      <c r="B214" s="2">
        <v>8.15</v>
      </c>
      <c r="C214" s="58" t="s">
        <v>51</v>
      </c>
      <c r="D214" s="58"/>
      <c r="E214" s="2">
        <v>0.1</v>
      </c>
      <c r="F214" s="50">
        <v>1000</v>
      </c>
      <c r="G214" s="50">
        <v>670</v>
      </c>
      <c r="H214" s="25">
        <v>200</v>
      </c>
      <c r="I214" s="25">
        <v>124</v>
      </c>
      <c r="J214" s="25">
        <f t="shared" si="5"/>
        <v>76</v>
      </c>
      <c r="K214" s="25">
        <v>210</v>
      </c>
      <c r="L214" s="59">
        <v>2.2999999999999998</v>
      </c>
      <c r="M214" s="60">
        <v>90</v>
      </c>
      <c r="N214" s="59" t="s">
        <v>182</v>
      </c>
      <c r="O214" s="61" t="s">
        <v>51</v>
      </c>
      <c r="P214" s="58"/>
      <c r="Q214" s="60"/>
      <c r="R214" s="90" t="s">
        <v>51</v>
      </c>
      <c r="S214" s="101"/>
      <c r="AP214" s="10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</row>
    <row r="215" spans="1:53" ht="18" customHeight="1" x14ac:dyDescent="0.35">
      <c r="A215" s="100" t="s">
        <v>311</v>
      </c>
      <c r="B215" s="2">
        <v>8.1999999999999993</v>
      </c>
      <c r="C215" s="58" t="s">
        <v>51</v>
      </c>
      <c r="D215" s="58"/>
      <c r="E215" s="2" t="s">
        <v>32</v>
      </c>
      <c r="F215" s="50">
        <v>1020</v>
      </c>
      <c r="G215" s="50">
        <v>684</v>
      </c>
      <c r="H215" s="25">
        <v>205</v>
      </c>
      <c r="I215" s="25">
        <v>133</v>
      </c>
      <c r="J215" s="25">
        <f t="shared" si="5"/>
        <v>72</v>
      </c>
      <c r="K215" s="25">
        <v>214</v>
      </c>
      <c r="L215" s="59">
        <v>2</v>
      </c>
      <c r="M215" s="60">
        <v>96</v>
      </c>
      <c r="N215" s="59" t="s">
        <v>182</v>
      </c>
      <c r="O215" s="61" t="s">
        <v>51</v>
      </c>
      <c r="P215" s="58"/>
      <c r="Q215" s="60"/>
      <c r="R215" s="90" t="s">
        <v>51</v>
      </c>
      <c r="S215" s="101"/>
      <c r="AP215" s="10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</row>
    <row r="216" spans="1:53" ht="18" customHeight="1" x14ac:dyDescent="0.35">
      <c r="A216" s="100" t="s">
        <v>312</v>
      </c>
      <c r="B216" s="2">
        <v>8.1</v>
      </c>
      <c r="C216" s="58" t="s">
        <v>51</v>
      </c>
      <c r="D216" s="58"/>
      <c r="E216" s="2">
        <v>0.1</v>
      </c>
      <c r="F216" s="50">
        <v>1000</v>
      </c>
      <c r="G216" s="50">
        <v>670</v>
      </c>
      <c r="H216" s="25">
        <v>190</v>
      </c>
      <c r="I216" s="25">
        <v>117</v>
      </c>
      <c r="J216" s="25">
        <f t="shared" si="5"/>
        <v>73</v>
      </c>
      <c r="K216" s="25">
        <v>205</v>
      </c>
      <c r="L216" s="59">
        <v>2</v>
      </c>
      <c r="M216" s="60">
        <v>90</v>
      </c>
      <c r="N216" s="59" t="s">
        <v>182</v>
      </c>
      <c r="O216" s="61" t="s">
        <v>51</v>
      </c>
      <c r="P216" s="58"/>
      <c r="Q216" s="60"/>
      <c r="R216" s="90" t="s">
        <v>51</v>
      </c>
      <c r="S216" s="101"/>
      <c r="AP216" s="10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</row>
    <row r="217" spans="1:53" ht="18" customHeight="1" x14ac:dyDescent="0.35">
      <c r="A217" s="100" t="s">
        <v>313</v>
      </c>
      <c r="B217" s="2">
        <v>8.1</v>
      </c>
      <c r="C217" s="58" t="s">
        <v>51</v>
      </c>
      <c r="D217" s="58"/>
      <c r="E217" s="2">
        <v>0.1</v>
      </c>
      <c r="F217" s="50">
        <v>987</v>
      </c>
      <c r="G217" s="50">
        <v>661</v>
      </c>
      <c r="H217" s="25">
        <v>196</v>
      </c>
      <c r="I217" s="25">
        <v>121</v>
      </c>
      <c r="J217" s="25">
        <f t="shared" si="5"/>
        <v>75</v>
      </c>
      <c r="K217" s="25">
        <v>212</v>
      </c>
      <c r="L217" s="59">
        <v>2.2999999999999998</v>
      </c>
      <c r="M217" s="60">
        <v>86</v>
      </c>
      <c r="N217" s="59" t="s">
        <v>182</v>
      </c>
      <c r="O217" s="61" t="s">
        <v>51</v>
      </c>
      <c r="P217" s="58"/>
      <c r="Q217" s="60"/>
      <c r="R217" s="90" t="s">
        <v>51</v>
      </c>
      <c r="S217" s="101"/>
      <c r="AP217" s="10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</row>
    <row r="218" spans="1:53" ht="18" customHeight="1" x14ac:dyDescent="0.35">
      <c r="A218" s="100" t="s">
        <v>314</v>
      </c>
      <c r="B218" s="2">
        <v>8.1999999999999993</v>
      </c>
      <c r="C218" s="58" t="s">
        <v>51</v>
      </c>
      <c r="D218" s="58"/>
      <c r="E218" s="2">
        <v>0.2</v>
      </c>
      <c r="F218" s="50">
        <v>1019</v>
      </c>
      <c r="G218" s="50">
        <v>683</v>
      </c>
      <c r="H218" s="50">
        <v>200</v>
      </c>
      <c r="I218" s="25">
        <v>133</v>
      </c>
      <c r="J218" s="25">
        <f t="shared" si="5"/>
        <v>67</v>
      </c>
      <c r="K218" s="25">
        <v>216</v>
      </c>
      <c r="L218" s="59">
        <v>2</v>
      </c>
      <c r="M218" s="60">
        <v>90</v>
      </c>
      <c r="N218" s="59" t="s">
        <v>182</v>
      </c>
      <c r="O218" s="61" t="s">
        <v>51</v>
      </c>
      <c r="P218" s="58"/>
      <c r="Q218" s="60"/>
      <c r="R218" s="90" t="s">
        <v>51</v>
      </c>
      <c r="S218" s="101"/>
      <c r="AP218" s="10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</row>
    <row r="219" spans="1:53" ht="18" customHeight="1" x14ac:dyDescent="0.35">
      <c r="A219" s="100" t="s">
        <v>315</v>
      </c>
      <c r="B219" s="2">
        <v>8.15</v>
      </c>
      <c r="C219" s="58" t="s">
        <v>51</v>
      </c>
      <c r="D219" s="58"/>
      <c r="E219" s="2">
        <v>0.1</v>
      </c>
      <c r="F219" s="50">
        <v>1038</v>
      </c>
      <c r="G219" s="50">
        <v>696</v>
      </c>
      <c r="H219" s="25">
        <v>207</v>
      </c>
      <c r="I219" s="25">
        <v>128</v>
      </c>
      <c r="J219" s="25">
        <f t="shared" si="5"/>
        <v>79</v>
      </c>
      <c r="K219" s="25">
        <v>223</v>
      </c>
      <c r="L219" s="59">
        <v>2</v>
      </c>
      <c r="M219" s="60">
        <v>85</v>
      </c>
      <c r="N219" s="59" t="s">
        <v>182</v>
      </c>
      <c r="O219" s="61" t="s">
        <v>51</v>
      </c>
      <c r="P219" s="58"/>
      <c r="Q219" s="60"/>
      <c r="R219" s="90" t="s">
        <v>51</v>
      </c>
      <c r="S219" s="101"/>
      <c r="AP219" s="10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</row>
    <row r="220" spans="1:53" ht="18" customHeight="1" x14ac:dyDescent="0.35">
      <c r="A220" s="100" t="s">
        <v>316</v>
      </c>
      <c r="B220" s="2">
        <v>8.3000000000000007</v>
      </c>
      <c r="C220" s="58" t="s">
        <v>51</v>
      </c>
      <c r="D220" s="58"/>
      <c r="E220" s="2">
        <v>0.1</v>
      </c>
      <c r="F220" s="50">
        <v>970</v>
      </c>
      <c r="G220" s="50">
        <v>649</v>
      </c>
      <c r="H220" s="25">
        <v>200</v>
      </c>
      <c r="I220" s="25">
        <v>124</v>
      </c>
      <c r="J220" s="25">
        <f t="shared" si="5"/>
        <v>76</v>
      </c>
      <c r="K220" s="25">
        <v>220</v>
      </c>
      <c r="L220" s="59">
        <v>2</v>
      </c>
      <c r="M220" s="60">
        <v>84</v>
      </c>
      <c r="N220" s="59">
        <v>2</v>
      </c>
      <c r="O220" s="61" t="s">
        <v>51</v>
      </c>
      <c r="P220" s="58"/>
      <c r="Q220" s="60"/>
      <c r="R220" s="90" t="s">
        <v>51</v>
      </c>
      <c r="S220" s="101"/>
      <c r="AP220" s="10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</row>
    <row r="221" spans="1:53" ht="18" customHeight="1" x14ac:dyDescent="0.35">
      <c r="A221" s="100" t="s">
        <v>317</v>
      </c>
      <c r="B221" s="2">
        <v>8.1999999999999993</v>
      </c>
      <c r="C221" s="58" t="s">
        <v>51</v>
      </c>
      <c r="D221" s="58"/>
      <c r="E221" s="2">
        <v>0.1</v>
      </c>
      <c r="F221" s="50">
        <v>973</v>
      </c>
      <c r="G221" s="50">
        <v>651</v>
      </c>
      <c r="H221" s="25">
        <v>209</v>
      </c>
      <c r="I221" s="25">
        <v>129</v>
      </c>
      <c r="J221" s="25">
        <f t="shared" si="5"/>
        <v>80</v>
      </c>
      <c r="K221" s="25">
        <v>213</v>
      </c>
      <c r="L221" s="59">
        <v>2.2999999999999998</v>
      </c>
      <c r="M221" s="60">
        <v>80</v>
      </c>
      <c r="N221" s="59" t="s">
        <v>182</v>
      </c>
      <c r="O221" s="61" t="s">
        <v>51</v>
      </c>
      <c r="P221" s="58"/>
      <c r="Q221" s="60"/>
      <c r="R221" s="90" t="s">
        <v>51</v>
      </c>
      <c r="S221" s="101"/>
      <c r="AP221" s="10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</row>
    <row r="222" spans="1:53" ht="18" customHeight="1" x14ac:dyDescent="0.35">
      <c r="A222" s="100" t="s">
        <v>318</v>
      </c>
      <c r="B222" s="2">
        <v>8.1</v>
      </c>
      <c r="C222" s="58" t="s">
        <v>51</v>
      </c>
      <c r="D222" s="58"/>
      <c r="E222" s="2" t="s">
        <v>32</v>
      </c>
      <c r="F222" s="50">
        <v>886</v>
      </c>
      <c r="G222" s="50">
        <v>593</v>
      </c>
      <c r="H222" s="25">
        <v>169</v>
      </c>
      <c r="I222" s="25">
        <v>99</v>
      </c>
      <c r="J222" s="25">
        <f t="shared" si="5"/>
        <v>70</v>
      </c>
      <c r="K222" s="25">
        <v>235</v>
      </c>
      <c r="L222" s="59">
        <v>2.2999999999999998</v>
      </c>
      <c r="M222" s="60">
        <v>60</v>
      </c>
      <c r="N222" s="59" t="s">
        <v>182</v>
      </c>
      <c r="O222" s="61" t="s">
        <v>51</v>
      </c>
      <c r="P222" s="58"/>
      <c r="Q222" s="60"/>
      <c r="R222" s="90" t="s">
        <v>51</v>
      </c>
      <c r="S222" s="101"/>
      <c r="AP222" s="10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</row>
    <row r="223" spans="1:53" ht="18" customHeight="1" x14ac:dyDescent="0.35">
      <c r="A223" s="100" t="s">
        <v>319</v>
      </c>
      <c r="B223" s="2">
        <v>8.1</v>
      </c>
      <c r="C223" s="25" t="s">
        <v>51</v>
      </c>
      <c r="D223" s="25"/>
      <c r="E223" s="2" t="s">
        <v>32</v>
      </c>
      <c r="F223" s="25">
        <v>817</v>
      </c>
      <c r="G223" s="25">
        <v>547</v>
      </c>
      <c r="H223" s="25">
        <v>160</v>
      </c>
      <c r="I223" s="25">
        <v>99</v>
      </c>
      <c r="J223" s="25">
        <f t="shared" si="5"/>
        <v>61</v>
      </c>
      <c r="K223" s="25">
        <v>227</v>
      </c>
      <c r="L223" s="59">
        <v>2</v>
      </c>
      <c r="M223" s="60">
        <v>44</v>
      </c>
      <c r="N223" s="59" t="s">
        <v>182</v>
      </c>
      <c r="O223" s="61" t="s">
        <v>51</v>
      </c>
      <c r="P223" s="58"/>
      <c r="Q223" s="60"/>
      <c r="R223" s="90" t="s">
        <v>51</v>
      </c>
      <c r="S223" s="101"/>
      <c r="AP223" s="10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</row>
    <row r="224" spans="1:53" ht="18" customHeight="1" x14ac:dyDescent="0.35">
      <c r="A224" s="100" t="s">
        <v>320</v>
      </c>
      <c r="B224" s="2">
        <v>8.15</v>
      </c>
      <c r="C224" s="25" t="s">
        <v>51</v>
      </c>
      <c r="D224" s="25"/>
      <c r="E224" s="2" t="s">
        <v>32</v>
      </c>
      <c r="F224" s="25">
        <v>790</v>
      </c>
      <c r="G224" s="25">
        <v>529</v>
      </c>
      <c r="H224" s="25">
        <v>152</v>
      </c>
      <c r="I224" s="25">
        <v>83</v>
      </c>
      <c r="J224" s="25">
        <f t="shared" si="5"/>
        <v>69</v>
      </c>
      <c r="K224" s="25">
        <v>225</v>
      </c>
      <c r="L224" s="2">
        <v>2</v>
      </c>
      <c r="M224" s="60">
        <v>50</v>
      </c>
      <c r="N224" s="59" t="s">
        <v>182</v>
      </c>
      <c r="O224" s="61" t="s">
        <v>51</v>
      </c>
      <c r="P224" s="58"/>
      <c r="Q224" s="60"/>
      <c r="R224" s="90" t="s">
        <v>51</v>
      </c>
      <c r="S224" s="101"/>
      <c r="AP224" s="10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</row>
    <row r="225" spans="1:53" ht="18" customHeight="1" x14ac:dyDescent="0.35">
      <c r="A225" s="100" t="s">
        <v>321</v>
      </c>
      <c r="B225" s="2">
        <v>8</v>
      </c>
      <c r="C225" s="25" t="s">
        <v>51</v>
      </c>
      <c r="D225" s="25"/>
      <c r="E225" s="2" t="s">
        <v>32</v>
      </c>
      <c r="F225" s="25">
        <v>844</v>
      </c>
      <c r="G225" s="25">
        <v>565</v>
      </c>
      <c r="H225" s="25">
        <v>145</v>
      </c>
      <c r="I225" s="25">
        <v>89</v>
      </c>
      <c r="J225" s="25">
        <f t="shared" si="5"/>
        <v>56</v>
      </c>
      <c r="K225" s="25">
        <v>213</v>
      </c>
      <c r="L225" s="2">
        <v>2</v>
      </c>
      <c r="M225" s="60">
        <v>50</v>
      </c>
      <c r="N225" s="59" t="s">
        <v>182</v>
      </c>
      <c r="O225" s="61" t="s">
        <v>51</v>
      </c>
      <c r="P225" s="58"/>
      <c r="Q225" s="60"/>
      <c r="R225" s="90" t="s">
        <v>51</v>
      </c>
      <c r="S225" s="101"/>
      <c r="AP225" s="10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</row>
    <row r="226" spans="1:53" ht="18" customHeight="1" x14ac:dyDescent="0.35">
      <c r="A226" s="100" t="s">
        <v>322</v>
      </c>
      <c r="B226" s="2">
        <v>7.6</v>
      </c>
      <c r="C226" s="25">
        <v>19</v>
      </c>
      <c r="D226" s="25"/>
      <c r="E226" s="2">
        <v>0.5</v>
      </c>
      <c r="F226" s="25">
        <v>759</v>
      </c>
      <c r="G226" s="25">
        <v>508</v>
      </c>
      <c r="H226" s="25">
        <v>120</v>
      </c>
      <c r="I226" s="25">
        <v>74</v>
      </c>
      <c r="J226" s="25">
        <f t="shared" si="5"/>
        <v>46</v>
      </c>
      <c r="K226" s="25">
        <v>177</v>
      </c>
      <c r="L226" s="2">
        <v>2.2000000000000002</v>
      </c>
      <c r="M226" s="60">
        <v>54</v>
      </c>
      <c r="N226" s="59" t="s">
        <v>182</v>
      </c>
      <c r="O226" s="61" t="s">
        <v>51</v>
      </c>
      <c r="P226" s="58"/>
      <c r="Q226" s="60"/>
      <c r="R226" s="90" t="s">
        <v>51</v>
      </c>
      <c r="S226" s="101"/>
      <c r="AP226" s="10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</row>
    <row r="227" spans="1:53" ht="18" customHeight="1" x14ac:dyDescent="0.35">
      <c r="A227" s="100" t="s">
        <v>323</v>
      </c>
      <c r="B227" s="2">
        <v>8.1</v>
      </c>
      <c r="C227" s="25" t="s">
        <v>51</v>
      </c>
      <c r="D227" s="25"/>
      <c r="E227" s="2" t="s">
        <v>32</v>
      </c>
      <c r="F227" s="25">
        <v>860</v>
      </c>
      <c r="G227" s="25">
        <v>576</v>
      </c>
      <c r="H227" s="25">
        <v>120</v>
      </c>
      <c r="I227" s="25">
        <v>74</v>
      </c>
      <c r="J227" s="25">
        <f t="shared" si="5"/>
        <v>46</v>
      </c>
      <c r="K227" s="25">
        <v>180</v>
      </c>
      <c r="L227" s="2">
        <v>2.2999999999999998</v>
      </c>
      <c r="M227" s="25">
        <v>74</v>
      </c>
      <c r="N227" s="59" t="s">
        <v>182</v>
      </c>
      <c r="O227" s="61" t="s">
        <v>51</v>
      </c>
      <c r="P227" s="58"/>
      <c r="Q227" s="60"/>
      <c r="R227" s="90" t="s">
        <v>51</v>
      </c>
      <c r="S227" s="101"/>
      <c r="AP227" s="10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</row>
    <row r="228" spans="1:53" ht="18" customHeight="1" x14ac:dyDescent="0.35">
      <c r="A228" s="70" t="s">
        <v>324</v>
      </c>
      <c r="B228" s="2">
        <v>8.1999999999999993</v>
      </c>
      <c r="C228" s="25" t="s">
        <v>51</v>
      </c>
      <c r="D228" s="25"/>
      <c r="E228" s="2">
        <v>0.1</v>
      </c>
      <c r="F228" s="25">
        <v>854</v>
      </c>
      <c r="G228" s="25">
        <v>572</v>
      </c>
      <c r="H228" s="25">
        <v>127</v>
      </c>
      <c r="I228" s="25">
        <v>78</v>
      </c>
      <c r="J228" s="25">
        <f t="shared" si="5"/>
        <v>49</v>
      </c>
      <c r="K228" s="25">
        <v>205</v>
      </c>
      <c r="L228" s="2">
        <v>2.5</v>
      </c>
      <c r="M228" s="25">
        <v>74</v>
      </c>
      <c r="N228" s="59">
        <v>1</v>
      </c>
      <c r="O228" s="61" t="s">
        <v>51</v>
      </c>
      <c r="P228" s="58"/>
      <c r="Q228" s="60"/>
      <c r="R228" s="90" t="s">
        <v>51</v>
      </c>
      <c r="S228" s="101"/>
      <c r="AP228" s="10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</row>
    <row r="229" spans="1:53" ht="18" customHeight="1" x14ac:dyDescent="0.35">
      <c r="A229" s="100" t="s">
        <v>325</v>
      </c>
      <c r="B229" s="2">
        <v>8.3000000000000007</v>
      </c>
      <c r="C229" s="25" t="s">
        <v>51</v>
      </c>
      <c r="D229" s="25"/>
      <c r="E229" s="2">
        <v>0.1</v>
      </c>
      <c r="F229" s="25">
        <v>895</v>
      </c>
      <c r="G229" s="25">
        <v>599</v>
      </c>
      <c r="H229" s="25">
        <v>100</v>
      </c>
      <c r="I229" s="25">
        <v>62</v>
      </c>
      <c r="J229" s="25">
        <f t="shared" si="5"/>
        <v>38</v>
      </c>
      <c r="K229" s="25">
        <v>275</v>
      </c>
      <c r="L229" s="25">
        <v>2.2999999999999998</v>
      </c>
      <c r="M229" s="25">
        <v>62</v>
      </c>
      <c r="N229" s="59" t="s">
        <v>182</v>
      </c>
      <c r="O229" s="61" t="s">
        <v>51</v>
      </c>
      <c r="P229" s="25"/>
      <c r="Q229" s="60"/>
      <c r="R229" s="91" t="s">
        <v>51</v>
      </c>
      <c r="S229" s="101"/>
      <c r="AP229" s="10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</row>
    <row r="230" spans="1:53" ht="18" customHeight="1" x14ac:dyDescent="0.35">
      <c r="A230" s="100" t="s">
        <v>326</v>
      </c>
      <c r="B230" s="2">
        <v>8.1999999999999993</v>
      </c>
      <c r="C230" s="25">
        <v>22</v>
      </c>
      <c r="D230" s="25"/>
      <c r="E230" s="2">
        <v>0.5</v>
      </c>
      <c r="F230" s="25">
        <v>941</v>
      </c>
      <c r="G230" s="25">
        <v>630</v>
      </c>
      <c r="H230" s="25">
        <v>110</v>
      </c>
      <c r="I230" s="25">
        <v>68</v>
      </c>
      <c r="J230" s="25">
        <f t="shared" si="5"/>
        <v>42</v>
      </c>
      <c r="K230" s="25">
        <v>228</v>
      </c>
      <c r="L230" s="2">
        <v>2</v>
      </c>
      <c r="M230" s="25">
        <v>95</v>
      </c>
      <c r="N230" s="59" t="s">
        <v>182</v>
      </c>
      <c r="O230" s="61" t="s">
        <v>51</v>
      </c>
      <c r="P230" s="25"/>
      <c r="Q230" s="60"/>
      <c r="R230" s="91" t="s">
        <v>51</v>
      </c>
      <c r="S230" s="101"/>
      <c r="AP230" s="10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</row>
    <row r="231" spans="1:53" ht="17.25" customHeight="1" thickBot="1" x14ac:dyDescent="0.4">
      <c r="A231" s="111" t="s">
        <v>327</v>
      </c>
      <c r="B231" s="25">
        <v>8.4</v>
      </c>
      <c r="C231" s="25">
        <v>19</v>
      </c>
      <c r="D231" s="25"/>
      <c r="E231" s="2">
        <v>0.1</v>
      </c>
      <c r="F231" s="25">
        <v>1029</v>
      </c>
      <c r="G231" s="25">
        <v>689</v>
      </c>
      <c r="H231" s="25">
        <v>160</v>
      </c>
      <c r="I231" s="25">
        <v>99</v>
      </c>
      <c r="J231" s="25">
        <f t="shared" si="5"/>
        <v>61</v>
      </c>
      <c r="K231" s="25">
        <v>260</v>
      </c>
      <c r="L231" s="25">
        <v>2</v>
      </c>
      <c r="M231" s="25">
        <v>100</v>
      </c>
      <c r="N231" s="59">
        <v>2</v>
      </c>
      <c r="O231" s="61" t="s">
        <v>51</v>
      </c>
      <c r="P231" s="25"/>
      <c r="Q231" s="60"/>
      <c r="R231" s="91" t="s">
        <v>51</v>
      </c>
      <c r="S231" s="101"/>
      <c r="AP231" s="10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</row>
    <row r="232" spans="1:53" ht="18" customHeight="1" x14ac:dyDescent="0.35">
      <c r="A232" s="110" t="s">
        <v>328</v>
      </c>
      <c r="B232" s="1">
        <v>8.1</v>
      </c>
      <c r="C232" s="12">
        <v>29</v>
      </c>
      <c r="D232" s="12"/>
      <c r="E232" s="1">
        <v>0.4</v>
      </c>
      <c r="F232" s="85">
        <v>1168</v>
      </c>
      <c r="G232" s="85">
        <v>782</v>
      </c>
      <c r="H232" s="76">
        <v>210</v>
      </c>
      <c r="I232" s="76">
        <v>130</v>
      </c>
      <c r="J232" s="25">
        <f t="shared" si="5"/>
        <v>80</v>
      </c>
      <c r="K232" s="76">
        <v>293</v>
      </c>
      <c r="L232" s="87">
        <v>2</v>
      </c>
      <c r="M232" s="88">
        <v>75</v>
      </c>
      <c r="N232" s="59" t="s">
        <v>182</v>
      </c>
      <c r="O232" s="57" t="s">
        <v>51</v>
      </c>
      <c r="P232" s="17"/>
      <c r="Q232" s="60"/>
      <c r="R232" s="90" t="s">
        <v>51</v>
      </c>
      <c r="S232" s="101"/>
      <c r="AP232" s="10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</row>
    <row r="233" spans="1:53" ht="18" customHeight="1" x14ac:dyDescent="0.35">
      <c r="A233" s="100" t="s">
        <v>329</v>
      </c>
      <c r="B233" s="2">
        <v>8.1999999999999993</v>
      </c>
      <c r="C233" s="58">
        <v>42</v>
      </c>
      <c r="D233" s="58"/>
      <c r="E233" s="2" t="s">
        <v>32</v>
      </c>
      <c r="F233" s="50">
        <v>1182</v>
      </c>
      <c r="G233" s="25">
        <v>791</v>
      </c>
      <c r="H233" s="25">
        <v>200</v>
      </c>
      <c r="I233" s="25">
        <v>124</v>
      </c>
      <c r="J233" s="25">
        <f t="shared" si="5"/>
        <v>76</v>
      </c>
      <c r="K233" s="25">
        <v>275</v>
      </c>
      <c r="L233" s="59">
        <v>2</v>
      </c>
      <c r="M233" s="60">
        <v>80</v>
      </c>
      <c r="N233" s="59" t="s">
        <v>182</v>
      </c>
      <c r="O233" s="57" t="s">
        <v>51</v>
      </c>
      <c r="P233" s="17"/>
      <c r="Q233" s="60"/>
      <c r="R233" s="90" t="s">
        <v>51</v>
      </c>
      <c r="S233" s="101"/>
      <c r="AP233" s="10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</row>
    <row r="234" spans="1:53" ht="18" customHeight="1" x14ac:dyDescent="0.35">
      <c r="A234" s="100" t="s">
        <v>330</v>
      </c>
      <c r="B234" s="2">
        <v>7.9</v>
      </c>
      <c r="C234" s="58">
        <v>38</v>
      </c>
      <c r="D234" s="58"/>
      <c r="E234" s="2">
        <v>0.3</v>
      </c>
      <c r="F234" s="50">
        <v>991</v>
      </c>
      <c r="G234" s="50">
        <v>663</v>
      </c>
      <c r="H234" s="25">
        <v>180</v>
      </c>
      <c r="I234" s="25">
        <v>111</v>
      </c>
      <c r="J234" s="25">
        <f t="shared" si="5"/>
        <v>69</v>
      </c>
      <c r="K234" s="25">
        <v>270</v>
      </c>
      <c r="L234" s="59">
        <v>1.8</v>
      </c>
      <c r="M234" s="60">
        <v>60</v>
      </c>
      <c r="N234" s="59" t="s">
        <v>182</v>
      </c>
      <c r="O234" s="61" t="s">
        <v>51</v>
      </c>
      <c r="P234" s="58"/>
      <c r="Q234" s="60"/>
      <c r="R234" s="90" t="s">
        <v>51</v>
      </c>
      <c r="S234" s="101"/>
      <c r="AP234" s="10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</row>
    <row r="235" spans="1:53" ht="18" customHeight="1" x14ac:dyDescent="0.35">
      <c r="A235" s="100" t="s">
        <v>331</v>
      </c>
      <c r="B235" s="2">
        <v>7.9</v>
      </c>
      <c r="C235" s="17">
        <v>32</v>
      </c>
      <c r="D235" s="17"/>
      <c r="E235" s="2">
        <v>0.2</v>
      </c>
      <c r="F235" s="50">
        <v>988</v>
      </c>
      <c r="G235" s="50">
        <v>661</v>
      </c>
      <c r="H235" s="25">
        <v>169</v>
      </c>
      <c r="I235" s="25">
        <v>104</v>
      </c>
      <c r="J235" s="25">
        <f t="shared" si="5"/>
        <v>65</v>
      </c>
      <c r="K235" s="25">
        <v>265</v>
      </c>
      <c r="L235" s="59">
        <v>1.8</v>
      </c>
      <c r="M235" s="60">
        <v>54</v>
      </c>
      <c r="N235" s="59" t="s">
        <v>182</v>
      </c>
      <c r="O235" s="61" t="s">
        <v>51</v>
      </c>
      <c r="P235" s="58"/>
      <c r="Q235" s="60"/>
      <c r="R235" s="90" t="s">
        <v>51</v>
      </c>
      <c r="S235" s="101"/>
      <c r="AP235" s="10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</row>
    <row r="236" spans="1:53" ht="18" customHeight="1" x14ac:dyDescent="0.35">
      <c r="A236" s="100" t="s">
        <v>332</v>
      </c>
      <c r="B236" s="2">
        <v>7.3</v>
      </c>
      <c r="C236" s="17">
        <v>58</v>
      </c>
      <c r="D236" s="17"/>
      <c r="E236" s="2">
        <v>0.2</v>
      </c>
      <c r="F236" s="50">
        <v>1065</v>
      </c>
      <c r="G236" s="50">
        <v>713</v>
      </c>
      <c r="H236" s="25">
        <v>193</v>
      </c>
      <c r="I236" s="25">
        <v>119</v>
      </c>
      <c r="J236" s="25">
        <f t="shared" si="5"/>
        <v>74</v>
      </c>
      <c r="K236" s="25">
        <v>284</v>
      </c>
      <c r="L236" s="59">
        <v>1.5</v>
      </c>
      <c r="M236" s="60">
        <v>50</v>
      </c>
      <c r="N236" s="59" t="s">
        <v>182</v>
      </c>
      <c r="O236" s="61" t="s">
        <v>51</v>
      </c>
      <c r="P236" s="17"/>
      <c r="Q236" s="60"/>
      <c r="R236" s="90" t="s">
        <v>51</v>
      </c>
      <c r="S236" s="101"/>
      <c r="AP236" s="10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</row>
    <row r="237" spans="1:53" ht="18" customHeight="1" x14ac:dyDescent="0.35">
      <c r="A237" s="100" t="s">
        <v>333</v>
      </c>
      <c r="B237" s="2">
        <v>5.7</v>
      </c>
      <c r="C237" s="58">
        <v>40</v>
      </c>
      <c r="D237" s="58"/>
      <c r="E237" s="2">
        <v>0.2</v>
      </c>
      <c r="F237" s="50">
        <v>954</v>
      </c>
      <c r="G237" s="50">
        <v>639</v>
      </c>
      <c r="H237" s="25">
        <v>165</v>
      </c>
      <c r="I237" s="25">
        <v>102</v>
      </c>
      <c r="J237" s="25">
        <f t="shared" si="5"/>
        <v>63</v>
      </c>
      <c r="K237" s="25">
        <v>248</v>
      </c>
      <c r="L237" s="59">
        <v>1.5</v>
      </c>
      <c r="M237" s="60">
        <v>20</v>
      </c>
      <c r="N237" s="59" t="s">
        <v>182</v>
      </c>
      <c r="O237" s="61" t="s">
        <v>51</v>
      </c>
      <c r="P237" s="17"/>
      <c r="Q237" s="60"/>
      <c r="R237" s="90" t="s">
        <v>51</v>
      </c>
      <c r="S237" s="101"/>
      <c r="AP237" s="10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</row>
    <row r="238" spans="1:53" ht="18" customHeight="1" x14ac:dyDescent="0.35">
      <c r="A238" s="100" t="s">
        <v>334</v>
      </c>
      <c r="B238" s="2">
        <v>8.1999999999999993</v>
      </c>
      <c r="C238" s="17">
        <v>52</v>
      </c>
      <c r="D238" s="17"/>
      <c r="E238" s="2">
        <v>0.5</v>
      </c>
      <c r="F238" s="50">
        <v>1151</v>
      </c>
      <c r="G238" s="50">
        <v>771</v>
      </c>
      <c r="H238" s="25">
        <v>173</v>
      </c>
      <c r="I238" s="25">
        <v>110</v>
      </c>
      <c r="J238" s="25">
        <f t="shared" si="5"/>
        <v>63</v>
      </c>
      <c r="K238" s="25">
        <v>258</v>
      </c>
      <c r="L238" s="59">
        <v>1.5</v>
      </c>
      <c r="M238" s="60">
        <v>40</v>
      </c>
      <c r="N238" s="59" t="s">
        <v>182</v>
      </c>
      <c r="O238" s="61" t="s">
        <v>51</v>
      </c>
      <c r="P238" s="17"/>
      <c r="Q238" s="60"/>
      <c r="R238" s="90" t="s">
        <v>51</v>
      </c>
      <c r="S238" s="101"/>
      <c r="AP238" s="10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</row>
    <row r="239" spans="1:53" ht="18" customHeight="1" x14ac:dyDescent="0.35">
      <c r="A239" s="100" t="s">
        <v>335</v>
      </c>
      <c r="B239" s="2">
        <v>8.1</v>
      </c>
      <c r="C239" s="58" t="s">
        <v>51</v>
      </c>
      <c r="D239" s="58"/>
      <c r="E239" s="2">
        <v>0.2</v>
      </c>
      <c r="F239" s="17">
        <v>1048</v>
      </c>
      <c r="G239" s="17">
        <v>702</v>
      </c>
      <c r="H239" s="17">
        <v>165</v>
      </c>
      <c r="I239" s="17">
        <v>102</v>
      </c>
      <c r="J239" s="25">
        <f t="shared" si="5"/>
        <v>63</v>
      </c>
      <c r="K239" s="17">
        <v>247</v>
      </c>
      <c r="L239" s="59">
        <v>1.5</v>
      </c>
      <c r="M239" s="60">
        <v>44</v>
      </c>
      <c r="N239" s="59" t="s">
        <v>182</v>
      </c>
      <c r="O239" s="61" t="s">
        <v>51</v>
      </c>
      <c r="P239" s="17"/>
      <c r="Q239" s="60"/>
      <c r="R239" s="90" t="s">
        <v>51</v>
      </c>
      <c r="S239" s="101"/>
      <c r="AP239" s="10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</row>
    <row r="240" spans="1:53" ht="18" customHeight="1" x14ac:dyDescent="0.35">
      <c r="A240" s="100" t="s">
        <v>336</v>
      </c>
      <c r="B240" s="2">
        <v>8.1999999999999993</v>
      </c>
      <c r="C240" s="58">
        <v>45</v>
      </c>
      <c r="D240" s="58"/>
      <c r="E240" s="2">
        <v>0.4</v>
      </c>
      <c r="F240" s="50">
        <v>1000</v>
      </c>
      <c r="G240" s="50">
        <v>670</v>
      </c>
      <c r="H240" s="25">
        <v>153</v>
      </c>
      <c r="I240" s="25">
        <v>94</v>
      </c>
      <c r="J240" s="25">
        <f t="shared" si="5"/>
        <v>59</v>
      </c>
      <c r="K240" s="25">
        <v>248</v>
      </c>
      <c r="L240" s="59">
        <v>2</v>
      </c>
      <c r="M240" s="60">
        <v>46</v>
      </c>
      <c r="N240" s="59" t="s">
        <v>182</v>
      </c>
      <c r="O240" s="61" t="s">
        <v>51</v>
      </c>
      <c r="P240" s="17"/>
      <c r="Q240" s="60"/>
      <c r="R240" s="90" t="s">
        <v>51</v>
      </c>
      <c r="S240" s="101"/>
      <c r="AP240" s="10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</row>
    <row r="241" spans="1:53" ht="18" customHeight="1" x14ac:dyDescent="0.35">
      <c r="A241" s="100" t="s">
        <v>337</v>
      </c>
      <c r="B241" s="2">
        <v>8</v>
      </c>
      <c r="C241" s="58">
        <v>71</v>
      </c>
      <c r="D241" s="58">
        <v>44</v>
      </c>
      <c r="E241" s="2">
        <v>0.2</v>
      </c>
      <c r="F241" s="50">
        <v>1097</v>
      </c>
      <c r="G241" s="50">
        <v>735</v>
      </c>
      <c r="H241" s="25">
        <v>200</v>
      </c>
      <c r="I241" s="25">
        <v>124</v>
      </c>
      <c r="J241" s="25">
        <f t="shared" si="5"/>
        <v>76</v>
      </c>
      <c r="K241" s="25">
        <v>284</v>
      </c>
      <c r="L241" s="59">
        <v>2.5</v>
      </c>
      <c r="M241" s="60">
        <v>37</v>
      </c>
      <c r="N241" s="59" t="s">
        <v>182</v>
      </c>
      <c r="O241" s="61" t="s">
        <v>51</v>
      </c>
      <c r="P241" s="17"/>
      <c r="Q241" s="60"/>
      <c r="R241" s="90" t="s">
        <v>51</v>
      </c>
      <c r="S241" s="101"/>
      <c r="AP241" s="10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</row>
    <row r="242" spans="1:53" ht="18" customHeight="1" x14ac:dyDescent="0.35">
      <c r="A242" s="100" t="s">
        <v>338</v>
      </c>
      <c r="B242" s="2">
        <v>7.7</v>
      </c>
      <c r="C242" s="58">
        <v>66</v>
      </c>
      <c r="D242" s="58">
        <v>40</v>
      </c>
      <c r="E242" s="2">
        <v>0.3</v>
      </c>
      <c r="F242" s="50">
        <v>1153</v>
      </c>
      <c r="G242" s="50">
        <v>772</v>
      </c>
      <c r="H242" s="25">
        <v>210</v>
      </c>
      <c r="I242" s="25">
        <v>130</v>
      </c>
      <c r="J242" s="25">
        <f t="shared" si="5"/>
        <v>80</v>
      </c>
      <c r="K242" s="25">
        <v>286</v>
      </c>
      <c r="L242" s="59">
        <v>2.5</v>
      </c>
      <c r="M242" s="60">
        <v>40</v>
      </c>
      <c r="N242" s="59" t="s">
        <v>182</v>
      </c>
      <c r="O242" s="61" t="s">
        <v>51</v>
      </c>
      <c r="P242" s="58"/>
      <c r="Q242" s="60"/>
      <c r="R242" s="90" t="s">
        <v>51</v>
      </c>
      <c r="S242" s="101"/>
      <c r="AP242" s="10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</row>
    <row r="243" spans="1:53" ht="18" customHeight="1" x14ac:dyDescent="0.35">
      <c r="A243" s="100" t="s">
        <v>339</v>
      </c>
      <c r="B243" s="2">
        <v>8</v>
      </c>
      <c r="C243" s="58">
        <v>69</v>
      </c>
      <c r="D243" s="58">
        <v>47</v>
      </c>
      <c r="E243" s="2" t="s">
        <v>32</v>
      </c>
      <c r="F243" s="50">
        <v>1284</v>
      </c>
      <c r="G243" s="50">
        <v>860</v>
      </c>
      <c r="H243" s="25">
        <v>220</v>
      </c>
      <c r="I243" s="25">
        <v>134</v>
      </c>
      <c r="J243" s="25">
        <f t="shared" si="5"/>
        <v>86</v>
      </c>
      <c r="K243" s="25">
        <v>270</v>
      </c>
      <c r="L243" s="59">
        <v>2.2999999999999998</v>
      </c>
      <c r="M243" s="60">
        <v>45</v>
      </c>
      <c r="N243" s="59" t="s">
        <v>182</v>
      </c>
      <c r="O243" s="61" t="s">
        <v>51</v>
      </c>
      <c r="P243" s="58"/>
      <c r="Q243" s="60"/>
      <c r="R243" s="90" t="s">
        <v>51</v>
      </c>
      <c r="S243" s="101"/>
      <c r="AP243" s="10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</row>
    <row r="244" spans="1:53" ht="18" customHeight="1" x14ac:dyDescent="0.35">
      <c r="A244" s="100" t="s">
        <v>340</v>
      </c>
      <c r="B244" s="2">
        <v>8.4</v>
      </c>
      <c r="C244" s="58" t="s">
        <v>51</v>
      </c>
      <c r="D244" s="58">
        <v>27</v>
      </c>
      <c r="E244" s="2">
        <v>0.1</v>
      </c>
      <c r="F244" s="50">
        <v>1071</v>
      </c>
      <c r="G244" s="50">
        <v>718</v>
      </c>
      <c r="H244" s="25">
        <v>200</v>
      </c>
      <c r="I244" s="25">
        <v>124</v>
      </c>
      <c r="J244" s="25">
        <f t="shared" si="5"/>
        <v>76</v>
      </c>
      <c r="K244" s="25">
        <v>262</v>
      </c>
      <c r="L244" s="59">
        <v>2.1</v>
      </c>
      <c r="M244" s="60">
        <v>66</v>
      </c>
      <c r="N244" s="59" t="s">
        <v>182</v>
      </c>
      <c r="O244" s="61" t="s">
        <v>51</v>
      </c>
      <c r="P244" s="58"/>
      <c r="Q244" s="60"/>
      <c r="R244" s="90" t="s">
        <v>51</v>
      </c>
      <c r="S244" s="101"/>
      <c r="AP244" s="10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</row>
    <row r="245" spans="1:53" ht="18" customHeight="1" x14ac:dyDescent="0.35">
      <c r="A245" s="100" t="s">
        <v>341</v>
      </c>
      <c r="B245" s="2">
        <v>8.4</v>
      </c>
      <c r="C245" s="58" t="s">
        <v>51</v>
      </c>
      <c r="D245" s="58">
        <v>22</v>
      </c>
      <c r="E245" s="2" t="s">
        <v>32</v>
      </c>
      <c r="F245" s="50">
        <v>978</v>
      </c>
      <c r="G245" s="50">
        <v>655</v>
      </c>
      <c r="H245" s="50">
        <v>180</v>
      </c>
      <c r="I245" s="25">
        <v>111</v>
      </c>
      <c r="J245" s="25">
        <f t="shared" si="5"/>
        <v>69</v>
      </c>
      <c r="K245" s="25">
        <v>248</v>
      </c>
      <c r="L245" s="59">
        <v>1.8</v>
      </c>
      <c r="M245" s="60">
        <v>70</v>
      </c>
      <c r="N245" s="59">
        <v>2</v>
      </c>
      <c r="O245" s="61">
        <v>0.4</v>
      </c>
      <c r="P245" s="58"/>
      <c r="Q245" s="60"/>
      <c r="R245" s="90" t="s">
        <v>51</v>
      </c>
      <c r="S245" s="101"/>
      <c r="AP245" s="10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</row>
    <row r="246" spans="1:53" ht="18" customHeight="1" x14ac:dyDescent="0.35">
      <c r="A246" s="100" t="s">
        <v>342</v>
      </c>
      <c r="B246" s="2">
        <v>8.5</v>
      </c>
      <c r="C246" s="58" t="s">
        <v>51</v>
      </c>
      <c r="D246" s="58">
        <v>13</v>
      </c>
      <c r="E246" s="2" t="s">
        <v>32</v>
      </c>
      <c r="F246" s="50">
        <v>1000</v>
      </c>
      <c r="G246" s="50">
        <v>670</v>
      </c>
      <c r="H246" s="25">
        <v>195</v>
      </c>
      <c r="I246" s="25">
        <v>120</v>
      </c>
      <c r="J246" s="25">
        <f t="shared" si="5"/>
        <v>75</v>
      </c>
      <c r="K246" s="25">
        <v>260</v>
      </c>
      <c r="L246" s="59">
        <v>2.1</v>
      </c>
      <c r="M246" s="60">
        <v>66</v>
      </c>
      <c r="N246" s="59">
        <v>3</v>
      </c>
      <c r="O246" s="61">
        <v>0.4</v>
      </c>
      <c r="P246" s="58"/>
      <c r="Q246" s="60"/>
      <c r="R246" s="90"/>
      <c r="S246" s="101"/>
      <c r="AP246" s="10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</row>
    <row r="247" spans="1:53" ht="18" customHeight="1" x14ac:dyDescent="0.35">
      <c r="A247" s="100" t="s">
        <v>343</v>
      </c>
      <c r="B247" s="2">
        <v>8.5</v>
      </c>
      <c r="C247" s="58" t="s">
        <v>51</v>
      </c>
      <c r="D247" s="58">
        <v>12</v>
      </c>
      <c r="E247" s="2" t="s">
        <v>32</v>
      </c>
      <c r="F247" s="50">
        <v>953</v>
      </c>
      <c r="G247" s="50">
        <v>638</v>
      </c>
      <c r="H247" s="25">
        <v>200</v>
      </c>
      <c r="I247" s="25">
        <v>124</v>
      </c>
      <c r="J247" s="25">
        <f t="shared" si="5"/>
        <v>76</v>
      </c>
      <c r="K247" s="25">
        <v>240</v>
      </c>
      <c r="L247" s="59">
        <v>2.5</v>
      </c>
      <c r="M247" s="60">
        <v>50</v>
      </c>
      <c r="N247" s="59" t="s">
        <v>182</v>
      </c>
      <c r="O247" s="61">
        <v>0.3</v>
      </c>
      <c r="P247" s="58"/>
      <c r="Q247" s="60"/>
      <c r="R247" s="90" t="s">
        <v>51</v>
      </c>
      <c r="S247" s="101"/>
      <c r="AP247" s="10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</row>
    <row r="248" spans="1:53" ht="18" customHeight="1" x14ac:dyDescent="0.35">
      <c r="A248" s="100" t="s">
        <v>344</v>
      </c>
      <c r="B248" s="2">
        <v>8.5</v>
      </c>
      <c r="C248" s="58" t="s">
        <v>51</v>
      </c>
      <c r="D248" s="58">
        <v>13</v>
      </c>
      <c r="E248" s="2" t="s">
        <v>32</v>
      </c>
      <c r="F248" s="50">
        <v>940</v>
      </c>
      <c r="G248" s="50">
        <v>624</v>
      </c>
      <c r="H248" s="25">
        <v>193</v>
      </c>
      <c r="I248" s="25">
        <v>119</v>
      </c>
      <c r="J248" s="25">
        <f t="shared" si="5"/>
        <v>74</v>
      </c>
      <c r="K248" s="25">
        <v>236</v>
      </c>
      <c r="L248" s="59">
        <v>2.1</v>
      </c>
      <c r="M248" s="60">
        <v>53</v>
      </c>
      <c r="N248" s="59" t="s">
        <v>182</v>
      </c>
      <c r="O248" s="61">
        <v>0.3</v>
      </c>
      <c r="P248" s="58"/>
      <c r="Q248" s="60"/>
      <c r="R248" s="90" t="s">
        <v>51</v>
      </c>
      <c r="S248" s="101"/>
      <c r="AP248" s="10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</row>
    <row r="249" spans="1:53" ht="18" customHeight="1" x14ac:dyDescent="0.35">
      <c r="A249" s="100" t="s">
        <v>345</v>
      </c>
      <c r="B249" s="2">
        <v>8.4</v>
      </c>
      <c r="C249" s="58" t="s">
        <v>51</v>
      </c>
      <c r="D249" s="58">
        <v>14</v>
      </c>
      <c r="E249" s="2" t="s">
        <v>32</v>
      </c>
      <c r="F249" s="50">
        <v>900</v>
      </c>
      <c r="G249" s="50">
        <v>603</v>
      </c>
      <c r="H249" s="25">
        <v>160</v>
      </c>
      <c r="I249" s="25">
        <v>99</v>
      </c>
      <c r="J249" s="25">
        <f t="shared" si="5"/>
        <v>61</v>
      </c>
      <c r="K249" s="25">
        <v>236</v>
      </c>
      <c r="L249" s="59">
        <v>2</v>
      </c>
      <c r="M249" s="60">
        <v>66</v>
      </c>
      <c r="N249" s="59">
        <v>2</v>
      </c>
      <c r="O249" s="61" t="s">
        <v>51</v>
      </c>
      <c r="P249" s="58"/>
      <c r="Q249" s="60"/>
      <c r="R249" s="90" t="s">
        <v>51</v>
      </c>
      <c r="S249" s="101"/>
      <c r="AP249" s="10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</row>
    <row r="250" spans="1:53" ht="18" customHeight="1" x14ac:dyDescent="0.35">
      <c r="A250" s="100" t="s">
        <v>346</v>
      </c>
      <c r="B250" s="2">
        <v>8.4</v>
      </c>
      <c r="C250" s="25" t="s">
        <v>51</v>
      </c>
      <c r="D250" s="25">
        <v>14</v>
      </c>
      <c r="E250" s="2" t="s">
        <v>32</v>
      </c>
      <c r="F250" s="25">
        <v>910</v>
      </c>
      <c r="G250" s="25">
        <v>609</v>
      </c>
      <c r="H250" s="25">
        <v>135</v>
      </c>
      <c r="I250" s="25">
        <v>72</v>
      </c>
      <c r="J250" s="25">
        <f t="shared" si="5"/>
        <v>63</v>
      </c>
      <c r="K250" s="25">
        <v>229</v>
      </c>
      <c r="L250" s="59">
        <v>2</v>
      </c>
      <c r="M250" s="60">
        <v>50</v>
      </c>
      <c r="N250" s="59" t="s">
        <v>182</v>
      </c>
      <c r="O250" s="61">
        <v>0.3</v>
      </c>
      <c r="P250" s="58"/>
      <c r="Q250" s="60"/>
      <c r="R250" s="90" t="s">
        <v>51</v>
      </c>
      <c r="S250" s="101"/>
      <c r="AP250" s="10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</row>
    <row r="251" spans="1:53" ht="18" customHeight="1" x14ac:dyDescent="0.35">
      <c r="A251" s="100" t="s">
        <v>347</v>
      </c>
      <c r="B251" s="2">
        <v>8.3000000000000007</v>
      </c>
      <c r="C251" s="25" t="s">
        <v>51</v>
      </c>
      <c r="D251" s="25" t="s">
        <v>51</v>
      </c>
      <c r="E251" s="2" t="s">
        <v>32</v>
      </c>
      <c r="F251" s="25">
        <v>815</v>
      </c>
      <c r="G251" s="25">
        <v>546</v>
      </c>
      <c r="H251" s="25">
        <v>115</v>
      </c>
      <c r="I251" s="25">
        <v>71</v>
      </c>
      <c r="J251" s="25">
        <f t="shared" si="5"/>
        <v>44</v>
      </c>
      <c r="K251" s="25">
        <v>213</v>
      </c>
      <c r="L251" s="2">
        <v>2.2000000000000002</v>
      </c>
      <c r="M251" s="60">
        <v>62</v>
      </c>
      <c r="N251" s="59" t="s">
        <v>182</v>
      </c>
      <c r="O251" s="61">
        <v>0.3</v>
      </c>
      <c r="P251" s="58"/>
      <c r="Q251" s="60"/>
      <c r="R251" s="90" t="s">
        <v>51</v>
      </c>
      <c r="S251" s="101"/>
      <c r="AP251" s="10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</row>
    <row r="252" spans="1:53" ht="18" customHeight="1" x14ac:dyDescent="0.35">
      <c r="A252" s="100" t="s">
        <v>348</v>
      </c>
      <c r="B252" s="2">
        <v>8.1999999999999993</v>
      </c>
      <c r="C252" s="25" t="s">
        <v>51</v>
      </c>
      <c r="D252" s="25">
        <v>12</v>
      </c>
      <c r="E252" s="2" t="s">
        <v>32</v>
      </c>
      <c r="F252" s="25">
        <v>803</v>
      </c>
      <c r="G252" s="25">
        <v>538</v>
      </c>
      <c r="H252" s="25">
        <v>120</v>
      </c>
      <c r="I252" s="25">
        <v>75</v>
      </c>
      <c r="J252" s="25">
        <f t="shared" si="5"/>
        <v>45</v>
      </c>
      <c r="K252" s="25">
        <v>216</v>
      </c>
      <c r="L252" s="2">
        <v>2</v>
      </c>
      <c r="M252" s="60">
        <v>55</v>
      </c>
      <c r="N252" s="59" t="s">
        <v>182</v>
      </c>
      <c r="O252" s="61">
        <v>0.3</v>
      </c>
      <c r="P252" s="58"/>
      <c r="Q252" s="60"/>
      <c r="R252" s="90" t="s">
        <v>51</v>
      </c>
      <c r="S252" s="101"/>
      <c r="AP252" s="10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</row>
    <row r="253" spans="1:53" ht="18" customHeight="1" x14ac:dyDescent="0.35">
      <c r="A253" s="100" t="s">
        <v>349</v>
      </c>
      <c r="B253" s="2">
        <v>8.1</v>
      </c>
      <c r="C253" s="25" t="s">
        <v>51</v>
      </c>
      <c r="D253" s="25">
        <v>19</v>
      </c>
      <c r="E253" s="2">
        <v>0.2</v>
      </c>
      <c r="F253" s="25">
        <v>889</v>
      </c>
      <c r="G253" s="25">
        <v>596</v>
      </c>
      <c r="H253" s="25">
        <v>110</v>
      </c>
      <c r="I253" s="25">
        <v>68</v>
      </c>
      <c r="J253" s="25">
        <f t="shared" si="5"/>
        <v>42</v>
      </c>
      <c r="K253" s="25">
        <v>220</v>
      </c>
      <c r="L253" s="2">
        <v>1.9</v>
      </c>
      <c r="M253" s="60">
        <v>52</v>
      </c>
      <c r="N253" s="59" t="s">
        <v>182</v>
      </c>
      <c r="O253" s="61">
        <v>0.3</v>
      </c>
      <c r="P253" s="58"/>
      <c r="Q253" s="60"/>
      <c r="R253" s="90" t="s">
        <v>51</v>
      </c>
      <c r="S253" s="101"/>
      <c r="AP253" s="10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</row>
    <row r="254" spans="1:53" ht="18" customHeight="1" x14ac:dyDescent="0.35">
      <c r="A254" s="100" t="s">
        <v>350</v>
      </c>
      <c r="B254" s="2">
        <v>8</v>
      </c>
      <c r="C254" s="25" t="s">
        <v>51</v>
      </c>
      <c r="D254" s="25" t="s">
        <v>51</v>
      </c>
      <c r="E254" s="2" t="s">
        <v>32</v>
      </c>
      <c r="F254" s="25">
        <v>895</v>
      </c>
      <c r="G254" s="25">
        <v>599</v>
      </c>
      <c r="H254" s="25">
        <v>119</v>
      </c>
      <c r="I254" s="25">
        <v>73</v>
      </c>
      <c r="J254" s="25">
        <f t="shared" si="5"/>
        <v>46</v>
      </c>
      <c r="K254" s="25">
        <v>207</v>
      </c>
      <c r="L254" s="2">
        <v>2.2000000000000002</v>
      </c>
      <c r="M254" s="25">
        <v>56</v>
      </c>
      <c r="N254" s="59" t="s">
        <v>182</v>
      </c>
      <c r="O254" s="61">
        <v>0.3</v>
      </c>
      <c r="P254" s="58"/>
      <c r="Q254" s="60"/>
      <c r="R254" s="90" t="s">
        <v>51</v>
      </c>
      <c r="S254" s="101"/>
      <c r="AP254" s="10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</row>
    <row r="255" spans="1:53" ht="18" customHeight="1" x14ac:dyDescent="0.35">
      <c r="A255" s="70" t="s">
        <v>351</v>
      </c>
      <c r="B255" s="2">
        <v>7.9</v>
      </c>
      <c r="C255" s="25" t="s">
        <v>51</v>
      </c>
      <c r="D255" s="25">
        <v>18</v>
      </c>
      <c r="E255" s="2" t="s">
        <v>32</v>
      </c>
      <c r="F255" s="25">
        <v>830</v>
      </c>
      <c r="G255" s="25">
        <v>556</v>
      </c>
      <c r="H255" s="25">
        <v>120</v>
      </c>
      <c r="I255" s="25">
        <v>74</v>
      </c>
      <c r="J255" s="25">
        <f t="shared" si="5"/>
        <v>46</v>
      </c>
      <c r="K255" s="25">
        <v>213</v>
      </c>
      <c r="L255" s="2">
        <v>2</v>
      </c>
      <c r="M255" s="25">
        <v>33</v>
      </c>
      <c r="N255" s="59" t="s">
        <v>182</v>
      </c>
      <c r="O255" s="61">
        <v>0.3</v>
      </c>
      <c r="P255" s="58"/>
      <c r="Q255" s="60"/>
      <c r="R255" s="90" t="s">
        <v>51</v>
      </c>
      <c r="S255" s="101"/>
      <c r="AP255" s="10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</row>
    <row r="256" spans="1:53" ht="18" customHeight="1" thickBot="1" x14ac:dyDescent="0.4">
      <c r="A256" s="111" t="s">
        <v>352</v>
      </c>
      <c r="B256" s="2">
        <v>8.1999999999999993</v>
      </c>
      <c r="C256" s="25" t="s">
        <v>51</v>
      </c>
      <c r="D256" s="25">
        <v>10</v>
      </c>
      <c r="E256" s="2" t="s">
        <v>32</v>
      </c>
      <c r="F256" s="25">
        <v>703</v>
      </c>
      <c r="G256" s="25">
        <v>471</v>
      </c>
      <c r="H256" s="25">
        <v>110</v>
      </c>
      <c r="I256" s="25">
        <v>68</v>
      </c>
      <c r="J256" s="25">
        <f t="shared" si="5"/>
        <v>42</v>
      </c>
      <c r="K256" s="25">
        <v>177</v>
      </c>
      <c r="L256" s="25">
        <v>2.2999999999999998</v>
      </c>
      <c r="M256" s="25">
        <v>45</v>
      </c>
      <c r="N256" s="59" t="s">
        <v>182</v>
      </c>
      <c r="O256" s="61">
        <v>0.2</v>
      </c>
      <c r="P256" s="25"/>
      <c r="Q256" s="60"/>
      <c r="R256" s="91" t="s">
        <v>51</v>
      </c>
      <c r="S256" s="101"/>
      <c r="AP256" s="10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</row>
    <row r="257" spans="1:53" ht="18" customHeight="1" x14ac:dyDescent="0.35">
      <c r="A257" s="110" t="s">
        <v>355</v>
      </c>
      <c r="B257" s="107">
        <v>8.1999999999999993</v>
      </c>
      <c r="C257" s="12" t="s">
        <v>51</v>
      </c>
      <c r="D257" s="12">
        <v>11</v>
      </c>
      <c r="E257" s="1" t="s">
        <v>182</v>
      </c>
      <c r="F257" s="85">
        <v>668</v>
      </c>
      <c r="G257" s="85">
        <v>471</v>
      </c>
      <c r="H257" s="76">
        <v>121</v>
      </c>
      <c r="I257" s="76">
        <v>75</v>
      </c>
      <c r="J257" s="25">
        <f t="shared" si="5"/>
        <v>46</v>
      </c>
      <c r="K257" s="76">
        <v>185</v>
      </c>
      <c r="L257" s="87">
        <v>2.2999999999999998</v>
      </c>
      <c r="M257" s="88">
        <v>45</v>
      </c>
      <c r="N257" s="59" t="s">
        <v>182</v>
      </c>
      <c r="O257" s="57">
        <v>0.2</v>
      </c>
      <c r="P257" s="17"/>
      <c r="Q257" s="60"/>
      <c r="R257" s="90" t="s">
        <v>51</v>
      </c>
      <c r="S257" s="101"/>
      <c r="AP257" s="10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</row>
    <row r="258" spans="1:53" ht="18" customHeight="1" x14ac:dyDescent="0.35">
      <c r="A258" s="100" t="s">
        <v>356</v>
      </c>
      <c r="B258" s="108">
        <v>8.1</v>
      </c>
      <c r="C258" s="58" t="s">
        <v>51</v>
      </c>
      <c r="D258" s="58">
        <v>16</v>
      </c>
      <c r="E258" s="2" t="s">
        <v>182</v>
      </c>
      <c r="F258" s="50">
        <v>704</v>
      </c>
      <c r="G258" s="25">
        <v>471</v>
      </c>
      <c r="H258" s="25">
        <v>115</v>
      </c>
      <c r="I258" s="25">
        <v>71</v>
      </c>
      <c r="J258" s="25">
        <f t="shared" si="5"/>
        <v>44</v>
      </c>
      <c r="K258" s="25">
        <v>220</v>
      </c>
      <c r="L258" s="59">
        <v>3</v>
      </c>
      <c r="M258" s="60">
        <v>42</v>
      </c>
      <c r="N258" s="59" t="s">
        <v>182</v>
      </c>
      <c r="O258" s="57">
        <v>0.2</v>
      </c>
      <c r="P258" s="17"/>
      <c r="Q258" s="60"/>
      <c r="R258" s="90" t="s">
        <v>51</v>
      </c>
      <c r="S258" s="101"/>
      <c r="AP258" s="10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</row>
    <row r="259" spans="1:53" ht="18" customHeight="1" x14ac:dyDescent="0.35">
      <c r="A259" s="100" t="s">
        <v>357</v>
      </c>
      <c r="B259" s="108">
        <v>8.1999999999999993</v>
      </c>
      <c r="C259" s="58" t="s">
        <v>51</v>
      </c>
      <c r="D259" s="58">
        <v>18</v>
      </c>
      <c r="E259" s="2" t="s">
        <v>182</v>
      </c>
      <c r="F259" s="50">
        <v>725</v>
      </c>
      <c r="G259" s="50">
        <v>485</v>
      </c>
      <c r="H259" s="25">
        <v>110</v>
      </c>
      <c r="I259" s="25">
        <v>68</v>
      </c>
      <c r="J259" s="25">
        <f t="shared" si="5"/>
        <v>42</v>
      </c>
      <c r="K259" s="25">
        <v>200</v>
      </c>
      <c r="L259" s="59">
        <v>3</v>
      </c>
      <c r="M259" s="60">
        <v>50</v>
      </c>
      <c r="N259" s="59" t="s">
        <v>182</v>
      </c>
      <c r="O259" s="61">
        <v>0.2</v>
      </c>
      <c r="P259" s="58"/>
      <c r="Q259" s="60"/>
      <c r="R259" s="90"/>
      <c r="S259" s="101"/>
      <c r="AP259" s="10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</row>
    <row r="260" spans="1:53" ht="18" customHeight="1" x14ac:dyDescent="0.35">
      <c r="A260" s="100" t="s">
        <v>358</v>
      </c>
      <c r="B260" s="108">
        <v>8.1999999999999993</v>
      </c>
      <c r="C260" s="17" t="s">
        <v>51</v>
      </c>
      <c r="D260" s="17">
        <v>23</v>
      </c>
      <c r="E260" s="2" t="s">
        <v>182</v>
      </c>
      <c r="F260" s="50">
        <v>774</v>
      </c>
      <c r="G260" s="50">
        <v>518</v>
      </c>
      <c r="H260" s="25">
        <v>100</v>
      </c>
      <c r="I260" s="25">
        <v>62</v>
      </c>
      <c r="J260" s="25">
        <f t="shared" ref="J260:J282" si="6">H260-I260</f>
        <v>38</v>
      </c>
      <c r="K260" s="25">
        <v>213</v>
      </c>
      <c r="L260" s="59">
        <v>2.7</v>
      </c>
      <c r="M260" s="60">
        <v>50</v>
      </c>
      <c r="N260" s="59" t="s">
        <v>182</v>
      </c>
      <c r="O260" s="61">
        <v>0.3</v>
      </c>
      <c r="P260" s="58"/>
      <c r="Q260" s="60"/>
      <c r="R260" s="90" t="s">
        <v>51</v>
      </c>
      <c r="S260" s="101"/>
      <c r="AP260" s="10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</row>
    <row r="261" spans="1:53" ht="18" customHeight="1" x14ac:dyDescent="0.35">
      <c r="A261" s="100" t="s">
        <v>359</v>
      </c>
      <c r="B261" s="108">
        <v>8.4</v>
      </c>
      <c r="C261" s="17" t="s">
        <v>51</v>
      </c>
      <c r="D261" s="17">
        <v>20</v>
      </c>
      <c r="E261" s="2" t="s">
        <v>182</v>
      </c>
      <c r="F261" s="50">
        <v>747</v>
      </c>
      <c r="G261" s="50">
        <v>501</v>
      </c>
      <c r="H261" s="25">
        <v>110</v>
      </c>
      <c r="I261" s="25">
        <v>65</v>
      </c>
      <c r="J261" s="25">
        <f t="shared" si="6"/>
        <v>45</v>
      </c>
      <c r="K261" s="25">
        <v>225</v>
      </c>
      <c r="L261" s="59">
        <v>2.5</v>
      </c>
      <c r="M261" s="60">
        <v>50</v>
      </c>
      <c r="N261" s="59">
        <v>2</v>
      </c>
      <c r="O261" s="61">
        <v>0.3</v>
      </c>
      <c r="P261" s="17"/>
      <c r="Q261" s="60"/>
      <c r="R261" s="90" t="s">
        <v>51</v>
      </c>
      <c r="S261" s="101"/>
      <c r="AP261" s="10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</row>
    <row r="262" spans="1:53" ht="18" customHeight="1" x14ac:dyDescent="0.35">
      <c r="A262" s="100" t="s">
        <v>360</v>
      </c>
      <c r="B262" s="108">
        <v>8.5</v>
      </c>
      <c r="C262" s="58" t="s">
        <v>51</v>
      </c>
      <c r="D262" s="58">
        <v>15</v>
      </c>
      <c r="E262" s="2" t="s">
        <v>182</v>
      </c>
      <c r="F262" s="50">
        <v>701</v>
      </c>
      <c r="G262" s="50">
        <v>469</v>
      </c>
      <c r="H262" s="25">
        <v>120</v>
      </c>
      <c r="I262" s="25">
        <v>74</v>
      </c>
      <c r="J262" s="25">
        <f t="shared" si="6"/>
        <v>46</v>
      </c>
      <c r="K262" s="25">
        <v>213</v>
      </c>
      <c r="L262" s="59">
        <v>2.5</v>
      </c>
      <c r="M262" s="60">
        <v>66</v>
      </c>
      <c r="N262" s="59">
        <v>3</v>
      </c>
      <c r="O262" s="61">
        <v>0.3</v>
      </c>
      <c r="P262" s="17"/>
      <c r="Q262" s="60"/>
      <c r="R262" s="90" t="s">
        <v>51</v>
      </c>
      <c r="S262" s="101"/>
      <c r="AP262" s="10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</row>
    <row r="263" spans="1:53" ht="18" customHeight="1" x14ac:dyDescent="0.35">
      <c r="A263" s="100" t="s">
        <v>361</v>
      </c>
      <c r="B263" s="108">
        <v>8.3000000000000007</v>
      </c>
      <c r="C263" s="17" t="s">
        <v>51</v>
      </c>
      <c r="D263" s="17">
        <v>13</v>
      </c>
      <c r="E263" s="2" t="s">
        <v>182</v>
      </c>
      <c r="F263" s="50">
        <v>646</v>
      </c>
      <c r="G263" s="50">
        <v>432</v>
      </c>
      <c r="H263" s="25">
        <v>112</v>
      </c>
      <c r="I263" s="25">
        <v>70</v>
      </c>
      <c r="J263" s="25">
        <f t="shared" si="6"/>
        <v>42</v>
      </c>
      <c r="K263" s="25">
        <v>190</v>
      </c>
      <c r="L263" s="59">
        <v>2.2999999999999998</v>
      </c>
      <c r="M263" s="60">
        <v>60</v>
      </c>
      <c r="N263" s="59">
        <v>1</v>
      </c>
      <c r="O263" s="61">
        <v>0.2</v>
      </c>
      <c r="P263" s="17"/>
      <c r="Q263" s="60"/>
      <c r="R263" s="90" t="s">
        <v>51</v>
      </c>
      <c r="S263" s="101"/>
      <c r="AP263" s="10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</row>
    <row r="264" spans="1:53" ht="18" customHeight="1" x14ac:dyDescent="0.35">
      <c r="A264" s="100" t="s">
        <v>362</v>
      </c>
      <c r="B264" s="108">
        <v>8.4</v>
      </c>
      <c r="C264" s="58" t="s">
        <v>51</v>
      </c>
      <c r="D264" s="58">
        <v>10</v>
      </c>
      <c r="E264" s="2" t="s">
        <v>182</v>
      </c>
      <c r="F264" s="17">
        <v>610</v>
      </c>
      <c r="G264" s="17">
        <v>408</v>
      </c>
      <c r="H264" s="17">
        <v>120</v>
      </c>
      <c r="I264" s="17">
        <v>74</v>
      </c>
      <c r="J264" s="25">
        <f t="shared" si="6"/>
        <v>46</v>
      </c>
      <c r="K264" s="17">
        <v>210</v>
      </c>
      <c r="L264" s="59">
        <v>2.2999999999999998</v>
      </c>
      <c r="M264" s="60">
        <v>50</v>
      </c>
      <c r="N264" s="59">
        <v>2</v>
      </c>
      <c r="O264" s="61">
        <v>0.2</v>
      </c>
      <c r="P264" s="17"/>
      <c r="Q264" s="60"/>
      <c r="R264" s="90" t="s">
        <v>51</v>
      </c>
      <c r="S264" s="101"/>
      <c r="AP264" s="10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</row>
    <row r="265" spans="1:53" ht="18" customHeight="1" x14ac:dyDescent="0.35">
      <c r="A265" s="100" t="s">
        <v>363</v>
      </c>
      <c r="B265" s="108">
        <v>8.4</v>
      </c>
      <c r="C265" s="58" t="s">
        <v>51</v>
      </c>
      <c r="D265" s="58">
        <v>20</v>
      </c>
      <c r="E265" s="2" t="s">
        <v>182</v>
      </c>
      <c r="F265" s="50">
        <v>681</v>
      </c>
      <c r="G265" s="50">
        <v>456</v>
      </c>
      <c r="H265" s="25">
        <v>127</v>
      </c>
      <c r="I265" s="25">
        <v>78</v>
      </c>
      <c r="J265" s="25">
        <f t="shared" si="6"/>
        <v>49</v>
      </c>
      <c r="K265" s="25">
        <v>205</v>
      </c>
      <c r="L265" s="59">
        <v>2</v>
      </c>
      <c r="M265" s="60">
        <v>56</v>
      </c>
      <c r="N265" s="59">
        <v>2</v>
      </c>
      <c r="O265" s="61">
        <v>0.2</v>
      </c>
      <c r="P265" s="17"/>
      <c r="Q265" s="60"/>
      <c r="R265" s="90"/>
      <c r="S265" s="101"/>
      <c r="AP265" s="10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</row>
    <row r="266" spans="1:53" ht="18" customHeight="1" x14ac:dyDescent="0.35">
      <c r="A266" s="100" t="s">
        <v>364</v>
      </c>
      <c r="B266" s="108">
        <v>8.3000000000000007</v>
      </c>
      <c r="C266" s="58" t="s">
        <v>51</v>
      </c>
      <c r="D266" s="58">
        <v>12</v>
      </c>
      <c r="E266" s="2" t="s">
        <v>182</v>
      </c>
      <c r="F266" s="50">
        <v>666</v>
      </c>
      <c r="G266" s="50">
        <v>446</v>
      </c>
      <c r="H266" s="25">
        <v>120</v>
      </c>
      <c r="I266" s="25">
        <v>74</v>
      </c>
      <c r="J266" s="25">
        <f t="shared" si="6"/>
        <v>46</v>
      </c>
      <c r="K266" s="25">
        <v>216</v>
      </c>
      <c r="L266" s="59">
        <v>2</v>
      </c>
      <c r="M266" s="60">
        <v>60</v>
      </c>
      <c r="N266" s="59" t="s">
        <v>182</v>
      </c>
      <c r="O266" s="61">
        <v>0.3</v>
      </c>
      <c r="P266" s="17"/>
      <c r="Q266" s="60"/>
      <c r="R266" s="90"/>
      <c r="S266" s="101"/>
      <c r="AP266" s="10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</row>
    <row r="267" spans="1:53" ht="18" customHeight="1" x14ac:dyDescent="0.35">
      <c r="A267" s="100" t="s">
        <v>365</v>
      </c>
      <c r="B267" s="108">
        <v>8.35</v>
      </c>
      <c r="C267" s="58" t="s">
        <v>51</v>
      </c>
      <c r="D267" s="58">
        <v>12</v>
      </c>
      <c r="E267" s="2" t="s">
        <v>182</v>
      </c>
      <c r="F267" s="50">
        <v>700</v>
      </c>
      <c r="G267" s="50">
        <v>469</v>
      </c>
      <c r="H267" s="25">
        <v>112</v>
      </c>
      <c r="I267" s="25">
        <v>70</v>
      </c>
      <c r="J267" s="25">
        <f t="shared" si="6"/>
        <v>42</v>
      </c>
      <c r="K267" s="25">
        <v>202</v>
      </c>
      <c r="L267" s="59">
        <v>2.2999999999999998</v>
      </c>
      <c r="M267" s="60">
        <v>60</v>
      </c>
      <c r="N267" s="59">
        <v>1</v>
      </c>
      <c r="O267" s="61">
        <v>0.2</v>
      </c>
      <c r="P267" s="58"/>
      <c r="Q267" s="60"/>
      <c r="R267" s="90"/>
      <c r="S267" s="101"/>
      <c r="AP267" s="10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</row>
    <row r="268" spans="1:53" ht="18" customHeight="1" x14ac:dyDescent="0.35">
      <c r="A268" s="100" t="s">
        <v>366</v>
      </c>
      <c r="B268" s="108">
        <v>8.1999999999999993</v>
      </c>
      <c r="C268" s="58" t="s">
        <v>51</v>
      </c>
      <c r="D268" s="58" t="s">
        <v>51</v>
      </c>
      <c r="E268" s="2" t="s">
        <v>182</v>
      </c>
      <c r="F268" s="50">
        <v>728</v>
      </c>
      <c r="G268" s="50">
        <v>488</v>
      </c>
      <c r="H268" s="25">
        <v>120</v>
      </c>
      <c r="I268" s="25">
        <v>78</v>
      </c>
      <c r="J268" s="25">
        <f t="shared" si="6"/>
        <v>42</v>
      </c>
      <c r="K268" s="25">
        <v>213</v>
      </c>
      <c r="L268" s="59">
        <v>2</v>
      </c>
      <c r="M268" s="60">
        <v>66</v>
      </c>
      <c r="N268" s="59" t="s">
        <v>182</v>
      </c>
      <c r="O268" s="61">
        <v>0.2</v>
      </c>
      <c r="P268" s="58"/>
      <c r="Q268" s="60"/>
      <c r="R268" s="90"/>
      <c r="S268" s="101"/>
      <c r="AP268" s="10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</row>
    <row r="269" spans="1:53" ht="18" customHeight="1" x14ac:dyDescent="0.35">
      <c r="A269" s="100" t="s">
        <v>367</v>
      </c>
      <c r="B269" s="108">
        <v>8.3000000000000007</v>
      </c>
      <c r="C269" s="58" t="s">
        <v>51</v>
      </c>
      <c r="D269" s="58">
        <v>18</v>
      </c>
      <c r="E269" s="2" t="s">
        <v>182</v>
      </c>
      <c r="F269" s="50">
        <v>765</v>
      </c>
      <c r="G269" s="50">
        <v>512</v>
      </c>
      <c r="H269" s="25">
        <v>110</v>
      </c>
      <c r="I269" s="25">
        <v>68</v>
      </c>
      <c r="J269" s="25">
        <f t="shared" si="6"/>
        <v>42</v>
      </c>
      <c r="K269" s="25">
        <v>220</v>
      </c>
      <c r="L269" s="59">
        <v>2</v>
      </c>
      <c r="M269" s="60">
        <v>90</v>
      </c>
      <c r="N269" s="59" t="s">
        <v>182</v>
      </c>
      <c r="O269" s="61">
        <v>0.2</v>
      </c>
      <c r="P269" s="58"/>
      <c r="Q269" s="60"/>
      <c r="R269" s="90"/>
      <c r="S269" s="101"/>
      <c r="AP269" s="10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</row>
    <row r="270" spans="1:53" ht="18" customHeight="1" x14ac:dyDescent="0.35">
      <c r="A270" s="100" t="s">
        <v>368</v>
      </c>
      <c r="B270" s="108">
        <v>8.3000000000000007</v>
      </c>
      <c r="C270" s="58" t="s">
        <v>51</v>
      </c>
      <c r="D270" s="58" t="s">
        <v>51</v>
      </c>
      <c r="E270" s="2">
        <v>0.1</v>
      </c>
      <c r="F270" s="50">
        <v>776</v>
      </c>
      <c r="G270" s="50">
        <v>519</v>
      </c>
      <c r="H270" s="50">
        <v>116</v>
      </c>
      <c r="I270" s="25">
        <v>70</v>
      </c>
      <c r="J270" s="25">
        <f t="shared" si="6"/>
        <v>46</v>
      </c>
      <c r="K270" s="25">
        <v>218</v>
      </c>
      <c r="L270" s="59">
        <v>2.1</v>
      </c>
      <c r="M270" s="60">
        <v>88</v>
      </c>
      <c r="N270" s="59" t="s">
        <v>182</v>
      </c>
      <c r="O270" s="61">
        <v>0.2</v>
      </c>
      <c r="P270" s="58"/>
      <c r="Q270" s="60"/>
      <c r="R270" s="90"/>
      <c r="S270" s="101"/>
      <c r="AP270" s="10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</row>
    <row r="271" spans="1:53" ht="18" customHeight="1" x14ac:dyDescent="0.35">
      <c r="A271" s="100" t="s">
        <v>369</v>
      </c>
      <c r="B271" s="108">
        <v>8.1999999999999993</v>
      </c>
      <c r="C271" s="58" t="s">
        <v>51</v>
      </c>
      <c r="D271" s="58">
        <v>17</v>
      </c>
      <c r="E271" s="2" t="s">
        <v>182</v>
      </c>
      <c r="F271" s="50">
        <v>860</v>
      </c>
      <c r="G271" s="50">
        <v>576</v>
      </c>
      <c r="H271" s="25">
        <v>100</v>
      </c>
      <c r="I271" s="25">
        <v>62</v>
      </c>
      <c r="J271" s="25">
        <f t="shared" si="6"/>
        <v>38</v>
      </c>
      <c r="K271" s="25">
        <v>210</v>
      </c>
      <c r="L271" s="59">
        <v>2</v>
      </c>
      <c r="M271" s="60">
        <v>75</v>
      </c>
      <c r="N271" s="59" t="s">
        <v>182</v>
      </c>
      <c r="O271" s="61">
        <v>0.2</v>
      </c>
      <c r="P271" s="58"/>
      <c r="Q271" s="60"/>
      <c r="R271" s="90"/>
      <c r="S271" s="101"/>
      <c r="AP271" s="10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</row>
    <row r="272" spans="1:53" ht="18" customHeight="1" x14ac:dyDescent="0.35">
      <c r="A272" s="100" t="s">
        <v>370</v>
      </c>
      <c r="B272" s="108">
        <v>8.1</v>
      </c>
      <c r="C272" s="58" t="s">
        <v>51</v>
      </c>
      <c r="D272" s="58">
        <v>19</v>
      </c>
      <c r="E272" s="2" t="s">
        <v>182</v>
      </c>
      <c r="F272" s="50">
        <v>915</v>
      </c>
      <c r="G272" s="50">
        <v>613</v>
      </c>
      <c r="H272" s="25">
        <v>114</v>
      </c>
      <c r="I272" s="25">
        <v>71</v>
      </c>
      <c r="J272" s="25">
        <f t="shared" si="6"/>
        <v>43</v>
      </c>
      <c r="K272" s="25">
        <v>243</v>
      </c>
      <c r="L272" s="59">
        <v>2.2999999999999998</v>
      </c>
      <c r="M272" s="60">
        <v>66</v>
      </c>
      <c r="N272" s="59" t="s">
        <v>182</v>
      </c>
      <c r="O272" s="61">
        <v>0.2</v>
      </c>
      <c r="P272" s="58"/>
      <c r="Q272" s="60"/>
      <c r="R272" s="90"/>
      <c r="S272" s="101"/>
      <c r="AP272" s="10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</row>
    <row r="273" spans="1:53" ht="18" customHeight="1" x14ac:dyDescent="0.35">
      <c r="A273" s="100" t="s">
        <v>371</v>
      </c>
      <c r="B273" s="108">
        <v>8.1999999999999993</v>
      </c>
      <c r="C273" s="58" t="s">
        <v>51</v>
      </c>
      <c r="D273" s="58">
        <v>17</v>
      </c>
      <c r="E273" s="2" t="s">
        <v>182</v>
      </c>
      <c r="F273" s="50">
        <v>935</v>
      </c>
      <c r="G273" s="50">
        <v>627</v>
      </c>
      <c r="H273" s="25">
        <v>122</v>
      </c>
      <c r="I273" s="25">
        <v>75</v>
      </c>
      <c r="J273" s="25">
        <f t="shared" si="6"/>
        <v>47</v>
      </c>
      <c r="K273" s="25">
        <v>231</v>
      </c>
      <c r="L273" s="59">
        <v>2.2999999999999998</v>
      </c>
      <c r="M273" s="60">
        <v>69</v>
      </c>
      <c r="N273" s="59" t="s">
        <v>182</v>
      </c>
      <c r="O273" s="61">
        <v>0.2</v>
      </c>
      <c r="P273" s="58"/>
      <c r="Q273" s="60"/>
      <c r="R273" s="90"/>
      <c r="S273" s="101"/>
      <c r="AP273" s="10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</row>
    <row r="274" spans="1:53" ht="18" customHeight="1" x14ac:dyDescent="0.35">
      <c r="A274" s="100" t="s">
        <v>372</v>
      </c>
      <c r="B274" s="108">
        <v>8.15</v>
      </c>
      <c r="C274" s="58" t="s">
        <v>51</v>
      </c>
      <c r="D274" s="58">
        <v>16</v>
      </c>
      <c r="E274" s="2" t="s">
        <v>182</v>
      </c>
      <c r="F274" s="50">
        <v>923</v>
      </c>
      <c r="G274" s="50">
        <v>612</v>
      </c>
      <c r="H274" s="25">
        <v>118</v>
      </c>
      <c r="I274" s="25">
        <v>70</v>
      </c>
      <c r="J274" s="25">
        <f t="shared" si="6"/>
        <v>48</v>
      </c>
      <c r="K274" s="25">
        <v>224</v>
      </c>
      <c r="L274" s="59">
        <v>2.1</v>
      </c>
      <c r="M274" s="60">
        <v>66</v>
      </c>
      <c r="N274" s="59" t="s">
        <v>182</v>
      </c>
      <c r="O274" s="61">
        <v>0.2</v>
      </c>
      <c r="P274" s="58"/>
      <c r="Q274" s="60"/>
      <c r="R274" s="90"/>
      <c r="S274" s="101"/>
      <c r="AP274" s="10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</row>
    <row r="275" spans="1:53" ht="18" customHeight="1" x14ac:dyDescent="0.35">
      <c r="A275" s="2" t="s">
        <v>373</v>
      </c>
      <c r="B275" s="108">
        <v>8.1999999999999993</v>
      </c>
      <c r="C275" s="25" t="s">
        <v>51</v>
      </c>
      <c r="D275" s="25" t="s">
        <v>51</v>
      </c>
      <c r="E275" s="2" t="s">
        <v>182</v>
      </c>
      <c r="F275" s="25">
        <v>930</v>
      </c>
      <c r="G275" s="25">
        <v>623</v>
      </c>
      <c r="H275" s="25">
        <v>140</v>
      </c>
      <c r="I275" s="25">
        <v>66</v>
      </c>
      <c r="J275" s="25">
        <f t="shared" si="6"/>
        <v>74</v>
      </c>
      <c r="K275" s="25">
        <v>250</v>
      </c>
      <c r="L275" s="59">
        <v>2</v>
      </c>
      <c r="M275" s="60">
        <v>66</v>
      </c>
      <c r="N275" s="59" t="s">
        <v>182</v>
      </c>
      <c r="O275" s="61">
        <v>0.2</v>
      </c>
      <c r="P275" s="58"/>
      <c r="Q275" s="60"/>
      <c r="R275" s="90"/>
      <c r="S275" s="101"/>
      <c r="AP275" s="10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</row>
    <row r="276" spans="1:53" ht="18" customHeight="1" x14ac:dyDescent="0.35">
      <c r="A276" s="100" t="s">
        <v>374</v>
      </c>
      <c r="B276" s="2">
        <v>8.1</v>
      </c>
      <c r="C276" s="25" t="s">
        <v>51</v>
      </c>
      <c r="D276" s="25" t="s">
        <v>51</v>
      </c>
      <c r="E276" s="2" t="s">
        <v>182</v>
      </c>
      <c r="F276" s="25">
        <v>1164</v>
      </c>
      <c r="G276" s="25">
        <v>780</v>
      </c>
      <c r="H276" s="25">
        <v>125</v>
      </c>
      <c r="I276" s="25">
        <v>77</v>
      </c>
      <c r="J276" s="25">
        <f t="shared" si="6"/>
        <v>48</v>
      </c>
      <c r="K276" s="25">
        <v>225</v>
      </c>
      <c r="L276" s="2">
        <v>2.2999999999999998</v>
      </c>
      <c r="M276" s="60">
        <v>58</v>
      </c>
      <c r="N276" s="59" t="s">
        <v>182</v>
      </c>
      <c r="O276" s="61">
        <v>0.2</v>
      </c>
      <c r="P276" s="58"/>
      <c r="Q276" s="60"/>
      <c r="R276" s="90"/>
      <c r="S276" s="101"/>
      <c r="AP276" s="10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</row>
    <row r="277" spans="1:53" ht="18" customHeight="1" x14ac:dyDescent="0.35">
      <c r="A277" s="100" t="s">
        <v>375</v>
      </c>
      <c r="B277" s="2">
        <v>8.1</v>
      </c>
      <c r="C277" s="25" t="s">
        <v>51</v>
      </c>
      <c r="D277" s="25">
        <v>18</v>
      </c>
      <c r="E277" s="2" t="s">
        <v>182</v>
      </c>
      <c r="F277" s="25">
        <v>1043</v>
      </c>
      <c r="G277" s="25">
        <v>698</v>
      </c>
      <c r="H277" s="25">
        <v>160</v>
      </c>
      <c r="I277" s="25">
        <v>99</v>
      </c>
      <c r="J277" s="25">
        <f t="shared" si="6"/>
        <v>61</v>
      </c>
      <c r="K277" s="25">
        <v>248</v>
      </c>
      <c r="L277" s="2">
        <v>2.2000000000000002</v>
      </c>
      <c r="M277" s="60">
        <v>55</v>
      </c>
      <c r="N277" s="59" t="s">
        <v>182</v>
      </c>
      <c r="O277" s="61">
        <v>0.2</v>
      </c>
      <c r="P277" s="58"/>
      <c r="Q277" s="60"/>
      <c r="R277" s="90"/>
      <c r="S277" s="101"/>
      <c r="AP277" s="10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</row>
    <row r="278" spans="1:53" ht="18" customHeight="1" x14ac:dyDescent="0.35">
      <c r="A278" s="100" t="s">
        <v>376</v>
      </c>
      <c r="B278" s="2">
        <v>8.16</v>
      </c>
      <c r="C278" s="25" t="s">
        <v>51</v>
      </c>
      <c r="D278" s="25">
        <v>21</v>
      </c>
      <c r="E278" s="2" t="s">
        <v>182</v>
      </c>
      <c r="F278" s="25">
        <v>1067</v>
      </c>
      <c r="G278" s="25">
        <v>715</v>
      </c>
      <c r="H278" s="25">
        <v>148</v>
      </c>
      <c r="I278" s="25">
        <v>91</v>
      </c>
      <c r="J278" s="25">
        <f t="shared" si="6"/>
        <v>57</v>
      </c>
      <c r="K278" s="25">
        <v>238</v>
      </c>
      <c r="L278" s="2">
        <v>2.1</v>
      </c>
      <c r="M278" s="60">
        <v>57</v>
      </c>
      <c r="N278" s="59" t="s">
        <v>182</v>
      </c>
      <c r="O278" s="61">
        <v>0.2</v>
      </c>
      <c r="P278" s="58"/>
      <c r="Q278" s="60"/>
      <c r="R278" s="90"/>
      <c r="S278" s="101"/>
      <c r="AP278" s="10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</row>
    <row r="279" spans="1:53" ht="18" customHeight="1" x14ac:dyDescent="0.35">
      <c r="A279" s="70" t="s">
        <v>377</v>
      </c>
      <c r="B279" s="2">
        <v>8.25</v>
      </c>
      <c r="C279" s="25" t="s">
        <v>51</v>
      </c>
      <c r="D279" s="25">
        <v>20</v>
      </c>
      <c r="E279" s="2" t="s">
        <v>182</v>
      </c>
      <c r="F279" s="25">
        <v>1039</v>
      </c>
      <c r="G279" s="25">
        <v>696</v>
      </c>
      <c r="H279" s="25">
        <v>140</v>
      </c>
      <c r="I279" s="25">
        <v>86</v>
      </c>
      <c r="J279" s="25">
        <f t="shared" si="6"/>
        <v>54</v>
      </c>
      <c r="K279" s="25">
        <v>230</v>
      </c>
      <c r="L279" s="2">
        <v>2</v>
      </c>
      <c r="M279" s="25">
        <v>50</v>
      </c>
      <c r="N279" s="59" t="s">
        <v>182</v>
      </c>
      <c r="O279" s="61">
        <v>0.2</v>
      </c>
      <c r="P279" s="58"/>
      <c r="Q279" s="60"/>
      <c r="R279" s="90"/>
      <c r="S279" s="101"/>
      <c r="AP279" s="10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</row>
    <row r="280" spans="1:53" ht="18" customHeight="1" x14ac:dyDescent="0.35">
      <c r="A280" s="70" t="s">
        <v>378</v>
      </c>
      <c r="B280" s="2">
        <v>8.35</v>
      </c>
      <c r="C280" s="25" t="s">
        <v>51</v>
      </c>
      <c r="D280" s="25">
        <v>16</v>
      </c>
      <c r="E280" s="2" t="s">
        <v>182</v>
      </c>
      <c r="F280" s="25">
        <v>1098</v>
      </c>
      <c r="G280" s="25">
        <v>736</v>
      </c>
      <c r="H280" s="25">
        <v>120</v>
      </c>
      <c r="I280" s="25">
        <v>74</v>
      </c>
      <c r="J280" s="25">
        <f t="shared" si="6"/>
        <v>46</v>
      </c>
      <c r="K280" s="25">
        <v>284</v>
      </c>
      <c r="L280" s="2">
        <v>2.2000000000000002</v>
      </c>
      <c r="M280" s="25">
        <v>75</v>
      </c>
      <c r="N280" s="59" t="s">
        <v>182</v>
      </c>
      <c r="O280" s="61">
        <v>0.2</v>
      </c>
      <c r="P280" s="58"/>
      <c r="Q280" s="60"/>
      <c r="R280" s="90"/>
      <c r="S280" s="101"/>
      <c r="AP280" s="10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</row>
    <row r="281" spans="1:53" ht="18" customHeight="1" x14ac:dyDescent="0.35">
      <c r="A281" s="100" t="s">
        <v>379</v>
      </c>
      <c r="B281" s="2">
        <v>8.3000000000000007</v>
      </c>
      <c r="C281" s="25" t="s">
        <v>51</v>
      </c>
      <c r="D281" s="25">
        <v>17</v>
      </c>
      <c r="E281" s="2" t="s">
        <v>182</v>
      </c>
      <c r="F281" s="25">
        <v>1120</v>
      </c>
      <c r="G281" s="25">
        <v>752</v>
      </c>
      <c r="H281" s="25">
        <v>132</v>
      </c>
      <c r="I281" s="25">
        <v>82</v>
      </c>
      <c r="J281" s="25">
        <f t="shared" si="6"/>
        <v>50</v>
      </c>
      <c r="K281" s="25">
        <v>269</v>
      </c>
      <c r="L281" s="2">
        <v>2</v>
      </c>
      <c r="M281" s="25">
        <v>78</v>
      </c>
      <c r="N281" s="59" t="s">
        <v>182</v>
      </c>
      <c r="O281" s="61">
        <v>0.2</v>
      </c>
      <c r="P281" s="25"/>
      <c r="Q281" s="60"/>
      <c r="R281" s="91"/>
      <c r="S281" s="101"/>
      <c r="AP281" s="10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</row>
    <row r="282" spans="1:53" ht="18" customHeight="1" x14ac:dyDescent="0.35">
      <c r="A282" s="100" t="s">
        <v>380</v>
      </c>
      <c r="B282" s="2">
        <v>8.4499999999999993</v>
      </c>
      <c r="C282" s="25" t="s">
        <v>51</v>
      </c>
      <c r="D282" s="25">
        <v>15</v>
      </c>
      <c r="E282" s="2" t="s">
        <v>182</v>
      </c>
      <c r="F282" s="25">
        <v>1192</v>
      </c>
      <c r="G282" s="25">
        <v>798</v>
      </c>
      <c r="H282" s="25">
        <v>146</v>
      </c>
      <c r="I282" s="25">
        <v>90</v>
      </c>
      <c r="J282" s="25">
        <f t="shared" si="6"/>
        <v>56</v>
      </c>
      <c r="K282" s="25">
        <v>270</v>
      </c>
      <c r="L282" s="2">
        <v>2</v>
      </c>
      <c r="M282" s="25">
        <v>80</v>
      </c>
      <c r="N282" s="59" t="s">
        <v>182</v>
      </c>
      <c r="O282" s="61">
        <v>0.2</v>
      </c>
      <c r="P282" s="25"/>
      <c r="Q282" s="60"/>
      <c r="R282" s="91"/>
      <c r="S282" s="101"/>
      <c r="AP282" s="10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</row>
    <row r="283" spans="1:53" ht="18" customHeight="1" thickBot="1" x14ac:dyDescent="0.4">
      <c r="A283" s="111" t="s">
        <v>381</v>
      </c>
      <c r="B283" s="135" t="s">
        <v>91</v>
      </c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7"/>
      <c r="S283" s="101"/>
      <c r="AP283" s="10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</row>
    <row r="284" spans="1:53" ht="18" customHeight="1" x14ac:dyDescent="0.35">
      <c r="A284" s="110" t="s">
        <v>382</v>
      </c>
      <c r="B284" s="129" t="s">
        <v>91</v>
      </c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1"/>
      <c r="S284" s="101"/>
      <c r="AP284" s="10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</row>
    <row r="285" spans="1:53" ht="18" customHeight="1" x14ac:dyDescent="0.35">
      <c r="A285" s="100" t="s">
        <v>383</v>
      </c>
      <c r="B285" s="129" t="s">
        <v>91</v>
      </c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1"/>
      <c r="S285" s="101"/>
      <c r="AP285" s="10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</row>
    <row r="286" spans="1:53" ht="18" customHeight="1" x14ac:dyDescent="0.35">
      <c r="A286" s="100" t="s">
        <v>384</v>
      </c>
      <c r="B286" s="129" t="s">
        <v>91</v>
      </c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1"/>
      <c r="S286" s="101"/>
      <c r="AP286" s="10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</row>
    <row r="287" spans="1:53" ht="18" customHeight="1" x14ac:dyDescent="0.35">
      <c r="A287" s="100" t="s">
        <v>385</v>
      </c>
      <c r="B287" s="129" t="s">
        <v>91</v>
      </c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1"/>
      <c r="S287" s="101"/>
      <c r="AP287" s="10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</row>
    <row r="288" spans="1:53" ht="18" customHeight="1" x14ac:dyDescent="0.35">
      <c r="A288" s="100" t="s">
        <v>386</v>
      </c>
      <c r="B288" s="129" t="s">
        <v>91</v>
      </c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1"/>
      <c r="S288" s="101"/>
      <c r="AP288" s="10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</row>
    <row r="289" spans="1:53" ht="18" customHeight="1" x14ac:dyDescent="0.35">
      <c r="A289" s="100" t="s">
        <v>387</v>
      </c>
      <c r="B289" s="129" t="s">
        <v>91</v>
      </c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1"/>
      <c r="S289" s="101"/>
      <c r="AP289" s="10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</row>
    <row r="290" spans="1:53" ht="18" customHeight="1" x14ac:dyDescent="0.35">
      <c r="A290" s="109" t="s">
        <v>388</v>
      </c>
      <c r="B290" s="108">
        <v>8.6</v>
      </c>
      <c r="C290" s="17" t="s">
        <v>51</v>
      </c>
      <c r="D290" s="17">
        <v>57</v>
      </c>
      <c r="E290" s="2" t="s">
        <v>32</v>
      </c>
      <c r="F290" s="50">
        <v>1136</v>
      </c>
      <c r="G290" s="50">
        <v>761</v>
      </c>
      <c r="H290" s="25">
        <v>110</v>
      </c>
      <c r="I290" s="25">
        <v>62</v>
      </c>
      <c r="J290" s="25">
        <f t="shared" ref="J290:J305" si="7">H290-I290</f>
        <v>48</v>
      </c>
      <c r="K290" s="25">
        <v>388</v>
      </c>
      <c r="L290" s="59" t="s">
        <v>51</v>
      </c>
      <c r="M290" s="60">
        <v>80</v>
      </c>
      <c r="N290" s="59">
        <v>2</v>
      </c>
      <c r="O290" s="61">
        <v>0.4</v>
      </c>
      <c r="P290" s="17"/>
      <c r="Q290" s="60"/>
      <c r="R290" s="104" t="s">
        <v>51</v>
      </c>
      <c r="S290" s="101"/>
      <c r="AP290" s="10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</row>
    <row r="291" spans="1:53" ht="18" customHeight="1" x14ac:dyDescent="0.35">
      <c r="A291" s="100" t="s">
        <v>389</v>
      </c>
      <c r="B291" s="108">
        <v>8.4</v>
      </c>
      <c r="C291" s="58" t="s">
        <v>51</v>
      </c>
      <c r="D291" s="58">
        <v>18</v>
      </c>
      <c r="E291" s="2" t="s">
        <v>32</v>
      </c>
      <c r="F291" s="17">
        <v>1254</v>
      </c>
      <c r="G291" s="17">
        <v>840</v>
      </c>
      <c r="H291" s="17">
        <v>100</v>
      </c>
      <c r="I291" s="17">
        <v>62</v>
      </c>
      <c r="J291" s="25">
        <f t="shared" si="7"/>
        <v>38</v>
      </c>
      <c r="K291" s="17">
        <v>340</v>
      </c>
      <c r="L291" s="59" t="s">
        <v>51</v>
      </c>
      <c r="M291" s="60">
        <v>50</v>
      </c>
      <c r="N291" s="59"/>
      <c r="O291" s="61" t="s">
        <v>182</v>
      </c>
      <c r="P291" s="17"/>
      <c r="Q291" s="60"/>
      <c r="R291" s="104" t="s">
        <v>51</v>
      </c>
      <c r="S291" s="101"/>
      <c r="AP291" s="10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</row>
    <row r="292" spans="1:53" ht="18" customHeight="1" x14ac:dyDescent="0.35">
      <c r="A292" s="109" t="s">
        <v>390</v>
      </c>
      <c r="B292" s="108">
        <v>8.5</v>
      </c>
      <c r="C292" s="58" t="s">
        <v>51</v>
      </c>
      <c r="D292" s="58">
        <v>17</v>
      </c>
      <c r="E292" s="2" t="s">
        <v>32</v>
      </c>
      <c r="F292" s="50">
        <v>1270</v>
      </c>
      <c r="G292" s="50">
        <v>850</v>
      </c>
      <c r="H292" s="25">
        <v>119</v>
      </c>
      <c r="I292" s="25">
        <v>74</v>
      </c>
      <c r="J292" s="25">
        <f t="shared" si="7"/>
        <v>45</v>
      </c>
      <c r="K292" s="25">
        <v>290</v>
      </c>
      <c r="L292" s="59" t="s">
        <v>51</v>
      </c>
      <c r="M292" s="60">
        <v>62</v>
      </c>
      <c r="N292" s="59">
        <v>2</v>
      </c>
      <c r="O292" s="61">
        <v>0.2</v>
      </c>
      <c r="P292" s="17"/>
      <c r="Q292" s="60"/>
      <c r="R292" s="104"/>
      <c r="S292" s="101"/>
      <c r="AP292" s="10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</row>
    <row r="293" spans="1:53" ht="18" customHeight="1" x14ac:dyDescent="0.35">
      <c r="A293" s="100" t="s">
        <v>391</v>
      </c>
      <c r="B293" s="108">
        <v>8.4</v>
      </c>
      <c r="C293" s="58" t="s">
        <v>51</v>
      </c>
      <c r="D293" s="58">
        <v>18</v>
      </c>
      <c r="E293" s="2" t="s">
        <v>32</v>
      </c>
      <c r="F293" s="50">
        <v>1104</v>
      </c>
      <c r="G293" s="50">
        <v>740</v>
      </c>
      <c r="H293" s="25">
        <v>116</v>
      </c>
      <c r="I293" s="25">
        <v>70</v>
      </c>
      <c r="J293" s="25">
        <f t="shared" si="7"/>
        <v>46</v>
      </c>
      <c r="K293" s="25">
        <v>283</v>
      </c>
      <c r="L293" s="59" t="s">
        <v>51</v>
      </c>
      <c r="M293" s="60">
        <v>60</v>
      </c>
      <c r="N293" s="59">
        <v>2</v>
      </c>
      <c r="O293" s="61">
        <v>0.2</v>
      </c>
      <c r="P293" s="17"/>
      <c r="Q293" s="60"/>
      <c r="R293" s="104"/>
      <c r="S293" s="101"/>
      <c r="AP293" s="10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</row>
    <row r="294" spans="1:53" ht="18" customHeight="1" x14ac:dyDescent="0.35">
      <c r="A294" s="100" t="s">
        <v>392</v>
      </c>
      <c r="B294" s="108">
        <v>8.6</v>
      </c>
      <c r="C294" s="58" t="s">
        <v>51</v>
      </c>
      <c r="D294" s="58">
        <v>20</v>
      </c>
      <c r="E294" s="2" t="s">
        <v>32</v>
      </c>
      <c r="F294" s="50">
        <v>1574</v>
      </c>
      <c r="G294" s="50">
        <v>1054</v>
      </c>
      <c r="H294" s="25">
        <v>190</v>
      </c>
      <c r="I294" s="25">
        <v>117</v>
      </c>
      <c r="J294" s="25">
        <f t="shared" si="7"/>
        <v>73</v>
      </c>
      <c r="K294" s="25">
        <v>400</v>
      </c>
      <c r="L294" s="59" t="s">
        <v>51</v>
      </c>
      <c r="M294" s="60">
        <v>100</v>
      </c>
      <c r="N294" s="59">
        <v>2</v>
      </c>
      <c r="O294" s="61">
        <v>0.3</v>
      </c>
      <c r="P294" s="58"/>
      <c r="Q294" s="60"/>
      <c r="R294" s="104"/>
      <c r="S294" s="101"/>
      <c r="AP294" s="10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</row>
    <row r="295" spans="1:53" ht="18" customHeight="1" x14ac:dyDescent="0.35">
      <c r="A295" s="100" t="s">
        <v>393</v>
      </c>
      <c r="B295" s="108">
        <v>8.6</v>
      </c>
      <c r="C295" s="58" t="s">
        <v>51</v>
      </c>
      <c r="D295" s="58">
        <v>24</v>
      </c>
      <c r="E295" s="2" t="s">
        <v>32</v>
      </c>
      <c r="F295" s="50">
        <v>1402</v>
      </c>
      <c r="G295" s="50">
        <v>980</v>
      </c>
      <c r="H295" s="25">
        <v>200</v>
      </c>
      <c r="I295" s="25">
        <v>124</v>
      </c>
      <c r="J295" s="25">
        <f t="shared" si="7"/>
        <v>76</v>
      </c>
      <c r="K295" s="25">
        <v>396</v>
      </c>
      <c r="L295" s="59" t="s">
        <v>51</v>
      </c>
      <c r="M295" s="60">
        <v>105</v>
      </c>
      <c r="N295" s="59">
        <v>2</v>
      </c>
      <c r="O295" s="61">
        <v>0.3</v>
      </c>
      <c r="P295" s="58"/>
      <c r="Q295" s="60"/>
      <c r="R295" s="104"/>
      <c r="S295" s="101"/>
      <c r="AP295" s="10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</row>
    <row r="296" spans="1:53" ht="18" customHeight="1" x14ac:dyDescent="0.35">
      <c r="A296" s="100" t="s">
        <v>394</v>
      </c>
      <c r="B296" s="108">
        <v>8.8000000000000007</v>
      </c>
      <c r="C296" s="58" t="s">
        <v>51</v>
      </c>
      <c r="D296" s="58">
        <v>34</v>
      </c>
      <c r="E296" s="2" t="s">
        <v>32</v>
      </c>
      <c r="F296" s="50">
        <v>1138</v>
      </c>
      <c r="G296" s="50">
        <v>763</v>
      </c>
      <c r="H296" s="25">
        <v>190</v>
      </c>
      <c r="I296" s="25">
        <v>116</v>
      </c>
      <c r="J296" s="25">
        <f t="shared" si="7"/>
        <v>74</v>
      </c>
      <c r="K296" s="25">
        <v>388</v>
      </c>
      <c r="L296" s="59" t="s">
        <v>51</v>
      </c>
      <c r="M296" s="60">
        <v>110</v>
      </c>
      <c r="N296" s="59">
        <v>3</v>
      </c>
      <c r="O296" s="61">
        <v>0.3</v>
      </c>
      <c r="P296" s="58"/>
      <c r="Q296" s="60"/>
      <c r="R296" s="104"/>
      <c r="S296" s="101"/>
      <c r="AP296" s="10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</row>
    <row r="297" spans="1:53" ht="18" customHeight="1" x14ac:dyDescent="0.35">
      <c r="A297" s="100" t="s">
        <v>395</v>
      </c>
      <c r="B297" s="108">
        <v>8.5</v>
      </c>
      <c r="C297" s="58" t="s">
        <v>51</v>
      </c>
      <c r="D297" s="58">
        <v>42</v>
      </c>
      <c r="E297" s="2" t="s">
        <v>32</v>
      </c>
      <c r="F297" s="50">
        <v>1134</v>
      </c>
      <c r="G297" s="50">
        <v>760</v>
      </c>
      <c r="H297" s="50">
        <v>215</v>
      </c>
      <c r="I297" s="25">
        <v>133</v>
      </c>
      <c r="J297" s="25">
        <f t="shared" si="7"/>
        <v>82</v>
      </c>
      <c r="K297" s="25">
        <v>380</v>
      </c>
      <c r="L297" s="59">
        <v>2.2000000000000002</v>
      </c>
      <c r="M297" s="60">
        <v>105</v>
      </c>
      <c r="N297" s="59">
        <v>2</v>
      </c>
      <c r="O297" s="61">
        <v>0.3</v>
      </c>
      <c r="P297" s="58"/>
      <c r="Q297" s="60"/>
      <c r="R297" s="104"/>
      <c r="S297" s="101"/>
      <c r="AP297" s="10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</row>
    <row r="298" spans="1:53" ht="18" customHeight="1" x14ac:dyDescent="0.35">
      <c r="A298" s="100" t="s">
        <v>396</v>
      </c>
      <c r="B298" s="108">
        <v>8.6999999999999993</v>
      </c>
      <c r="C298" s="58" t="s">
        <v>51</v>
      </c>
      <c r="D298" s="58">
        <v>44</v>
      </c>
      <c r="E298" s="2" t="s">
        <v>32</v>
      </c>
      <c r="F298" s="50">
        <v>1050</v>
      </c>
      <c r="G298" s="50">
        <v>704</v>
      </c>
      <c r="H298" s="25">
        <v>200</v>
      </c>
      <c r="I298" s="25">
        <v>128</v>
      </c>
      <c r="J298" s="25">
        <f t="shared" si="7"/>
        <v>72</v>
      </c>
      <c r="K298" s="25">
        <v>355</v>
      </c>
      <c r="L298" s="59">
        <v>2.2999999999999998</v>
      </c>
      <c r="M298" s="60">
        <v>100</v>
      </c>
      <c r="N298" s="59">
        <v>2</v>
      </c>
      <c r="O298" s="61">
        <v>0.4</v>
      </c>
      <c r="P298" s="58"/>
      <c r="Q298" s="60"/>
      <c r="R298" s="104"/>
      <c r="S298" s="101"/>
      <c r="AP298" s="10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</row>
    <row r="299" spans="1:53" ht="18" customHeight="1" x14ac:dyDescent="0.35">
      <c r="A299" s="100" t="s">
        <v>397</v>
      </c>
      <c r="B299" s="108">
        <v>8.6999999999999993</v>
      </c>
      <c r="C299" s="58" t="s">
        <v>51</v>
      </c>
      <c r="D299" s="58">
        <v>40</v>
      </c>
      <c r="E299" s="2" t="s">
        <v>32</v>
      </c>
      <c r="F299" s="50">
        <v>1230</v>
      </c>
      <c r="G299" s="50">
        <v>825</v>
      </c>
      <c r="H299" s="25">
        <v>205</v>
      </c>
      <c r="I299" s="25">
        <v>127</v>
      </c>
      <c r="J299" s="25">
        <f t="shared" si="7"/>
        <v>78</v>
      </c>
      <c r="K299" s="25">
        <v>284</v>
      </c>
      <c r="L299" s="59">
        <v>1.9</v>
      </c>
      <c r="M299" s="60">
        <v>102</v>
      </c>
      <c r="N299" s="59">
        <v>2</v>
      </c>
      <c r="O299" s="61">
        <v>0.3</v>
      </c>
      <c r="P299" s="58"/>
      <c r="Q299" s="60"/>
      <c r="R299" s="104"/>
      <c r="S299" s="101"/>
      <c r="AP299" s="10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</row>
    <row r="300" spans="1:53" ht="18" customHeight="1" x14ac:dyDescent="0.35">
      <c r="A300" s="100" t="s">
        <v>398</v>
      </c>
      <c r="B300" s="108">
        <v>8.6</v>
      </c>
      <c r="C300" s="58" t="s">
        <v>51</v>
      </c>
      <c r="D300" s="58">
        <v>38</v>
      </c>
      <c r="E300" s="2" t="s">
        <v>32</v>
      </c>
      <c r="F300" s="50">
        <v>1214</v>
      </c>
      <c r="G300" s="50">
        <v>800</v>
      </c>
      <c r="H300" s="25">
        <v>200</v>
      </c>
      <c r="I300" s="25">
        <v>125</v>
      </c>
      <c r="J300" s="25">
        <f t="shared" si="7"/>
        <v>75</v>
      </c>
      <c r="K300" s="25">
        <v>275</v>
      </c>
      <c r="L300" s="59">
        <v>1.8</v>
      </c>
      <c r="M300" s="60">
        <v>100</v>
      </c>
      <c r="N300" s="59">
        <v>2</v>
      </c>
      <c r="O300" s="61">
        <v>0.3</v>
      </c>
      <c r="P300" s="58"/>
      <c r="Q300" s="60"/>
      <c r="R300" s="104"/>
      <c r="S300" s="101"/>
      <c r="AP300" s="10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</row>
    <row r="301" spans="1:53" ht="18" customHeight="1" x14ac:dyDescent="0.35">
      <c r="A301" s="100" t="s">
        <v>399</v>
      </c>
      <c r="B301" s="108">
        <v>8.6</v>
      </c>
      <c r="C301" s="58" t="s">
        <v>51</v>
      </c>
      <c r="D301" s="58" t="s">
        <v>51</v>
      </c>
      <c r="E301" s="2" t="s">
        <v>32</v>
      </c>
      <c r="F301" s="50">
        <v>1100</v>
      </c>
      <c r="G301" s="50">
        <v>737</v>
      </c>
      <c r="H301" s="25">
        <v>210</v>
      </c>
      <c r="I301" s="25">
        <v>130</v>
      </c>
      <c r="J301" s="25">
        <f t="shared" si="7"/>
        <v>80</v>
      </c>
      <c r="K301" s="25">
        <v>260</v>
      </c>
      <c r="L301" s="59">
        <v>2</v>
      </c>
      <c r="M301" s="60">
        <v>105</v>
      </c>
      <c r="N301" s="59">
        <v>2</v>
      </c>
      <c r="O301" s="61">
        <v>0.3</v>
      </c>
      <c r="P301" s="58"/>
      <c r="Q301" s="60"/>
      <c r="R301" s="104"/>
      <c r="S301" s="101"/>
      <c r="AP301" s="10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</row>
    <row r="302" spans="1:53" ht="18" customHeight="1" x14ac:dyDescent="0.35">
      <c r="A302" s="2" t="s">
        <v>400</v>
      </c>
      <c r="B302" s="108">
        <v>8.6300000000000008</v>
      </c>
      <c r="C302" s="25" t="s">
        <v>51</v>
      </c>
      <c r="D302" s="25">
        <v>39</v>
      </c>
      <c r="E302" s="2" t="s">
        <v>32</v>
      </c>
      <c r="F302" s="25">
        <v>851</v>
      </c>
      <c r="G302" s="25">
        <v>570</v>
      </c>
      <c r="H302" s="25">
        <v>190</v>
      </c>
      <c r="I302" s="25">
        <v>118</v>
      </c>
      <c r="J302" s="25">
        <f t="shared" si="7"/>
        <v>72</v>
      </c>
      <c r="K302" s="25">
        <v>248</v>
      </c>
      <c r="L302" s="59">
        <v>2.1</v>
      </c>
      <c r="M302" s="60">
        <v>82</v>
      </c>
      <c r="N302" s="59">
        <v>2</v>
      </c>
      <c r="O302" s="61">
        <v>0.3</v>
      </c>
      <c r="P302" s="58"/>
      <c r="Q302" s="60"/>
      <c r="R302" s="104"/>
      <c r="S302" s="101"/>
      <c r="AP302" s="10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</row>
    <row r="303" spans="1:53" ht="18" customHeight="1" x14ac:dyDescent="0.35">
      <c r="A303" s="100" t="s">
        <v>401</v>
      </c>
      <c r="B303" s="2">
        <v>8.6999999999999993</v>
      </c>
      <c r="C303" s="25" t="s">
        <v>51</v>
      </c>
      <c r="D303" s="25">
        <v>22</v>
      </c>
      <c r="E303" s="2" t="s">
        <v>32</v>
      </c>
      <c r="F303" s="25">
        <v>740</v>
      </c>
      <c r="G303" s="25">
        <v>495</v>
      </c>
      <c r="H303" s="25">
        <v>162</v>
      </c>
      <c r="I303" s="25">
        <v>100</v>
      </c>
      <c r="J303" s="25">
        <f t="shared" si="7"/>
        <v>62</v>
      </c>
      <c r="K303" s="25">
        <v>182</v>
      </c>
      <c r="L303" s="2">
        <v>1.7</v>
      </c>
      <c r="M303" s="60">
        <v>72</v>
      </c>
      <c r="N303" s="59">
        <v>2</v>
      </c>
      <c r="O303" s="61">
        <v>0.3</v>
      </c>
      <c r="P303" s="58"/>
      <c r="Q303" s="60"/>
      <c r="R303" s="104"/>
      <c r="S303" s="101"/>
      <c r="AP303" s="10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</row>
    <row r="304" spans="1:53" ht="18" customHeight="1" x14ac:dyDescent="0.35">
      <c r="A304" s="100" t="s">
        <v>402</v>
      </c>
      <c r="B304" s="2">
        <v>8.35</v>
      </c>
      <c r="C304" s="25" t="s">
        <v>51</v>
      </c>
      <c r="D304" s="25">
        <v>19</v>
      </c>
      <c r="E304" s="2" t="s">
        <v>32</v>
      </c>
      <c r="F304" s="25">
        <v>761</v>
      </c>
      <c r="G304" s="25">
        <v>510</v>
      </c>
      <c r="H304" s="25">
        <v>174</v>
      </c>
      <c r="I304" s="25">
        <v>108</v>
      </c>
      <c r="J304" s="25">
        <f t="shared" si="7"/>
        <v>66</v>
      </c>
      <c r="K304" s="25">
        <v>177</v>
      </c>
      <c r="L304" s="2">
        <v>1.6</v>
      </c>
      <c r="M304" s="60">
        <v>80</v>
      </c>
      <c r="N304" s="59" t="s">
        <v>182</v>
      </c>
      <c r="O304" s="61">
        <v>0.3</v>
      </c>
      <c r="P304" s="58"/>
      <c r="Q304" s="60"/>
      <c r="R304" s="104"/>
      <c r="S304" s="101"/>
      <c r="AP304" s="10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</row>
    <row r="305" spans="1:53" ht="18" customHeight="1" x14ac:dyDescent="0.35">
      <c r="A305" s="100" t="s">
        <v>403</v>
      </c>
      <c r="B305" s="2">
        <v>8.35</v>
      </c>
      <c r="C305" s="25" t="s">
        <v>51</v>
      </c>
      <c r="D305" s="25">
        <v>19</v>
      </c>
      <c r="E305" s="2" t="s">
        <v>32</v>
      </c>
      <c r="F305" s="25">
        <v>730</v>
      </c>
      <c r="G305" s="25">
        <v>489</v>
      </c>
      <c r="H305" s="25">
        <v>155</v>
      </c>
      <c r="I305" s="25">
        <v>100</v>
      </c>
      <c r="J305" s="25">
        <f t="shared" si="7"/>
        <v>55</v>
      </c>
      <c r="K305" s="25">
        <v>213</v>
      </c>
      <c r="L305" s="2">
        <v>1.6</v>
      </c>
      <c r="M305" s="60">
        <v>100</v>
      </c>
      <c r="N305" s="59">
        <v>2</v>
      </c>
      <c r="O305" s="61">
        <v>0.3</v>
      </c>
      <c r="P305" s="58"/>
      <c r="Q305" s="60"/>
      <c r="R305" s="104"/>
      <c r="S305" s="101"/>
      <c r="AP305" s="10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</row>
    <row r="306" spans="1:53" ht="18" customHeight="1" x14ac:dyDescent="0.35">
      <c r="A306" s="100"/>
      <c r="B306" s="2"/>
      <c r="C306" s="25"/>
      <c r="D306" s="25"/>
      <c r="E306" s="2"/>
      <c r="F306" s="25"/>
      <c r="G306" s="25"/>
      <c r="H306" s="25"/>
      <c r="I306" s="25"/>
      <c r="J306" s="25">
        <f>H306-I306</f>
        <v>0</v>
      </c>
      <c r="K306" s="25"/>
      <c r="L306" s="25"/>
      <c r="M306" s="25"/>
      <c r="N306" s="59"/>
      <c r="O306" s="61"/>
      <c r="P306" s="25"/>
      <c r="Q306" s="60"/>
      <c r="R306" s="91"/>
      <c r="S306" s="31"/>
      <c r="AP306" s="3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</row>
    <row r="307" spans="1:53" ht="18" customHeight="1" x14ac:dyDescent="0.35">
      <c r="A307" s="100"/>
      <c r="B307" s="25"/>
      <c r="C307" s="25"/>
      <c r="D307" s="25"/>
      <c r="E307" s="2"/>
      <c r="F307" s="25"/>
      <c r="G307" s="25"/>
      <c r="H307" s="25"/>
      <c r="I307" s="25"/>
      <c r="J307" s="25">
        <f>H307-I307</f>
        <v>0</v>
      </c>
      <c r="K307" s="25"/>
      <c r="L307" s="25"/>
      <c r="M307" s="25"/>
      <c r="N307" s="59"/>
      <c r="O307" s="61"/>
      <c r="P307" s="25"/>
      <c r="Q307" s="60"/>
      <c r="R307" s="91"/>
      <c r="S307" s="31"/>
      <c r="AP307" s="3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</row>
    <row r="308" spans="1:53" ht="18" customHeight="1" x14ac:dyDescent="0.35">
      <c r="A308" s="100"/>
      <c r="B308" s="25"/>
      <c r="C308" s="25"/>
      <c r="D308" s="25"/>
      <c r="E308" s="2"/>
      <c r="F308" s="25"/>
      <c r="G308" s="25"/>
      <c r="H308" s="25"/>
      <c r="I308" s="25"/>
      <c r="J308" s="25">
        <f>H308-I308</f>
        <v>0</v>
      </c>
      <c r="K308" s="25"/>
      <c r="L308" s="25"/>
      <c r="M308" s="25"/>
      <c r="N308" s="59"/>
      <c r="O308" s="61"/>
      <c r="P308" s="25"/>
      <c r="Q308" s="60"/>
      <c r="R308" s="91"/>
      <c r="S308" s="31"/>
      <c r="AP308" s="3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</row>
    <row r="309" spans="1:53" ht="18" customHeight="1" thickBot="1" x14ac:dyDescent="0.4">
      <c r="A309" s="96"/>
      <c r="B309" s="84"/>
      <c r="C309" s="84"/>
      <c r="D309" s="84"/>
      <c r="E309" s="3"/>
      <c r="F309" s="84"/>
      <c r="G309" s="84"/>
      <c r="H309" s="84"/>
      <c r="I309" s="84"/>
      <c r="J309" s="84"/>
      <c r="K309" s="84"/>
      <c r="L309" s="25"/>
      <c r="M309" s="84"/>
      <c r="N309" s="92"/>
      <c r="O309" s="93"/>
      <c r="P309" s="84"/>
      <c r="Q309" s="94"/>
      <c r="R309" s="95"/>
      <c r="S309" s="31"/>
      <c r="AP309" s="3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</row>
    <row r="310" spans="1:53" ht="22.5" customHeight="1" thickBot="1" x14ac:dyDescent="0.4">
      <c r="A310" s="83"/>
      <c r="B310" s="1">
        <f>MIN(B5:B309)</f>
        <v>5.7</v>
      </c>
      <c r="C310" s="12">
        <v>17</v>
      </c>
      <c r="D310" s="12"/>
      <c r="E310" s="1">
        <f t="shared" ref="E310:J310" si="8">MIN(E5:E309)</f>
        <v>0.1</v>
      </c>
      <c r="F310" s="12">
        <f t="shared" si="8"/>
        <v>80</v>
      </c>
      <c r="G310" s="12">
        <f t="shared" si="8"/>
        <v>54</v>
      </c>
      <c r="H310" s="12">
        <f t="shared" si="8"/>
        <v>3</v>
      </c>
      <c r="I310" s="12">
        <f t="shared" si="8"/>
        <v>2</v>
      </c>
      <c r="J310" s="12">
        <f t="shared" si="8"/>
        <v>0</v>
      </c>
      <c r="K310" s="12">
        <v>142</v>
      </c>
      <c r="L310" s="1">
        <v>5.8</v>
      </c>
      <c r="M310" s="12">
        <f>MIN(M5:M309)</f>
        <v>20</v>
      </c>
      <c r="N310" s="1">
        <f>MIN(N5:N309)</f>
        <v>1</v>
      </c>
      <c r="O310" s="69">
        <f>MIN(O6:O309)</f>
        <v>0.2</v>
      </c>
      <c r="P310" s="1">
        <f>MIN(P5:P309)</f>
        <v>0</v>
      </c>
      <c r="Q310" s="12">
        <f>MIN(Q5:Q309)</f>
        <v>0</v>
      </c>
      <c r="R310" s="72">
        <f>MIN(R5:R309)</f>
        <v>0</v>
      </c>
      <c r="S310" s="9"/>
      <c r="AP310" s="23"/>
    </row>
    <row r="311" spans="1:53" ht="22.5" customHeight="1" x14ac:dyDescent="0.35">
      <c r="A311" s="70" t="str">
        <f>MakeUp!A312</f>
        <v>MAX.</v>
      </c>
      <c r="B311" s="2">
        <f>MAX(B5:B309)</f>
        <v>9.4</v>
      </c>
      <c r="C311" s="17">
        <v>28</v>
      </c>
      <c r="D311" s="17"/>
      <c r="E311" s="2">
        <f t="shared" ref="E311:J311" si="9">MAX(E5:E309)</f>
        <v>3</v>
      </c>
      <c r="F311" s="17">
        <f t="shared" si="9"/>
        <v>1574</v>
      </c>
      <c r="G311" s="17">
        <f t="shared" si="9"/>
        <v>1054</v>
      </c>
      <c r="H311" s="17">
        <f t="shared" si="9"/>
        <v>545</v>
      </c>
      <c r="I311" s="17">
        <f t="shared" si="9"/>
        <v>337</v>
      </c>
      <c r="J311" s="17">
        <f t="shared" si="9"/>
        <v>513</v>
      </c>
      <c r="K311" s="17">
        <f>MAX(K5:K310)</f>
        <v>400</v>
      </c>
      <c r="L311" s="2">
        <v>10.5</v>
      </c>
      <c r="M311" s="17">
        <f>MAX(M5:M309)</f>
        <v>390</v>
      </c>
      <c r="N311" s="2">
        <f>MAX(N5:N309)</f>
        <v>10</v>
      </c>
      <c r="O311" s="57">
        <f>MAX(O6:O309)</f>
        <v>0.4</v>
      </c>
      <c r="P311" s="2">
        <f>MAX(P5:P309)</f>
        <v>0</v>
      </c>
      <c r="Q311" s="17">
        <f>MAX(Q5:Q309)</f>
        <v>0</v>
      </c>
      <c r="R311" s="71">
        <f>MAX(R5:R309)</f>
        <v>0</v>
      </c>
      <c r="S311" s="9"/>
      <c r="AP311" s="23"/>
    </row>
    <row r="312" spans="1:53" ht="22.5" customHeight="1" thickBot="1" x14ac:dyDescent="0.4">
      <c r="A312" s="73" t="str">
        <f>MakeUp!A313</f>
        <v>AVG.</v>
      </c>
      <c r="B312" s="3">
        <f>AVERAGE(B5:B309)</f>
        <v>8.3605102040816277</v>
      </c>
      <c r="C312" s="14">
        <v>19</v>
      </c>
      <c r="D312" s="14"/>
      <c r="E312" s="3">
        <f t="shared" ref="E312:J312" si="10">AVERAGE(E5:E309)</f>
        <v>0.27086614173228368</v>
      </c>
      <c r="F312" s="14">
        <f t="shared" si="10"/>
        <v>909.98634812286684</v>
      </c>
      <c r="G312" s="14">
        <f t="shared" si="10"/>
        <v>610.44557823129253</v>
      </c>
      <c r="H312" s="14">
        <f t="shared" si="10"/>
        <v>252.05782312925169</v>
      </c>
      <c r="I312" s="14">
        <f t="shared" si="10"/>
        <v>155.27739726027397</v>
      </c>
      <c r="J312" s="14">
        <f t="shared" si="10"/>
        <v>96.848484848484844</v>
      </c>
      <c r="K312" s="14">
        <f>AVERAGE(K5:K310)</f>
        <v>160.33559322033898</v>
      </c>
      <c r="L312" s="3">
        <f>AVERAGE(L5:L309)</f>
        <v>4.139649122807012</v>
      </c>
      <c r="M312" s="14">
        <f>AVERAGE(M5:M309)</f>
        <v>147.35034013605443</v>
      </c>
      <c r="N312" s="3">
        <v>0</v>
      </c>
      <c r="O312" s="74">
        <f>AVERAGE(O6:O309)</f>
        <v>0.25961538461538469</v>
      </c>
      <c r="P312" s="3" t="e">
        <f>AVERAGE(P5:P309)</f>
        <v>#DIV/0!</v>
      </c>
      <c r="Q312" s="14" t="e">
        <f>AVERAGE(Q5:Q309)</f>
        <v>#DIV/0!</v>
      </c>
      <c r="R312" s="16" t="e">
        <f>AVERAGE(R5:R309)</f>
        <v>#DIV/0!</v>
      </c>
      <c r="S312" s="9"/>
      <c r="AP312" s="23"/>
    </row>
    <row r="313" spans="1:53" ht="32.25" customHeight="1" x14ac:dyDescent="0.35">
      <c r="A313" s="62" t="s">
        <v>21</v>
      </c>
      <c r="B313" s="45">
        <f>COUNTIF(B5:B309,"&lt;7.5")</f>
        <v>9</v>
      </c>
      <c r="C313" s="46" t="s">
        <v>12</v>
      </c>
      <c r="D313" s="46"/>
      <c r="E313" s="43">
        <f>COUNTIF(E5:E309,"&lt;0.2")</f>
        <v>34</v>
      </c>
      <c r="F313" s="46" t="s">
        <v>12</v>
      </c>
      <c r="G313" s="46" t="s">
        <v>12</v>
      </c>
      <c r="H313" s="46" t="s">
        <v>12</v>
      </c>
      <c r="I313" s="46" t="s">
        <v>12</v>
      </c>
      <c r="J313" s="46" t="s">
        <v>12</v>
      </c>
      <c r="K313" s="46" t="s">
        <v>12</v>
      </c>
      <c r="L313" s="43">
        <f>COUNTIF(L5:L309,"&lt;6")</f>
        <v>180</v>
      </c>
      <c r="M313" s="46" t="s">
        <v>12</v>
      </c>
      <c r="N313" s="46" t="s">
        <v>12</v>
      </c>
      <c r="O313" s="46" t="s">
        <v>12</v>
      </c>
      <c r="P313" s="46" t="s">
        <v>12</v>
      </c>
      <c r="Q313" s="46" t="s">
        <v>12</v>
      </c>
      <c r="R313" s="47" t="s">
        <v>12</v>
      </c>
      <c r="S313" s="8"/>
    </row>
    <row r="314" spans="1:53" ht="33.75" customHeight="1" thickBot="1" x14ac:dyDescent="0.4">
      <c r="A314" s="34" t="s">
        <v>22</v>
      </c>
      <c r="B314" s="27">
        <f>COUNTIF(B5:B309,"&gt;8.0")</f>
        <v>251</v>
      </c>
      <c r="C314" s="14">
        <f>COUNTIF(C5:C309,"&gt;20")</f>
        <v>15</v>
      </c>
      <c r="D314" s="14"/>
      <c r="E314" s="14">
        <f>COUNTIF(E5:E309,"&gt;0.5")</f>
        <v>7</v>
      </c>
      <c r="F314" s="15" t="s">
        <v>12</v>
      </c>
      <c r="G314" s="14">
        <f>COUNTIF(G5:G309,"&gt;2100")</f>
        <v>0</v>
      </c>
      <c r="H314" s="14">
        <f>COUNTIF(H5:H309,"&gt;1200")</f>
        <v>0</v>
      </c>
      <c r="I314" s="15" t="s">
        <v>12</v>
      </c>
      <c r="J314" s="15" t="s">
        <v>12</v>
      </c>
      <c r="K314" s="14">
        <f>COUNTIF(K5:K309,"&gt;500")</f>
        <v>0</v>
      </c>
      <c r="L314" s="14">
        <f>COUNTIF(L5:L309,"&gt;8.0")</f>
        <v>1</v>
      </c>
      <c r="M314" s="14">
        <f>COUNTIF(M5:M309,"&gt;200")</f>
        <v>75</v>
      </c>
      <c r="N314" s="15" t="s">
        <v>12</v>
      </c>
      <c r="O314" s="14">
        <f>COUNTIF(O6:O309,"&gt;2.0")</f>
        <v>0</v>
      </c>
      <c r="P314" s="15" t="s">
        <v>12</v>
      </c>
      <c r="Q314" s="14">
        <f>COUNTIF(Q5:Q309,"&gt;1000")</f>
        <v>0</v>
      </c>
      <c r="R314" s="16">
        <f>COUNTIF(R5:R309,"&gt;180")</f>
        <v>0</v>
      </c>
      <c r="S314" s="8"/>
    </row>
    <row r="315" spans="1:53" ht="36" customHeight="1" x14ac:dyDescent="0.35">
      <c r="A315" s="33" t="s">
        <v>23</v>
      </c>
      <c r="B315" s="26">
        <f>(100/(COUNT(B5:B309)))*B313</f>
        <v>3.0612244897959182</v>
      </c>
      <c r="C315" s="13" t="s">
        <v>12</v>
      </c>
      <c r="D315" s="13"/>
      <c r="E315" s="12">
        <f>(100/(COUNT(E5:E309)))*E313</f>
        <v>26.771653543307089</v>
      </c>
      <c r="F315" s="13" t="s">
        <v>12</v>
      </c>
      <c r="G315" s="13" t="s">
        <v>12</v>
      </c>
      <c r="H315" s="13" t="s">
        <v>12</v>
      </c>
      <c r="I315" s="13" t="s">
        <v>12</v>
      </c>
      <c r="J315" s="13" t="s">
        <v>12</v>
      </c>
      <c r="K315" s="13" t="s">
        <v>12</v>
      </c>
      <c r="L315" s="12">
        <f>(100/(COUNT(L5:L309)))*L313</f>
        <v>63.157894736842103</v>
      </c>
      <c r="M315" s="12" t="e">
        <f>(100/(COUNT(M5:M309)))*M313</f>
        <v>#VALUE!</v>
      </c>
      <c r="N315" s="12" t="e">
        <f>(100/(COUNT(N5:N309)))*N313</f>
        <v>#VALUE!</v>
      </c>
      <c r="O315" s="12" t="e">
        <f>(100/(COUNT(O6:O309)))*O313</f>
        <v>#VALUE!</v>
      </c>
      <c r="P315" s="12" t="e">
        <f>(100/(COUNT(P5:P309)))*P313</f>
        <v>#DIV/0!</v>
      </c>
      <c r="Q315" s="12" t="e">
        <f>(100/(COUNT(Q5:Q309)))*Q313</f>
        <v>#DIV/0!</v>
      </c>
      <c r="R315" s="28" t="s">
        <v>12</v>
      </c>
      <c r="S315" s="8"/>
    </row>
    <row r="316" spans="1:53" ht="31.5" customHeight="1" thickBot="1" x14ac:dyDescent="0.4">
      <c r="A316" s="34" t="s">
        <v>24</v>
      </c>
      <c r="B316" s="27">
        <f>(100/(COUNT(B5:B309)))*B314</f>
        <v>85.374149659863946</v>
      </c>
      <c r="C316" s="14">
        <f>(100/(COUNT(C5:C309)))*C314</f>
        <v>21.739130434782609</v>
      </c>
      <c r="D316" s="14"/>
      <c r="E316" s="14">
        <f>(100/(COUNT(E5:E309)))*E314</f>
        <v>5.5118110236220472</v>
      </c>
      <c r="F316" s="14" t="e">
        <f>(100/(COUNT(F5:F309)))*F314</f>
        <v>#VALUE!</v>
      </c>
      <c r="G316" s="14">
        <f>(100/(COUNT(G5:G309)))*G314</f>
        <v>0</v>
      </c>
      <c r="H316" s="14">
        <f>(100/(COUNT(H5:H309)))*H314</f>
        <v>0</v>
      </c>
      <c r="I316" s="14" t="e">
        <f>(100/(COUNT(I5:I309)))*I314</f>
        <v>#VALUE!</v>
      </c>
      <c r="J316" s="15" t="s">
        <v>12</v>
      </c>
      <c r="K316" s="14">
        <f>(100/(COUNT(K5:K309)))*K314</f>
        <v>0</v>
      </c>
      <c r="L316" s="14">
        <f>(100/(COUNT(L5:L309)))*L314</f>
        <v>0.35087719298245612</v>
      </c>
      <c r="M316" s="14">
        <f>(100/(COUNT(M5:M309)))*M314</f>
        <v>25.510204081632651</v>
      </c>
      <c r="N316" s="14" t="e">
        <f>(100/(COUNT(N5:N309)))*N314</f>
        <v>#VALUE!</v>
      </c>
      <c r="O316" s="14">
        <f>(100/(COUNT(O6:O309)))*O314</f>
        <v>0</v>
      </c>
      <c r="P316" s="14" t="e">
        <f>(100/(COUNT(P5:P309)))*P314</f>
        <v>#DIV/0!</v>
      </c>
      <c r="Q316" s="14" t="e">
        <f>(100/(COUNT(Q5:Q309)))*Q314</f>
        <v>#DIV/0!</v>
      </c>
      <c r="R316" s="16" t="e">
        <f>(100/(COUNT(R5:R309)))*R314</f>
        <v>#DIV/0!</v>
      </c>
      <c r="S316" s="8"/>
    </row>
    <row r="322" spans="2:41" x14ac:dyDescent="0.35">
      <c r="B322" s="23"/>
      <c r="C322" s="23"/>
      <c r="D322" s="23"/>
      <c r="E322" s="23"/>
      <c r="F322" s="23"/>
      <c r="G322" s="23"/>
      <c r="H322" s="23"/>
    </row>
    <row r="323" spans="2:41" x14ac:dyDescent="0.35">
      <c r="B323" s="23"/>
      <c r="C323" s="23"/>
      <c r="D323" s="23"/>
      <c r="E323" s="24"/>
      <c r="F323" s="23"/>
      <c r="G323" s="23"/>
      <c r="H323" s="23"/>
    </row>
    <row r="324" spans="2:41" x14ac:dyDescent="0.35">
      <c r="B324" s="23"/>
      <c r="C324" s="23"/>
      <c r="D324" s="23"/>
      <c r="E324" s="24"/>
      <c r="F324" s="23"/>
      <c r="G324" s="23"/>
      <c r="H324" s="23"/>
    </row>
    <row r="325" spans="2:41" x14ac:dyDescent="0.35">
      <c r="B325" s="23"/>
      <c r="C325" s="23"/>
      <c r="D325" s="23"/>
      <c r="E325" s="24"/>
      <c r="F325" s="23"/>
      <c r="G325" s="23"/>
      <c r="H325" s="23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</row>
    <row r="326" spans="2:41" x14ac:dyDescent="0.35">
      <c r="B326" s="23"/>
      <c r="C326" s="23"/>
      <c r="D326" s="23"/>
      <c r="E326" s="24"/>
      <c r="F326" s="23"/>
      <c r="G326" s="23"/>
      <c r="H326" s="23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</row>
    <row r="327" spans="2:41" x14ac:dyDescent="0.35">
      <c r="B327" s="23"/>
      <c r="C327" s="23"/>
      <c r="D327" s="23"/>
      <c r="E327" s="24"/>
      <c r="F327" s="23"/>
      <c r="G327" s="23"/>
      <c r="H327" s="23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</row>
    <row r="328" spans="2:41" x14ac:dyDescent="0.35">
      <c r="B328" s="23"/>
      <c r="C328" s="23"/>
      <c r="D328" s="23"/>
      <c r="E328" s="24"/>
      <c r="F328" s="23"/>
      <c r="G328" s="23"/>
      <c r="H328" s="23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</row>
    <row r="329" spans="2:41" x14ac:dyDescent="0.35">
      <c r="B329" s="23"/>
      <c r="C329" s="23"/>
      <c r="D329" s="23"/>
      <c r="E329" s="24"/>
      <c r="F329" s="23"/>
      <c r="G329" s="23"/>
      <c r="H329" s="23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</row>
    <row r="330" spans="2:41" x14ac:dyDescent="0.35">
      <c r="B330" s="23"/>
      <c r="C330" s="23"/>
      <c r="D330" s="23"/>
      <c r="E330" s="23"/>
      <c r="F330" s="23"/>
      <c r="G330" s="23"/>
      <c r="H330" s="23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</row>
    <row r="331" spans="2:41" x14ac:dyDescent="0.35">
      <c r="B331" s="23"/>
      <c r="C331" s="23"/>
      <c r="D331" s="23"/>
      <c r="E331" s="23"/>
      <c r="F331" s="23"/>
      <c r="G331" s="23"/>
      <c r="H331" s="23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</row>
    <row r="332" spans="2:41" x14ac:dyDescent="0.35">
      <c r="B332" s="23"/>
      <c r="C332" s="23"/>
      <c r="D332" s="23"/>
      <c r="E332" s="23"/>
      <c r="F332" s="23"/>
      <c r="G332" s="23"/>
      <c r="H332" s="23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</row>
    <row r="333" spans="2:41" x14ac:dyDescent="0.35">
      <c r="B333" s="23"/>
      <c r="C333" s="23"/>
      <c r="D333" s="23"/>
      <c r="E333" s="23"/>
      <c r="F333" s="23"/>
      <c r="G333" s="23"/>
      <c r="H333" s="23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</row>
    <row r="334" spans="2:41" x14ac:dyDescent="0.35">
      <c r="B334" s="23"/>
      <c r="C334" s="23"/>
      <c r="D334" s="23"/>
      <c r="E334" s="23"/>
      <c r="F334" s="23"/>
      <c r="G334" s="23"/>
      <c r="H334" s="23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</row>
    <row r="335" spans="2:41" x14ac:dyDescent="0.35">
      <c r="B335" s="23"/>
      <c r="C335" s="23"/>
      <c r="D335" s="23"/>
      <c r="E335" s="23"/>
      <c r="F335" s="23"/>
      <c r="G335" s="23"/>
      <c r="H335" s="23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</row>
    <row r="336" spans="2:41" x14ac:dyDescent="0.35">
      <c r="B336" s="23"/>
      <c r="C336" s="23"/>
      <c r="D336" s="23"/>
      <c r="E336" s="23"/>
      <c r="F336" s="23"/>
      <c r="G336" s="23"/>
      <c r="H336" s="23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</row>
  </sheetData>
  <mergeCells count="9">
    <mergeCell ref="B287:R287"/>
    <mergeCell ref="B288:R288"/>
    <mergeCell ref="B289:R289"/>
    <mergeCell ref="A1:R1"/>
    <mergeCell ref="A3:A4"/>
    <mergeCell ref="B283:R283"/>
    <mergeCell ref="B284:R284"/>
    <mergeCell ref="B285:R285"/>
    <mergeCell ref="B286:R286"/>
  </mergeCells>
  <phoneticPr fontId="0" type="noConversion"/>
  <conditionalFormatting sqref="E323:E329 E5:E29 E306:E309">
    <cfRule type="cellIs" dxfId="96" priority="133" stopIfTrue="1" operator="notBetween">
      <formula>0.2</formula>
      <formula>0.5</formula>
    </cfRule>
  </conditionalFormatting>
  <conditionalFormatting sqref="S313:S316 R314 R316 K314 K316 E313:E316 B313:B316 C314:D314 C316:D316 F314:I314 F316:I316 L313:Q316">
    <cfRule type="cellIs" dxfId="95" priority="134" stopIfTrue="1" operator="greaterThan">
      <formula>0</formula>
    </cfRule>
  </conditionalFormatting>
  <conditionalFormatting sqref="S5:S29 S306:S309">
    <cfRule type="cellIs" dxfId="94" priority="135" stopIfTrue="1" operator="lessThan">
      <formula>0.5</formula>
    </cfRule>
    <cfRule type="cellIs" dxfId="93" priority="136" stopIfTrue="1" operator="greaterThan">
      <formula>2</formula>
    </cfRule>
  </conditionalFormatting>
  <conditionalFormatting sqref="B5:B29 B306:B307">
    <cfRule type="cellIs" dxfId="92" priority="138" stopIfTrue="1" operator="notBetween">
      <formula>7.5</formula>
      <formula>8</formula>
    </cfRule>
  </conditionalFormatting>
  <conditionalFormatting sqref="C5:D22 P5:P24">
    <cfRule type="cellIs" dxfId="91" priority="139" stopIfTrue="1" operator="greaterThan">
      <formula>20</formula>
    </cfRule>
  </conditionalFormatting>
  <conditionalFormatting sqref="I18 G6 H5:H17 H19:H22">
    <cfRule type="cellIs" dxfId="90" priority="143" stopIfTrue="1" operator="greaterThan">
      <formula>1200</formula>
    </cfRule>
  </conditionalFormatting>
  <conditionalFormatting sqref="K5:K22">
    <cfRule type="cellIs" dxfId="89" priority="130" operator="greaterThan">
      <formula>500</formula>
    </cfRule>
  </conditionalFormatting>
  <conditionalFormatting sqref="H18 F6 G5:G17 G19:G22">
    <cfRule type="cellIs" dxfId="88" priority="129" operator="greaterThan">
      <formula>2100</formula>
    </cfRule>
  </conditionalFormatting>
  <conditionalFormatting sqref="E30:E56">
    <cfRule type="cellIs" dxfId="87" priority="83" stopIfTrue="1" operator="notBetween">
      <formula>0.2</formula>
      <formula>0.5</formula>
    </cfRule>
  </conditionalFormatting>
  <conditionalFormatting sqref="S30:S56">
    <cfRule type="cellIs" dxfId="86" priority="84" stopIfTrue="1" operator="lessThan">
      <formula>0.5</formula>
    </cfRule>
    <cfRule type="cellIs" dxfId="85" priority="85" stopIfTrue="1" operator="greaterThan">
      <formula>2</formula>
    </cfRule>
  </conditionalFormatting>
  <conditionalFormatting sqref="B30:B56">
    <cfRule type="cellIs" dxfId="84" priority="86" stopIfTrue="1" operator="notBetween">
      <formula>7.5</formula>
      <formula>8</formula>
    </cfRule>
  </conditionalFormatting>
  <conditionalFormatting sqref="C30:D47 P30:P49">
    <cfRule type="cellIs" dxfId="83" priority="87" stopIfTrue="1" operator="greaterThan">
      <formula>20</formula>
    </cfRule>
  </conditionalFormatting>
  <conditionalFormatting sqref="I43 G31 H30:H42 H44:H47">
    <cfRule type="cellIs" dxfId="82" priority="88" stopIfTrue="1" operator="greaterThan">
      <formula>1200</formula>
    </cfRule>
  </conditionalFormatting>
  <conditionalFormatting sqref="K30:K47">
    <cfRule type="cellIs" dxfId="81" priority="82" operator="greaterThan">
      <formula>500</formula>
    </cfRule>
  </conditionalFormatting>
  <conditionalFormatting sqref="H43 F31 G30:G42 G44:G47">
    <cfRule type="cellIs" dxfId="80" priority="81" operator="greaterThan">
      <formula>2100</formula>
    </cfRule>
  </conditionalFormatting>
  <conditionalFormatting sqref="E57:E80">
    <cfRule type="cellIs" dxfId="79" priority="75" stopIfTrue="1" operator="notBetween">
      <formula>0.2</formula>
      <formula>0.5</formula>
    </cfRule>
  </conditionalFormatting>
  <conditionalFormatting sqref="S57:S80">
    <cfRule type="cellIs" dxfId="78" priority="76" stopIfTrue="1" operator="lessThan">
      <formula>0.5</formula>
    </cfRule>
    <cfRule type="cellIs" dxfId="77" priority="77" stopIfTrue="1" operator="greaterThan">
      <formula>2</formula>
    </cfRule>
  </conditionalFormatting>
  <conditionalFormatting sqref="B57:B80">
    <cfRule type="cellIs" dxfId="76" priority="78" stopIfTrue="1" operator="notBetween">
      <formula>7.5</formula>
      <formula>8</formula>
    </cfRule>
  </conditionalFormatting>
  <conditionalFormatting sqref="C57:D74 P57:P79">
    <cfRule type="cellIs" dxfId="75" priority="79" stopIfTrue="1" operator="greaterThan">
      <formula>20</formula>
    </cfRule>
  </conditionalFormatting>
  <conditionalFormatting sqref="I70 G58 H57:H69 H71:H74">
    <cfRule type="cellIs" dxfId="74" priority="80" stopIfTrue="1" operator="greaterThan">
      <formula>1200</formula>
    </cfRule>
  </conditionalFormatting>
  <conditionalFormatting sqref="K57:K74">
    <cfRule type="cellIs" dxfId="73" priority="74" operator="greaterThan">
      <formula>500</formula>
    </cfRule>
  </conditionalFormatting>
  <conditionalFormatting sqref="H70 F58 G57:G69 G71:G74">
    <cfRule type="cellIs" dxfId="72" priority="73" operator="greaterThan">
      <formula>2100</formula>
    </cfRule>
  </conditionalFormatting>
  <conditionalFormatting sqref="E81:E106">
    <cfRule type="cellIs" dxfId="71" priority="67" stopIfTrue="1" operator="notBetween">
      <formula>0.2</formula>
      <formula>0.5</formula>
    </cfRule>
  </conditionalFormatting>
  <conditionalFormatting sqref="S81:S106">
    <cfRule type="cellIs" dxfId="70" priority="68" stopIfTrue="1" operator="lessThan">
      <formula>0.5</formula>
    </cfRule>
    <cfRule type="cellIs" dxfId="69" priority="69" stopIfTrue="1" operator="greaterThan">
      <formula>2</formula>
    </cfRule>
  </conditionalFormatting>
  <conditionalFormatting sqref="B81:B106">
    <cfRule type="cellIs" dxfId="68" priority="70" stopIfTrue="1" operator="notBetween">
      <formula>7.5</formula>
      <formula>8</formula>
    </cfRule>
  </conditionalFormatting>
  <conditionalFormatting sqref="C81:D98 P81:P103">
    <cfRule type="cellIs" dxfId="67" priority="71" stopIfTrue="1" operator="greaterThan">
      <formula>20</formula>
    </cfRule>
  </conditionalFormatting>
  <conditionalFormatting sqref="I94 G82 H81:H93 H95:H98">
    <cfRule type="cellIs" dxfId="66" priority="72" stopIfTrue="1" operator="greaterThan">
      <formula>1200</formula>
    </cfRule>
  </conditionalFormatting>
  <conditionalFormatting sqref="K81:K98">
    <cfRule type="cellIs" dxfId="65" priority="66" operator="greaterThan">
      <formula>500</formula>
    </cfRule>
  </conditionalFormatting>
  <conditionalFormatting sqref="H94 F82 G81:G93 G95:G98">
    <cfRule type="cellIs" dxfId="64" priority="65" operator="greaterThan">
      <formula>2100</formula>
    </cfRule>
  </conditionalFormatting>
  <conditionalFormatting sqref="E107:E130">
    <cfRule type="cellIs" dxfId="63" priority="59" stopIfTrue="1" operator="notBetween">
      <formula>0.2</formula>
      <formula>0.5</formula>
    </cfRule>
  </conditionalFormatting>
  <conditionalFormatting sqref="S107:S130">
    <cfRule type="cellIs" dxfId="62" priority="60" stopIfTrue="1" operator="lessThan">
      <formula>0.5</formula>
    </cfRule>
    <cfRule type="cellIs" dxfId="61" priority="61" stopIfTrue="1" operator="greaterThan">
      <formula>2</formula>
    </cfRule>
  </conditionalFormatting>
  <conditionalFormatting sqref="B107:B130">
    <cfRule type="cellIs" dxfId="60" priority="62" stopIfTrue="1" operator="notBetween">
      <formula>7.5</formula>
      <formula>8</formula>
    </cfRule>
  </conditionalFormatting>
  <conditionalFormatting sqref="C107:D124 P107:P129">
    <cfRule type="cellIs" dxfId="59" priority="63" stopIfTrue="1" operator="greaterThan">
      <formula>20</formula>
    </cfRule>
  </conditionalFormatting>
  <conditionalFormatting sqref="I120 G108 H107:H119 H121:H124">
    <cfRule type="cellIs" dxfId="58" priority="64" stopIfTrue="1" operator="greaterThan">
      <formula>1200</formula>
    </cfRule>
  </conditionalFormatting>
  <conditionalFormatting sqref="K107:K124">
    <cfRule type="cellIs" dxfId="57" priority="58" operator="greaterThan">
      <formula>500</formula>
    </cfRule>
  </conditionalFormatting>
  <conditionalFormatting sqref="H120 F108 G107:G119 G121:G124">
    <cfRule type="cellIs" dxfId="56" priority="57" operator="greaterThan">
      <formula>2100</formula>
    </cfRule>
  </conditionalFormatting>
  <conditionalFormatting sqref="E131:E153">
    <cfRule type="cellIs" dxfId="55" priority="51" stopIfTrue="1" operator="notBetween">
      <formula>0.2</formula>
      <formula>0.5</formula>
    </cfRule>
  </conditionalFormatting>
  <conditionalFormatting sqref="S131:S153">
    <cfRule type="cellIs" dxfId="54" priority="52" stopIfTrue="1" operator="lessThan">
      <formula>0.5</formula>
    </cfRule>
    <cfRule type="cellIs" dxfId="53" priority="53" stopIfTrue="1" operator="greaterThan">
      <formula>2</formula>
    </cfRule>
  </conditionalFormatting>
  <conditionalFormatting sqref="B131:B153">
    <cfRule type="cellIs" dxfId="52" priority="54" stopIfTrue="1" operator="notBetween">
      <formula>7.5</formula>
      <formula>8</formula>
    </cfRule>
  </conditionalFormatting>
  <conditionalFormatting sqref="C131:D148 P131:P153">
    <cfRule type="cellIs" dxfId="51" priority="55" stopIfTrue="1" operator="greaterThan">
      <formula>20</formula>
    </cfRule>
  </conditionalFormatting>
  <conditionalFormatting sqref="I144 G132 H131:H143 H145:H148">
    <cfRule type="cellIs" dxfId="50" priority="56" stopIfTrue="1" operator="greaterThan">
      <formula>1200</formula>
    </cfRule>
  </conditionalFormatting>
  <conditionalFormatting sqref="K131:K148">
    <cfRule type="cellIs" dxfId="49" priority="50" operator="greaterThan">
      <formula>500</formula>
    </cfRule>
  </conditionalFormatting>
  <conditionalFormatting sqref="H144 F132 G131:G143 G145:G148">
    <cfRule type="cellIs" dxfId="48" priority="49" operator="greaterThan">
      <formula>2100</formula>
    </cfRule>
  </conditionalFormatting>
  <conditionalFormatting sqref="E154:E178">
    <cfRule type="cellIs" dxfId="47" priority="43" stopIfTrue="1" operator="notBetween">
      <formula>0.2</formula>
      <formula>0.5</formula>
    </cfRule>
  </conditionalFormatting>
  <conditionalFormatting sqref="S154:S178">
    <cfRule type="cellIs" dxfId="46" priority="44" stopIfTrue="1" operator="lessThan">
      <formula>0.5</formula>
    </cfRule>
    <cfRule type="cellIs" dxfId="45" priority="45" stopIfTrue="1" operator="greaterThan">
      <formula>2</formula>
    </cfRule>
  </conditionalFormatting>
  <conditionalFormatting sqref="B154:B178">
    <cfRule type="cellIs" dxfId="44" priority="46" stopIfTrue="1" operator="notBetween">
      <formula>7.5</formula>
      <formula>8</formula>
    </cfRule>
  </conditionalFormatting>
  <conditionalFormatting sqref="C154:D171 P154:P176">
    <cfRule type="cellIs" dxfId="43" priority="47" stopIfTrue="1" operator="greaterThan">
      <formula>20</formula>
    </cfRule>
  </conditionalFormatting>
  <conditionalFormatting sqref="I167 G155 H154:H166 H168:H171">
    <cfRule type="cellIs" dxfId="42" priority="48" stopIfTrue="1" operator="greaterThan">
      <formula>1200</formula>
    </cfRule>
  </conditionalFormatting>
  <conditionalFormatting sqref="K154:K171">
    <cfRule type="cellIs" dxfId="41" priority="42" operator="greaterThan">
      <formula>500</formula>
    </cfRule>
  </conditionalFormatting>
  <conditionalFormatting sqref="H167 F155 G154:G166 G168:G171">
    <cfRule type="cellIs" dxfId="40" priority="41" operator="greaterThan">
      <formula>2100</formula>
    </cfRule>
  </conditionalFormatting>
  <conditionalFormatting sqref="E179:E204">
    <cfRule type="cellIs" dxfId="39" priority="35" stopIfTrue="1" operator="notBetween">
      <formula>0.2</formula>
      <formula>0.5</formula>
    </cfRule>
  </conditionalFormatting>
  <conditionalFormatting sqref="S179:S204">
    <cfRule type="cellIs" dxfId="38" priority="36" stopIfTrue="1" operator="lessThan">
      <formula>0.5</formula>
    </cfRule>
    <cfRule type="cellIs" dxfId="37" priority="37" stopIfTrue="1" operator="greaterThan">
      <formula>2</formula>
    </cfRule>
  </conditionalFormatting>
  <conditionalFormatting sqref="B179:B204">
    <cfRule type="cellIs" dxfId="36" priority="38" stopIfTrue="1" operator="notBetween">
      <formula>7.5</formula>
      <formula>8</formula>
    </cfRule>
  </conditionalFormatting>
  <conditionalFormatting sqref="C179:D196 P179:P202">
    <cfRule type="cellIs" dxfId="35" priority="39" stopIfTrue="1" operator="greaterThan">
      <formula>20</formula>
    </cfRule>
  </conditionalFormatting>
  <conditionalFormatting sqref="I192 G180 H179:H191 H193:H196">
    <cfRule type="cellIs" dxfId="34" priority="40" stopIfTrue="1" operator="greaterThan">
      <formula>1200</formula>
    </cfRule>
  </conditionalFormatting>
  <conditionalFormatting sqref="K179:K196">
    <cfRule type="cellIs" dxfId="33" priority="34" operator="greaterThan">
      <formula>500</formula>
    </cfRule>
  </conditionalFormatting>
  <conditionalFormatting sqref="H192 F180 G179:G191 G193:G196">
    <cfRule type="cellIs" dxfId="32" priority="33" operator="greaterThan">
      <formula>2100</formula>
    </cfRule>
  </conditionalFormatting>
  <conditionalFormatting sqref="E205:E231">
    <cfRule type="cellIs" dxfId="31" priority="27" stopIfTrue="1" operator="notBetween">
      <formula>0.2</formula>
      <formula>0.5</formula>
    </cfRule>
  </conditionalFormatting>
  <conditionalFormatting sqref="S205:S231">
    <cfRule type="cellIs" dxfId="30" priority="28" stopIfTrue="1" operator="lessThan">
      <formula>0.5</formula>
    </cfRule>
    <cfRule type="cellIs" dxfId="29" priority="29" stopIfTrue="1" operator="greaterThan">
      <formula>2</formula>
    </cfRule>
  </conditionalFormatting>
  <conditionalFormatting sqref="B205:B231">
    <cfRule type="cellIs" dxfId="28" priority="30" stopIfTrue="1" operator="notBetween">
      <formula>7.5</formula>
      <formula>8</formula>
    </cfRule>
  </conditionalFormatting>
  <conditionalFormatting sqref="C205:D222 P205:P228">
    <cfRule type="cellIs" dxfId="27" priority="31" stopIfTrue="1" operator="greaterThan">
      <formula>20</formula>
    </cfRule>
  </conditionalFormatting>
  <conditionalFormatting sqref="I218 G206 H205:H217 H219:H222">
    <cfRule type="cellIs" dxfId="26" priority="32" stopIfTrue="1" operator="greaterThan">
      <formula>1200</formula>
    </cfRule>
  </conditionalFormatting>
  <conditionalFormatting sqref="K205:K222">
    <cfRule type="cellIs" dxfId="25" priority="26" operator="greaterThan">
      <formula>500</formula>
    </cfRule>
  </conditionalFormatting>
  <conditionalFormatting sqref="H218 F206 G205:G217 G219:G222">
    <cfRule type="cellIs" dxfId="24" priority="25" operator="greaterThan">
      <formula>2100</formula>
    </cfRule>
  </conditionalFormatting>
  <conditionalFormatting sqref="E232:E256">
    <cfRule type="cellIs" dxfId="23" priority="19" stopIfTrue="1" operator="notBetween">
      <formula>0.2</formula>
      <formula>0.5</formula>
    </cfRule>
  </conditionalFormatting>
  <conditionalFormatting sqref="S232:S256">
    <cfRule type="cellIs" dxfId="22" priority="20" stopIfTrue="1" operator="lessThan">
      <formula>0.5</formula>
    </cfRule>
    <cfRule type="cellIs" dxfId="21" priority="21" stopIfTrue="1" operator="greaterThan">
      <formula>2</formula>
    </cfRule>
  </conditionalFormatting>
  <conditionalFormatting sqref="B232:B256">
    <cfRule type="cellIs" dxfId="20" priority="22" stopIfTrue="1" operator="notBetween">
      <formula>7.5</formula>
      <formula>8</formula>
    </cfRule>
  </conditionalFormatting>
  <conditionalFormatting sqref="C232:D249 P232:P255">
    <cfRule type="cellIs" dxfId="19" priority="23" stopIfTrue="1" operator="greaterThan">
      <formula>20</formula>
    </cfRule>
  </conditionalFormatting>
  <conditionalFormatting sqref="I245 G233 H232:H244 H246:H249">
    <cfRule type="cellIs" dxfId="18" priority="24" stopIfTrue="1" operator="greaterThan">
      <formula>1200</formula>
    </cfRule>
  </conditionalFormatting>
  <conditionalFormatting sqref="K232:K249">
    <cfRule type="cellIs" dxfId="17" priority="18" operator="greaterThan">
      <formula>500</formula>
    </cfRule>
  </conditionalFormatting>
  <conditionalFormatting sqref="H245 F233 G232:G244 G246:G249">
    <cfRule type="cellIs" dxfId="16" priority="17" operator="greaterThan">
      <formula>2100</formula>
    </cfRule>
  </conditionalFormatting>
  <conditionalFormatting sqref="E257:E282">
    <cfRule type="cellIs" dxfId="15" priority="11" stopIfTrue="1" operator="notBetween">
      <formula>0.2</formula>
      <formula>0.5</formula>
    </cfRule>
  </conditionalFormatting>
  <conditionalFormatting sqref="S257:S283">
    <cfRule type="cellIs" dxfId="14" priority="12" stopIfTrue="1" operator="lessThan">
      <formula>0.5</formula>
    </cfRule>
    <cfRule type="cellIs" dxfId="13" priority="13" stopIfTrue="1" operator="greaterThan">
      <formula>2</formula>
    </cfRule>
  </conditionalFormatting>
  <conditionalFormatting sqref="B257:B283">
    <cfRule type="cellIs" dxfId="12" priority="14" stopIfTrue="1" operator="notBetween">
      <formula>8</formula>
      <formula>8.5</formula>
    </cfRule>
  </conditionalFormatting>
  <conditionalFormatting sqref="C257:D274 P257:P280">
    <cfRule type="cellIs" dxfId="11" priority="15" stopIfTrue="1" operator="greaterThan">
      <formula>20</formula>
    </cfRule>
  </conditionalFormatting>
  <conditionalFormatting sqref="I270 G258 H257:H269 H271:H274">
    <cfRule type="cellIs" dxfId="10" priority="16" stopIfTrue="1" operator="greaterThan">
      <formula>1200</formula>
    </cfRule>
  </conditionalFormatting>
  <conditionalFormatting sqref="K257:K274">
    <cfRule type="cellIs" dxfId="9" priority="10" operator="greaterThan">
      <formula>500</formula>
    </cfRule>
  </conditionalFormatting>
  <conditionalFormatting sqref="H270 F258 G257:G269 G271:G274">
    <cfRule type="cellIs" dxfId="8" priority="9" operator="greaterThan">
      <formula>2100</formula>
    </cfRule>
  </conditionalFormatting>
  <conditionalFormatting sqref="E290:E305">
    <cfRule type="cellIs" dxfId="7" priority="3" stopIfTrue="1" operator="notBetween">
      <formula>0.2</formula>
      <formula>0.5</formula>
    </cfRule>
  </conditionalFormatting>
  <conditionalFormatting sqref="S284:S305">
    <cfRule type="cellIs" dxfId="6" priority="4" stopIfTrue="1" operator="lessThan">
      <formula>0.5</formula>
    </cfRule>
    <cfRule type="cellIs" dxfId="5" priority="5" stopIfTrue="1" operator="greaterThan">
      <formula>2</formula>
    </cfRule>
  </conditionalFormatting>
  <conditionalFormatting sqref="B284:B305">
    <cfRule type="cellIs" dxfId="4" priority="6" stopIfTrue="1" operator="notBetween">
      <formula>8</formula>
      <formula>8.5</formula>
    </cfRule>
  </conditionalFormatting>
  <conditionalFormatting sqref="P290:P305 C290:D301">
    <cfRule type="cellIs" dxfId="3" priority="7" stopIfTrue="1" operator="greaterThan">
      <formula>20</formula>
    </cfRule>
  </conditionalFormatting>
  <conditionalFormatting sqref="I297 H290:H296 H298:H301">
    <cfRule type="cellIs" dxfId="2" priority="8" stopIfTrue="1" operator="greaterThan">
      <formula>1200</formula>
    </cfRule>
  </conditionalFormatting>
  <conditionalFormatting sqref="K290:K301">
    <cfRule type="cellIs" dxfId="1" priority="2" operator="greaterThan">
      <formula>500</formula>
    </cfRule>
  </conditionalFormatting>
  <conditionalFormatting sqref="H297 G290:G296 G298:G301">
    <cfRule type="cellIs" dxfId="0" priority="1" operator="greaterThan">
      <formula>2100</formula>
    </cfRule>
  </conditionalFormatting>
  <printOptions horizontalCentered="1" verticalCentered="1"/>
  <pageMargins left="0.23622047244094491" right="0.23622047244094491" top="0" bottom="0" header="0.35433070866141736" footer="0.51181102362204722"/>
  <pageSetup scale="70" orientation="landscape" horizontalDpi="300" verticalDpi="300" r:id="rId1"/>
  <headerFooter alignWithMargins="0">
    <oddHeader>&amp;R&amp;G</oddHeader>
    <oddFooter>&amp;R&amp;"Verdana,Italic"&amp;K0033CCCWT Monthly Report - December 2014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DAE7-8366-4CB2-94F9-9F624BCD38A4}">
  <dimension ref="A1:Q49"/>
  <sheetViews>
    <sheetView showGridLines="0" zoomScale="66" zoomScaleNormal="66" workbookViewId="0">
      <selection activeCell="F33" sqref="F33"/>
    </sheetView>
  </sheetViews>
  <sheetFormatPr defaultRowHeight="12.75" x14ac:dyDescent="0.35"/>
  <cols>
    <col min="27" max="27" width="11.1328125" customWidth="1"/>
    <col min="45" max="45" width="11.1328125" customWidth="1"/>
  </cols>
  <sheetData>
    <row r="1" spans="1:8" x14ac:dyDescent="0.35">
      <c r="A1" s="4"/>
      <c r="B1" s="4"/>
      <c r="C1" s="4"/>
      <c r="D1" s="4"/>
      <c r="E1" s="4"/>
      <c r="F1" s="4"/>
      <c r="G1" s="4"/>
      <c r="H1" s="4"/>
    </row>
    <row r="2" spans="1:8" x14ac:dyDescent="0.35">
      <c r="A2" s="4"/>
      <c r="B2" s="4"/>
      <c r="C2" s="4"/>
      <c r="D2" s="4"/>
      <c r="E2" s="4"/>
      <c r="F2" s="4"/>
      <c r="G2" s="4"/>
      <c r="H2" s="4"/>
    </row>
    <row r="3" spans="1:8" x14ac:dyDescent="0.35">
      <c r="A3" s="4"/>
      <c r="B3" s="4"/>
      <c r="C3" s="4"/>
      <c r="D3" s="4"/>
      <c r="E3" s="4"/>
      <c r="F3" s="4"/>
      <c r="G3" s="4"/>
      <c r="H3" s="4"/>
    </row>
    <row r="4" spans="1:8" x14ac:dyDescent="0.35">
      <c r="A4" s="4"/>
      <c r="B4" s="4"/>
      <c r="C4" s="4"/>
      <c r="D4" s="4"/>
      <c r="E4" s="4"/>
      <c r="F4" s="4"/>
      <c r="G4" s="4"/>
      <c r="H4" s="4"/>
    </row>
    <row r="5" spans="1:8" x14ac:dyDescent="0.35">
      <c r="A5" s="4"/>
      <c r="B5" s="4"/>
      <c r="C5" s="4"/>
      <c r="D5" s="4"/>
      <c r="E5" s="4"/>
      <c r="F5" s="4"/>
      <c r="G5" s="4"/>
      <c r="H5" s="4"/>
    </row>
    <row r="6" spans="1:8" x14ac:dyDescent="0.35">
      <c r="A6" s="4"/>
      <c r="B6" s="4"/>
      <c r="C6" s="4"/>
      <c r="D6" s="4"/>
      <c r="E6" s="4"/>
      <c r="F6" s="4"/>
      <c r="G6" s="4"/>
      <c r="H6" s="4"/>
    </row>
    <row r="7" spans="1:8" x14ac:dyDescent="0.35">
      <c r="A7" s="4"/>
      <c r="B7" s="4"/>
      <c r="C7" s="4"/>
      <c r="D7" s="4"/>
      <c r="E7" s="4"/>
      <c r="F7" s="4"/>
      <c r="G7" s="4"/>
      <c r="H7" s="4"/>
    </row>
    <row r="8" spans="1:8" x14ac:dyDescent="0.35">
      <c r="A8" s="4"/>
      <c r="B8" s="4"/>
      <c r="C8" s="4"/>
      <c r="D8" s="4"/>
      <c r="E8" s="4"/>
      <c r="F8" s="4"/>
      <c r="G8" s="4"/>
      <c r="H8" s="4"/>
    </row>
    <row r="9" spans="1:8" x14ac:dyDescent="0.35">
      <c r="A9" s="4"/>
      <c r="B9" s="4"/>
      <c r="C9" s="4"/>
      <c r="D9" s="4"/>
      <c r="E9" s="4"/>
      <c r="F9" s="4"/>
      <c r="G9" s="4"/>
      <c r="H9" s="4"/>
    </row>
    <row r="10" spans="1:8" x14ac:dyDescent="0.35">
      <c r="A10" s="4"/>
      <c r="B10" s="4"/>
      <c r="C10" s="4"/>
      <c r="D10" s="4"/>
      <c r="E10" s="4"/>
      <c r="F10" s="4"/>
      <c r="G10" s="4"/>
      <c r="H10" s="4"/>
    </row>
    <row r="11" spans="1:8" x14ac:dyDescent="0.35">
      <c r="A11" s="4"/>
      <c r="B11" s="4"/>
      <c r="C11" s="4"/>
      <c r="D11" s="4"/>
      <c r="E11" s="4"/>
      <c r="F11" s="4"/>
      <c r="G11" s="4"/>
      <c r="H11" s="4"/>
    </row>
    <row r="12" spans="1:8" x14ac:dyDescent="0.35">
      <c r="A12" s="4"/>
      <c r="B12" s="4"/>
      <c r="C12" s="4"/>
      <c r="D12" s="4"/>
      <c r="E12" s="4"/>
      <c r="F12" s="4"/>
      <c r="G12" s="4"/>
      <c r="H12" s="4"/>
    </row>
    <row r="13" spans="1:8" x14ac:dyDescent="0.35">
      <c r="A13" s="4"/>
      <c r="B13" s="4"/>
      <c r="C13" s="4"/>
      <c r="D13" s="4"/>
      <c r="E13" s="4"/>
      <c r="F13" s="4"/>
      <c r="G13" s="4"/>
      <c r="H13" s="4"/>
    </row>
    <row r="14" spans="1:8" x14ac:dyDescent="0.35">
      <c r="A14" s="4"/>
      <c r="B14" s="4"/>
      <c r="C14" s="4"/>
      <c r="D14" s="4"/>
      <c r="E14" s="4"/>
      <c r="F14" s="4"/>
      <c r="G14" s="4"/>
      <c r="H14" s="4"/>
    </row>
    <row r="15" spans="1:8" x14ac:dyDescent="0.35">
      <c r="A15" s="4"/>
      <c r="B15" s="4"/>
      <c r="C15" s="4"/>
      <c r="D15" s="4"/>
      <c r="E15" s="4"/>
      <c r="F15" s="4"/>
      <c r="G15" s="4"/>
      <c r="H15" s="4"/>
    </row>
    <row r="16" spans="1:8" x14ac:dyDescent="0.35">
      <c r="A16" s="4"/>
      <c r="B16" s="4"/>
      <c r="C16" s="4"/>
      <c r="D16" s="4"/>
      <c r="E16" s="4"/>
      <c r="F16" s="4"/>
      <c r="G16" s="4"/>
      <c r="H16" s="4"/>
    </row>
    <row r="34" spans="10:17" x14ac:dyDescent="0.35">
      <c r="J34" s="4"/>
      <c r="K34" s="4"/>
      <c r="L34" s="4"/>
      <c r="M34" s="4"/>
      <c r="N34" s="4"/>
      <c r="O34" s="4"/>
      <c r="P34" s="4"/>
      <c r="Q34" s="4"/>
    </row>
    <row r="35" spans="10:17" x14ac:dyDescent="0.35">
      <c r="J35" s="4"/>
      <c r="K35" s="4"/>
      <c r="L35" s="4"/>
      <c r="M35" s="4"/>
      <c r="N35" s="4"/>
      <c r="O35" s="4"/>
      <c r="P35" s="4"/>
      <c r="Q35" s="4"/>
    </row>
    <row r="36" spans="10:17" x14ac:dyDescent="0.35">
      <c r="J36" s="4"/>
      <c r="K36" s="4"/>
      <c r="L36" s="4"/>
      <c r="M36" s="4"/>
      <c r="N36" s="4"/>
      <c r="O36" s="4"/>
      <c r="P36" s="4"/>
      <c r="Q36" s="4"/>
    </row>
    <row r="37" spans="10:17" x14ac:dyDescent="0.35">
      <c r="J37" s="4"/>
      <c r="K37" s="4"/>
      <c r="L37" s="4"/>
      <c r="M37" s="4"/>
      <c r="N37" s="4"/>
      <c r="O37" s="4"/>
      <c r="P37" s="4"/>
      <c r="Q37" s="4"/>
    </row>
    <row r="38" spans="10:17" x14ac:dyDescent="0.35">
      <c r="J38" s="4"/>
      <c r="K38" s="4"/>
      <c r="L38" s="4"/>
      <c r="M38" s="4"/>
      <c r="N38" s="4"/>
      <c r="O38" s="4"/>
      <c r="P38" s="4"/>
      <c r="Q38" s="4"/>
    </row>
    <row r="39" spans="10:17" x14ac:dyDescent="0.35">
      <c r="J39" s="4"/>
      <c r="K39" s="4"/>
      <c r="L39" s="4"/>
      <c r="M39" s="4"/>
      <c r="N39" s="4"/>
      <c r="O39" s="4"/>
      <c r="P39" s="4"/>
      <c r="Q39" s="4"/>
    </row>
    <row r="40" spans="10:17" x14ac:dyDescent="0.35">
      <c r="J40" s="4"/>
      <c r="K40" s="4"/>
      <c r="L40" s="4"/>
      <c r="M40" s="4"/>
      <c r="N40" s="4"/>
      <c r="O40" s="4"/>
      <c r="P40" s="4"/>
      <c r="Q40" s="4"/>
    </row>
    <row r="41" spans="10:17" x14ac:dyDescent="0.35">
      <c r="J41" s="4"/>
      <c r="K41" s="4"/>
      <c r="L41" s="4"/>
      <c r="M41" s="4"/>
      <c r="N41" s="4"/>
      <c r="O41" s="4"/>
      <c r="P41" s="4"/>
      <c r="Q41" s="4"/>
    </row>
    <row r="42" spans="10:17" x14ac:dyDescent="0.35">
      <c r="J42" s="4"/>
      <c r="K42" s="4"/>
      <c r="L42" s="4"/>
      <c r="M42" s="4"/>
      <c r="N42" s="4"/>
      <c r="O42" s="4"/>
      <c r="P42" s="4"/>
      <c r="Q42" s="4"/>
    </row>
    <row r="43" spans="10:17" x14ac:dyDescent="0.35">
      <c r="J43" s="4"/>
      <c r="K43" s="4"/>
      <c r="L43" s="4"/>
      <c r="M43" s="4"/>
      <c r="N43" s="4"/>
      <c r="O43" s="4"/>
      <c r="P43" s="4"/>
      <c r="Q43" s="4"/>
    </row>
    <row r="44" spans="10:17" x14ac:dyDescent="0.35">
      <c r="J44" s="4"/>
      <c r="K44" s="4"/>
      <c r="L44" s="4"/>
      <c r="M44" s="4"/>
      <c r="N44" s="4"/>
      <c r="O44" s="4"/>
      <c r="P44" s="4"/>
      <c r="Q44" s="4"/>
    </row>
    <row r="45" spans="10:17" x14ac:dyDescent="0.35">
      <c r="J45" s="4"/>
      <c r="K45" s="4"/>
      <c r="L45" s="4"/>
      <c r="M45" s="4"/>
      <c r="N45" s="4"/>
      <c r="O45" s="4"/>
      <c r="P45" s="4"/>
      <c r="Q45" s="4"/>
    </row>
    <row r="46" spans="10:17" x14ac:dyDescent="0.35">
      <c r="J46" s="4"/>
      <c r="K46" s="4"/>
      <c r="L46" s="4"/>
      <c r="M46" s="4"/>
      <c r="N46" s="4"/>
      <c r="O46" s="4"/>
      <c r="P46" s="4"/>
      <c r="Q46" s="4"/>
    </row>
    <row r="47" spans="10:17" x14ac:dyDescent="0.35">
      <c r="J47" s="4"/>
      <c r="K47" s="4"/>
      <c r="L47" s="4"/>
      <c r="M47" s="4"/>
      <c r="N47" s="4"/>
      <c r="O47" s="4"/>
      <c r="P47" s="4"/>
      <c r="Q47" s="4"/>
    </row>
    <row r="48" spans="10:17" x14ac:dyDescent="0.35">
      <c r="J48" s="4"/>
      <c r="K48" s="4"/>
      <c r="L48" s="4"/>
      <c r="M48" s="4"/>
      <c r="N48" s="4"/>
      <c r="O48" s="4"/>
      <c r="P48" s="4"/>
      <c r="Q48" s="4"/>
    </row>
    <row r="49" spans="10:17" x14ac:dyDescent="0.35">
      <c r="J49" s="4"/>
      <c r="K49" s="4"/>
      <c r="L49" s="4"/>
      <c r="M49" s="4"/>
      <c r="N49" s="4"/>
      <c r="O49" s="4"/>
      <c r="P49" s="4"/>
      <c r="Q49" s="4"/>
    </row>
  </sheetData>
  <phoneticPr fontId="0" type="noConversion"/>
  <printOptions horizontalCentered="1" verticalCentered="1"/>
  <pageMargins left="0.86614173228346458" right="0.74803149606299213" top="1.2598425196850394" bottom="0.74803149606299213" header="0.51181102362204722" footer="0.51181102362204722"/>
  <pageSetup orientation="portrait" horizontalDpi="4294967293" verticalDpi="300" r:id="rId1"/>
  <headerFooter alignWithMargins="0">
    <oddHeader>&amp;C&amp;"Verdana,Bold"&amp;12
&amp;K0033CC&amp;A&amp;R&amp;"Arial,Bold"&amp;11&amp;G</oddHeader>
    <oddFooter xml:space="preserve">&amp;R&amp;"Verdana,Italic"&amp;K0033CCCWT Monthly Report - December 2014
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MakeUp</vt:lpstr>
      <vt:lpstr>ECH CT PH Process</vt:lpstr>
      <vt:lpstr>CT Parameter Graphs</vt:lpstr>
      <vt:lpstr>'CT Parameter Graphs'!Print_Area</vt:lpstr>
      <vt:lpstr>'ECH CT PH Process'!Print_Area</vt:lpstr>
      <vt:lpstr>MakeUp!Print_Area</vt:lpstr>
    </vt:vector>
  </TitlesOfParts>
  <Company>Wex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</dc:creator>
  <cp:lastModifiedBy>Madhvansh Choksi</cp:lastModifiedBy>
  <cp:lastPrinted>2015-01-18T17:01:09Z</cp:lastPrinted>
  <dcterms:created xsi:type="dcterms:W3CDTF">2003-02-01T03:33:53Z</dcterms:created>
  <dcterms:modified xsi:type="dcterms:W3CDTF">2025-08-30T09:51:26Z</dcterms:modified>
</cp:coreProperties>
</file>