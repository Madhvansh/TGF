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emf" ContentType="image/x-emf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Default Extension="vml" ContentType="application/vnd.openxmlformats-officedocument.vmlDrawing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Default Extension="png" ContentType="image/png"/>
  <Override PartName="/xl/charts/chart7.xml" ContentType="application/vnd.openxmlformats-officedocument.drawingml.chart+xml"/>
  <Override PartName="/xl/charts/chart10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5" yWindow="-15" windowWidth="8430" windowHeight="4395" tabRatio="923" activeTab="2"/>
  </bookViews>
  <sheets>
    <sheet name="Word file" sheetId="73" r:id="rId1"/>
    <sheet name="MakeUp" sheetId="23" r:id="rId2"/>
    <sheet name="Cooling Tower" sheetId="22" r:id="rId3"/>
    <sheet name="Operational Parameters" sheetId="62" r:id="rId4"/>
    <sheet name="CT Parameter Graphs" sheetId="35" r:id="rId5"/>
    <sheet name="Operational Graphs" sheetId="63" r:id="rId6"/>
    <sheet name="Chemical Consumption" sheetId="74" r:id="rId7"/>
  </sheets>
  <definedNames>
    <definedName name="a">#REF!</definedName>
    <definedName name="_xlnm.Print_Area" localSheetId="6">'Chemical Consumption'!$A$2:$L$12</definedName>
    <definedName name="_xlnm.Print_Area" localSheetId="2">'Cooling Tower'!$A$1:$Q$38</definedName>
    <definedName name="_xlnm.Print_Area" localSheetId="4">'CT Parameter Graphs'!$A$1:$AS$49</definedName>
    <definedName name="_xlnm.Print_Area" localSheetId="1">MakeUp!$A$1:$K$38</definedName>
    <definedName name="_xlnm.Print_Area" localSheetId="5">'Operational Graphs'!$A$1:$I$51</definedName>
    <definedName name="_xlnm.Print_Area" localSheetId="3">'Operational Parameters'!$A$1:$F$37</definedName>
    <definedName name="_xlnm.Print_Area" localSheetId="0">'Word file'!$A$1:$W$175</definedName>
    <definedName name="Water_Parameters" localSheetId="6">#REF!</definedName>
    <definedName name="Water_Parameters" localSheetId="0">#REF!</definedName>
    <definedName name="Water_Parameters">#REF!</definedName>
  </definedNames>
  <calcPr calcId="125725"/>
</workbook>
</file>

<file path=xl/calcChain.xml><?xml version="1.0" encoding="utf-8"?>
<calcChain xmlns="http://schemas.openxmlformats.org/spreadsheetml/2006/main">
  <c r="E34" i="62"/>
  <c r="D34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6"/>
  <c r="D27"/>
  <c r="D28"/>
  <c r="D29"/>
  <c r="D30"/>
  <c r="D31"/>
  <c r="D32"/>
  <c r="D33"/>
  <c r="A34"/>
  <c r="E33"/>
  <c r="A33"/>
  <c r="I34" i="22"/>
  <c r="A34"/>
  <c r="P40"/>
  <c r="Q159" i="73" s="1"/>
  <c r="N40" i="22"/>
  <c r="N42" s="1"/>
  <c r="L40"/>
  <c r="Q156" i="73" s="1"/>
  <c r="K40" i="22"/>
  <c r="Q155" i="73" s="1"/>
  <c r="K39" i="22"/>
  <c r="N155" i="73" s="1"/>
  <c r="J40" i="22"/>
  <c r="Q154" i="73" s="1"/>
  <c r="G40" i="22"/>
  <c r="Q153" i="73" s="1"/>
  <c r="F40" i="22"/>
  <c r="F42" s="1"/>
  <c r="D40"/>
  <c r="Q151" i="73" s="1"/>
  <c r="C40" i="22"/>
  <c r="Q150" i="73" s="1"/>
  <c r="B39" i="22"/>
  <c r="N149" i="73" s="1"/>
  <c r="N159"/>
  <c r="N158"/>
  <c r="N157"/>
  <c r="N156"/>
  <c r="N154"/>
  <c r="N153"/>
  <c r="N152"/>
  <c r="N150"/>
  <c r="D136"/>
  <c r="D141"/>
  <c r="D140"/>
  <c r="D139"/>
  <c r="D138"/>
  <c r="D137"/>
  <c r="D135"/>
  <c r="D134"/>
  <c r="J131"/>
  <c r="J159" s="1"/>
  <c r="D131"/>
  <c r="D159" s="1"/>
  <c r="J130"/>
  <c r="J158" s="1"/>
  <c r="D130"/>
  <c r="D158" s="1"/>
  <c r="J129"/>
  <c r="J157" s="1"/>
  <c r="D129"/>
  <c r="D157" s="1"/>
  <c r="J128"/>
  <c r="J156" s="1"/>
  <c r="D128"/>
  <c r="D156" s="1"/>
  <c r="J127"/>
  <c r="J155" s="1"/>
  <c r="D127"/>
  <c r="D155" s="1"/>
  <c r="J126"/>
  <c r="J154" s="1"/>
  <c r="D126"/>
  <c r="D154" s="1"/>
  <c r="J125"/>
  <c r="J153" s="1"/>
  <c r="D125"/>
  <c r="D153" s="1"/>
  <c r="J124"/>
  <c r="J152" s="1"/>
  <c r="D124"/>
  <c r="D152" s="1"/>
  <c r="J123"/>
  <c r="J151" s="1"/>
  <c r="D123"/>
  <c r="D151" s="1"/>
  <c r="J122"/>
  <c r="J150" s="1"/>
  <c r="D122"/>
  <c r="D150" s="1"/>
  <c r="J121"/>
  <c r="J149" s="1"/>
  <c r="D121"/>
  <c r="D149" s="1"/>
  <c r="E5" i="62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4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P41" i="22"/>
  <c r="P38"/>
  <c r="T130" i="73" s="1"/>
  <c r="P37" i="22"/>
  <c r="Q130" i="73" s="1"/>
  <c r="P36" i="22"/>
  <c r="N130" i="73" s="1"/>
  <c r="F38" i="22"/>
  <c r="T124" i="73" s="1"/>
  <c r="F37" i="22"/>
  <c r="Q124" i="73" s="1"/>
  <c r="F36" i="22"/>
  <c r="N124" i="73" s="1"/>
  <c r="O42" i="22"/>
  <c r="M42"/>
  <c r="O41"/>
  <c r="N41"/>
  <c r="M41"/>
  <c r="L41"/>
  <c r="O38"/>
  <c r="N38"/>
  <c r="T129" i="73" s="1"/>
  <c r="M38" i="22"/>
  <c r="L38"/>
  <c r="T128" i="73" s="1"/>
  <c r="O37" i="22"/>
  <c r="N37"/>
  <c r="Q129" i="73" s="1"/>
  <c r="M37" i="22"/>
  <c r="L37"/>
  <c r="Q128" i="73" s="1"/>
  <c r="O36" i="22"/>
  <c r="N36"/>
  <c r="N129" i="73" s="1"/>
  <c r="M36" i="22"/>
  <c r="L36"/>
  <c r="N128" i="73" s="1"/>
  <c r="I6" i="22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J38" i="23"/>
  <c r="T141" i="73" s="1"/>
  <c r="J37" i="23"/>
  <c r="Q141" i="73" s="1"/>
  <c r="J36" i="23"/>
  <c r="N141" i="73" s="1"/>
  <c r="C70"/>
  <c r="I32" i="22"/>
  <c r="I33"/>
  <c r="I5"/>
  <c r="Q157" i="73" l="1"/>
  <c r="Q152"/>
  <c r="E36" i="62"/>
  <c r="L42" i="22"/>
  <c r="P42"/>
  <c r="Q158" i="73"/>
  <c r="E35" i="62"/>
  <c r="E37"/>
  <c r="C36" i="22" l="1"/>
  <c r="N122" i="73" s="1"/>
  <c r="C37" i="22"/>
  <c r="Q122" i="73" s="1"/>
  <c r="C38" i="22"/>
  <c r="T122" i="73" s="1"/>
  <c r="A33" i="22"/>
  <c r="J36"/>
  <c r="N126" i="73" s="1"/>
  <c r="K36" i="22"/>
  <c r="N127" i="73" s="1"/>
  <c r="Q36" i="22"/>
  <c r="N131" i="73" s="1"/>
  <c r="A28" i="22" l="1"/>
  <c r="A29"/>
  <c r="A30"/>
  <c r="A31"/>
  <c r="A32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6"/>
  <c r="A35" i="62" s="1"/>
  <c r="B36" i="22"/>
  <c r="N121" i="73" s="1"/>
  <c r="D36" i="22"/>
  <c r="N123" i="73" s="1"/>
  <c r="E36" i="22"/>
  <c r="G36"/>
  <c r="N125" i="73" s="1"/>
  <c r="H36" i="22"/>
  <c r="I36"/>
  <c r="A37"/>
  <c r="A36" i="62" s="1"/>
  <c r="B37" i="22"/>
  <c r="Q121" i="73" s="1"/>
  <c r="D37" i="22"/>
  <c r="Q123" i="73" s="1"/>
  <c r="E37" i="22"/>
  <c r="G37"/>
  <c r="Q125" i="73" s="1"/>
  <c r="H37" i="22"/>
  <c r="I37"/>
  <c r="J37"/>
  <c r="Q126" i="73" s="1"/>
  <c r="K37" i="22"/>
  <c r="Q127" i="73" s="1"/>
  <c r="Q37" i="22"/>
  <c r="Q131" i="73" s="1"/>
  <c r="A38" i="22"/>
  <c r="A37" i="62" s="1"/>
  <c r="B38" i="22"/>
  <c r="T121" i="73" s="1"/>
  <c r="D38" i="22"/>
  <c r="T123" i="73" s="1"/>
  <c r="E38" i="22"/>
  <c r="G38"/>
  <c r="T125" i="73" s="1"/>
  <c r="H38" i="22"/>
  <c r="I38"/>
  <c r="J38"/>
  <c r="T126" i="73" s="1"/>
  <c r="K38" i="22"/>
  <c r="T127" i="73" s="1"/>
  <c r="Q38" i="22"/>
  <c r="T131" i="73" s="1"/>
  <c r="D39" i="22"/>
  <c r="N151" i="73" s="1"/>
  <c r="B40" i="22"/>
  <c r="Q149" i="73" s="1"/>
  <c r="C42" i="22"/>
  <c r="D42"/>
  <c r="E42"/>
  <c r="G42"/>
  <c r="H42"/>
  <c r="J42"/>
  <c r="K42"/>
  <c r="Q40"/>
  <c r="Q42" s="1"/>
  <c r="B41"/>
  <c r="K41"/>
  <c r="B36" i="23"/>
  <c r="N134" i="73" s="1"/>
  <c r="C36" i="23"/>
  <c r="N135" i="73" s="1"/>
  <c r="D36" i="23"/>
  <c r="N136" i="73" s="1"/>
  <c r="E36" i="23"/>
  <c r="N137" i="73" s="1"/>
  <c r="F36" i="23"/>
  <c r="N138" i="73" s="1"/>
  <c r="G36" i="23"/>
  <c r="N139" i="73"/>
  <c r="I36" i="23"/>
  <c r="N140" i="73" s="1"/>
  <c r="D41" i="22" l="1"/>
  <c r="B42"/>
  <c r="T159" i="73"/>
  <c r="T158"/>
  <c r="T157"/>
  <c r="T156"/>
  <c r="T155"/>
  <c r="T154"/>
  <c r="T153"/>
  <c r="T152"/>
  <c r="T151"/>
  <c r="T150"/>
  <c r="T149"/>
  <c r="D25" i="62"/>
  <c r="K38" i="23" l="1"/>
  <c r="I38"/>
  <c r="T140" i="73" s="1"/>
  <c r="T139"/>
  <c r="G38" i="23"/>
  <c r="F38"/>
  <c r="T138" i="73" s="1"/>
  <c r="E38" i="23"/>
  <c r="T137" i="73" s="1"/>
  <c r="D38" i="23"/>
  <c r="T136" i="73" s="1"/>
  <c r="C38" i="23"/>
  <c r="T135" i="73" s="1"/>
  <c r="I37" i="23"/>
  <c r="Q140" i="73" s="1"/>
  <c r="Q139"/>
  <c r="G37" i="23"/>
  <c r="F37"/>
  <c r="Q138" i="73" s="1"/>
  <c r="E37" i="23"/>
  <c r="Q137" i="73" s="1"/>
  <c r="D37" i="23"/>
  <c r="Q136" i="73" s="1"/>
  <c r="C37" i="23"/>
  <c r="Q135" i="73" s="1"/>
  <c r="B38" i="23"/>
  <c r="T134" i="73" s="1"/>
  <c r="B37" i="23"/>
  <c r="Q134" i="73" s="1"/>
  <c r="A11" l="1"/>
  <c r="N81" s="1"/>
  <c r="B35" i="62"/>
  <c r="C35"/>
  <c r="F35"/>
  <c r="B36"/>
  <c r="C36"/>
  <c r="F36"/>
  <c r="B37"/>
  <c r="C37"/>
  <c r="F37"/>
  <c r="D37"/>
  <c r="D35"/>
  <c r="D36"/>
  <c r="J83" i="73" l="1"/>
</calcChain>
</file>

<file path=xl/sharedStrings.xml><?xml version="1.0" encoding="utf-8"?>
<sst xmlns="http://schemas.openxmlformats.org/spreadsheetml/2006/main" count="263" uniqueCount="132">
  <si>
    <t>DATE</t>
  </si>
  <si>
    <t xml:space="preserve">pH </t>
  </si>
  <si>
    <t>Turbidity</t>
  </si>
  <si>
    <t>COND</t>
  </si>
  <si>
    <t>TH</t>
  </si>
  <si>
    <t>CaH</t>
  </si>
  <si>
    <t>MgH</t>
  </si>
  <si>
    <t>Cl</t>
  </si>
  <si>
    <t>AVG.</t>
  </si>
  <si>
    <t>MAX.</t>
  </si>
  <si>
    <t>MIN.</t>
  </si>
  <si>
    <t>ppm</t>
  </si>
  <si>
    <t>--</t>
  </si>
  <si>
    <t xml:space="preserve">MAKE UP WATER ANALYSIS </t>
  </si>
  <si>
    <t>Date</t>
  </si>
  <si>
    <t>pH</t>
  </si>
  <si>
    <t>Cond</t>
  </si>
  <si>
    <t>Turb.</t>
  </si>
  <si>
    <t>FRC</t>
  </si>
  <si>
    <t xml:space="preserve">CaH </t>
  </si>
  <si>
    <t>Silica</t>
  </si>
  <si>
    <t>No. of &lt; Spec</t>
  </si>
  <si>
    <t>No. of &gt; Spec</t>
  </si>
  <si>
    <t>% &lt; Specs.</t>
  </si>
  <si>
    <t>% &gt; Specs.</t>
  </si>
  <si>
    <t>Sr. No.</t>
  </si>
  <si>
    <t>Min.</t>
  </si>
  <si>
    <t>Max.</t>
  </si>
  <si>
    <t>Ortho PO4</t>
  </si>
  <si>
    <t>Plant Load</t>
  </si>
  <si>
    <t>MW</t>
  </si>
  <si>
    <t>Vacumm</t>
  </si>
  <si>
    <t>Parameters</t>
  </si>
  <si>
    <t>Avg.</t>
  </si>
  <si>
    <t>Unit</t>
  </si>
  <si>
    <t>NTU</t>
  </si>
  <si>
    <t>COOLING WATER TREATMENT</t>
  </si>
  <si>
    <t xml:space="preserve">MONTHLY REPORT </t>
  </si>
  <si>
    <t>Dear Sir,</t>
  </si>
  <si>
    <t>If you need any clarification, please feel free to contact us.</t>
  </si>
  <si>
    <t xml:space="preserve">Assuring you of our best services at all times. </t>
  </si>
  <si>
    <t>Thanking you,</t>
  </si>
  <si>
    <t>Yours sincerely,</t>
  </si>
  <si>
    <t>EXECUTIVE SUMMARY</t>
  </si>
  <si>
    <t xml:space="preserve">1] </t>
  </si>
  <si>
    <t>EXCEPTIONS CIRCULATING WATER PARAMETERS</t>
  </si>
  <si>
    <t>•</t>
  </si>
  <si>
    <t xml:space="preserve">2] </t>
  </si>
  <si>
    <t xml:space="preserve">3] </t>
  </si>
  <si>
    <t xml:space="preserve">Wex Tech </t>
  </si>
  <si>
    <t>FOR WEX TECHNOLOGIES PVT. LTD.</t>
  </si>
  <si>
    <t>:   a/a</t>
  </si>
  <si>
    <r>
      <t xml:space="preserve">Encl. :  </t>
    </r>
    <r>
      <rPr>
        <sz val="12"/>
        <rFont val="Verdana"/>
        <family val="2"/>
      </rPr>
      <t xml:space="preserve"> a/a</t>
    </r>
  </si>
  <si>
    <t>representative in presence of your laboratory in charge and data</t>
  </si>
  <si>
    <t xml:space="preserve">The report is based on the laboratory analysis done by our  </t>
  </si>
  <si>
    <t>DATE :</t>
  </si>
  <si>
    <t>COOLING WATER PARAMETERS</t>
  </si>
  <si>
    <t>MAKE UP WATER PARAMETERS</t>
  </si>
  <si>
    <r>
      <t>Kgs./Cm</t>
    </r>
    <r>
      <rPr>
        <b/>
        <vertAlign val="superscript"/>
        <sz val="10.5"/>
        <rFont val="Verdana"/>
        <family val="2"/>
      </rPr>
      <t>2</t>
    </r>
  </si>
  <si>
    <t>Conductivity was well maintained within the specified limits.</t>
  </si>
  <si>
    <t>Chloride was well maintained within its specified limits.</t>
  </si>
  <si>
    <t>CaH was also very well maintained within its specified limits.</t>
  </si>
  <si>
    <t>Chemical Name</t>
  </si>
  <si>
    <t>Specified Monthly  Consumption  (Kgs.)</t>
  </si>
  <si>
    <t>Opening Stock      (Kgs.)</t>
  </si>
  <si>
    <t>Receipt in Store  (Kgs.)</t>
  </si>
  <si>
    <t>Actual Consumption  (Kgs.)</t>
  </si>
  <si>
    <t>Closing Balance                    (Kgs.)</t>
  </si>
  <si>
    <t>At    Store</t>
  </si>
  <si>
    <t>At     Utility</t>
  </si>
  <si>
    <t>Total Stock</t>
  </si>
  <si>
    <t>At Store</t>
  </si>
  <si>
    <t>At Utility</t>
  </si>
  <si>
    <t>COC                            Based                             on                            (TH)</t>
  </si>
  <si>
    <t>Control Limits</t>
  </si>
  <si>
    <r>
      <rPr>
        <b/>
        <sz val="10"/>
        <color theme="1"/>
        <rFont val="Symbol"/>
        <family val="1"/>
        <charset val="2"/>
      </rPr>
      <t>m</t>
    </r>
    <r>
      <rPr>
        <b/>
        <sz val="10"/>
        <color theme="1"/>
        <rFont val="Verdana"/>
        <family val="2"/>
      </rPr>
      <t>S</t>
    </r>
  </si>
  <si>
    <t xml:space="preserve">REPORT </t>
  </si>
  <si>
    <t xml:space="preserve">OF </t>
  </si>
  <si>
    <t>Total Hardness well maintained within its specified limits.</t>
  </si>
  <si>
    <t>Ortho Phosphate was also very well maintained within the specified limits.</t>
  </si>
  <si>
    <t>pH was very well maintained within the specified limits throughout the month.</t>
  </si>
  <si>
    <t>Turbidity was also very well maintained within its specified limits throughout the month.</t>
  </si>
  <si>
    <t>FRC was reported on lower side on three occasions due to unavailability of chlorine toner. We request to ensure availability of spare toner at site all the time.</t>
  </si>
  <si>
    <t>Plant was running smoothly and no any major abnormality was reported except low FRC for three days.</t>
  </si>
  <si>
    <t>TDS</t>
  </si>
  <si>
    <t>us/cm</t>
  </si>
  <si>
    <t>T. Alk.</t>
  </si>
  <si>
    <t>P. Alk.</t>
  </si>
  <si>
    <t>NIL</t>
  </si>
  <si>
    <t>CIRCULATING WATER ANALYSIS FOR COOLING TOWER</t>
  </si>
  <si>
    <t>Total Iron</t>
  </si>
  <si>
    <t>SS</t>
  </si>
  <si>
    <t>Sulphate</t>
  </si>
  <si>
    <t>Max. 20 NTU</t>
  </si>
  <si>
    <t>Max. 1200 ppm</t>
  </si>
  <si>
    <t>Max. 500 ppm</t>
  </si>
  <si>
    <t>4.0 - 6.0 ppm</t>
  </si>
  <si>
    <t>Max. 200 ppm</t>
  </si>
  <si>
    <t>0 ppm</t>
  </si>
  <si>
    <t>Max. 2 ppm</t>
  </si>
  <si>
    <t>Max. 1000 ppm</t>
  </si>
  <si>
    <t>0.2 - 0.5 ppm</t>
  </si>
  <si>
    <t>umho/cm</t>
  </si>
  <si>
    <t>COC                            Based                             on                            (Silica)</t>
  </si>
  <si>
    <t>CT Blowdown</t>
  </si>
  <si>
    <r>
      <t>M</t>
    </r>
    <r>
      <rPr>
        <b/>
        <vertAlign val="superscript"/>
        <sz val="10.5"/>
        <rFont val="Verdana"/>
        <family val="2"/>
      </rPr>
      <t>3</t>
    </r>
    <r>
      <rPr>
        <b/>
        <sz val="10.5"/>
        <rFont val="Verdana"/>
        <family val="2"/>
      </rPr>
      <t>/Hr.</t>
    </r>
  </si>
  <si>
    <t>Power Plant Data &amp; Operational Parameters</t>
  </si>
  <si>
    <t>180 ppm</t>
  </si>
  <si>
    <t>COOLING TOWER</t>
  </si>
  <si>
    <t>7.5-8.0</t>
  </si>
  <si>
    <t>&gt; Limits</t>
  </si>
  <si>
    <t>&lt; Limits</t>
  </si>
  <si>
    <t>% Compliance</t>
  </si>
  <si>
    <t>Chemical Consumption for Cooling Tower</t>
  </si>
  <si>
    <t>Max. 2100 ppm</t>
  </si>
  <si>
    <t>Monthly Compliance Analysis</t>
  </si>
  <si>
    <t>Sriram Chemical Ltd.,</t>
  </si>
  <si>
    <t>Jagadia, Ankleshwar</t>
  </si>
  <si>
    <t>Gujarat</t>
  </si>
  <si>
    <t>Vipul Govekar</t>
  </si>
  <si>
    <t>Regional Manager</t>
  </si>
  <si>
    <t xml:space="preserve">Subject     : Cooling Water Treatment Monthly Report </t>
  </si>
  <si>
    <t xml:space="preserve">Please find enclosed herewith the CWT Monthly Report for your </t>
  </si>
  <si>
    <t>Cooling water system for the Month of</t>
  </si>
  <si>
    <t>collected from the Control Room.</t>
  </si>
  <si>
    <t xml:space="preserve">C.C.  :   MR. R. R. BULDAK </t>
  </si>
  <si>
    <t xml:space="preserve">             MR. NAVIN JAISWAL </t>
  </si>
  <si>
    <t xml:space="preserve">             MR. U. D. MEHTA </t>
  </si>
  <si>
    <t xml:space="preserve">             MR. SUNIT GUPTA </t>
  </si>
  <si>
    <t>Kind Attn  : Sh. K. R. Vaidya (Unit Head)</t>
  </si>
  <si>
    <t xml:space="preserve">             MR. ATUL CHOKSI</t>
  </si>
  <si>
    <t>DCM SRIRAM LIMITED</t>
  </si>
</sst>
</file>

<file path=xl/styles.xml><?xml version="1.0" encoding="utf-8"?>
<styleSheet xmlns="http://schemas.openxmlformats.org/spreadsheetml/2006/main">
  <numFmts count="7">
    <numFmt numFmtId="164" formatCode="0.000"/>
    <numFmt numFmtId="165" formatCode="0.0"/>
    <numFmt numFmtId="166" formatCode="0.00_)"/>
    <numFmt numFmtId="167" formatCode="dd/mm/yy"/>
    <numFmt numFmtId="168" formatCode="dd\.mm\.yy"/>
    <numFmt numFmtId="169" formatCode="mmmm\ \-\ yyyy"/>
    <numFmt numFmtId="170" formatCode="mmmm\-yy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b/>
      <i/>
      <sz val="16"/>
      <name val="Helv"/>
    </font>
    <font>
      <b/>
      <sz val="11"/>
      <name val="Times New Roman"/>
      <family val="1"/>
    </font>
    <font>
      <b/>
      <sz val="16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8"/>
      <name val="Verdana"/>
      <family val="2"/>
    </font>
    <font>
      <sz val="11"/>
      <name val="Verdana"/>
      <family val="2"/>
    </font>
    <font>
      <sz val="11"/>
      <name val="Arial"/>
      <family val="2"/>
    </font>
    <font>
      <b/>
      <sz val="16"/>
      <color indexed="8"/>
      <name val="Verdana"/>
      <family val="2"/>
    </font>
    <font>
      <b/>
      <sz val="10"/>
      <name val="Verdana"/>
      <family val="2"/>
    </font>
    <font>
      <b/>
      <sz val="10"/>
      <color indexed="8"/>
      <name val="Verdana"/>
      <family val="2"/>
    </font>
    <font>
      <sz val="12"/>
      <name val="Verdana"/>
      <family val="2"/>
    </font>
    <font>
      <b/>
      <sz val="10.5"/>
      <name val="Verdana"/>
      <family val="2"/>
    </font>
    <font>
      <sz val="10.5"/>
      <name val="Arial"/>
      <family val="2"/>
    </font>
    <font>
      <b/>
      <vertAlign val="superscript"/>
      <sz val="10.5"/>
      <name val="Verdana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20"/>
      <color theme="1"/>
      <name val="Verdana"/>
      <family val="2"/>
    </font>
    <font>
      <b/>
      <sz val="36"/>
      <color theme="1"/>
      <name val="Verdana"/>
      <family val="2"/>
    </font>
    <font>
      <b/>
      <u/>
      <sz val="26"/>
      <color theme="1"/>
      <name val="Verdana"/>
      <family val="2"/>
    </font>
    <font>
      <b/>
      <u/>
      <sz val="24"/>
      <color theme="1"/>
      <name val="Verdana"/>
      <family val="2"/>
    </font>
    <font>
      <b/>
      <sz val="12"/>
      <color theme="1"/>
      <name val="Verdana"/>
      <family val="2"/>
    </font>
    <font>
      <b/>
      <sz val="12"/>
      <color rgb="FF0000FF"/>
      <name val="Verdana"/>
      <family val="2"/>
    </font>
    <font>
      <b/>
      <sz val="11"/>
      <color theme="1"/>
      <name val="Verdana"/>
      <family val="2"/>
    </font>
    <font>
      <sz val="5"/>
      <color theme="1"/>
      <name val="Verdana"/>
      <family val="2"/>
    </font>
    <font>
      <b/>
      <u/>
      <sz val="16"/>
      <color theme="1"/>
      <name val="Verdana"/>
      <family val="2"/>
    </font>
    <font>
      <sz val="11"/>
      <color theme="1"/>
      <name val="Verdana"/>
      <family val="2"/>
    </font>
    <font>
      <b/>
      <sz val="10"/>
      <color theme="1"/>
      <name val="Verdana"/>
      <family val="2"/>
    </font>
    <font>
      <b/>
      <u/>
      <sz val="12"/>
      <color theme="1"/>
      <name val="Verdana"/>
      <family val="2"/>
    </font>
    <font>
      <sz val="16"/>
      <color theme="1"/>
      <name val="Calibri"/>
      <family val="2"/>
    </font>
    <font>
      <b/>
      <sz val="20"/>
      <color rgb="FF0000FF"/>
      <name val="Verdana"/>
      <family val="2"/>
    </font>
    <font>
      <b/>
      <sz val="26"/>
      <color rgb="FF0000FF"/>
      <name val="Verdana"/>
      <family val="2"/>
    </font>
    <font>
      <b/>
      <u/>
      <sz val="18"/>
      <name val="Arial"/>
      <family val="2"/>
    </font>
    <font>
      <b/>
      <sz val="10"/>
      <color theme="1"/>
      <name val="Symbol"/>
      <family val="1"/>
      <charset val="2"/>
    </font>
    <font>
      <b/>
      <u/>
      <sz val="22"/>
      <color theme="1"/>
      <name val="Verdana"/>
      <family val="2"/>
    </font>
    <font>
      <b/>
      <sz val="22"/>
      <color theme="1"/>
      <name val="Verdana"/>
      <family val="2"/>
    </font>
    <font>
      <b/>
      <i/>
      <sz val="12"/>
      <color theme="1"/>
      <name val="Verdana"/>
      <family val="2"/>
    </font>
    <font>
      <b/>
      <sz val="11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6">
    <border>
      <left/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3" fillId="0" borderId="1" applyNumberFormat="0" applyFill="0" applyBorder="0" applyProtection="0"/>
    <xf numFmtId="38" fontId="4" fillId="2" borderId="0" applyNumberFormat="0" applyBorder="0" applyAlignment="0" applyProtection="0"/>
    <xf numFmtId="10" fontId="4" fillId="3" borderId="2" applyNumberFormat="0" applyBorder="0" applyAlignment="0" applyProtection="0"/>
    <xf numFmtId="166" fontId="5" fillId="0" borderId="0"/>
    <xf numFmtId="0" fontId="21" fillId="0" borderId="0"/>
    <xf numFmtId="10" fontId="2" fillId="0" borderId="0" applyFont="0" applyFill="0" applyBorder="0" applyAlignment="0" applyProtection="0"/>
    <xf numFmtId="40" fontId="6" fillId="0" borderId="0"/>
    <xf numFmtId="0" fontId="2" fillId="0" borderId="0"/>
  </cellStyleXfs>
  <cellXfs count="274">
    <xf numFmtId="0" fontId="0" fillId="0" borderId="0" xfId="0"/>
    <xf numFmtId="165" fontId="8" fillId="0" borderId="3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" fontId="11" fillId="0" borderId="0" xfId="0" applyNumberFormat="1" applyFont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8" fillId="0" borderId="3" xfId="0" quotePrefix="1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" fontId="8" fillId="0" borderId="6" xfId="0" quotePrefix="1" applyNumberFormat="1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165" fontId="11" fillId="0" borderId="0" xfId="0" applyNumberFormat="1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/>
    </xf>
    <xf numFmtId="165" fontId="8" fillId="0" borderId="15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8" fontId="8" fillId="0" borderId="17" xfId="0" applyNumberFormat="1" applyFont="1" applyBorder="1" applyAlignment="1">
      <alignment horizontal="center" vertical="center" wrapText="1"/>
    </xf>
    <xf numFmtId="165" fontId="8" fillId="0" borderId="18" xfId="0" applyNumberFormat="1" applyFont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68" fontId="8" fillId="0" borderId="11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8" fillId="0" borderId="4" xfId="0" quotePrefix="1" applyNumberFormat="1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 wrapText="1"/>
    </xf>
    <xf numFmtId="167" fontId="8" fillId="0" borderId="11" xfId="0" applyNumberFormat="1" applyFont="1" applyBorder="1" applyAlignment="1">
      <alignment horizontal="center" vertical="center" wrapText="1"/>
    </xf>
    <xf numFmtId="167" fontId="8" fillId="0" borderId="13" xfId="0" applyNumberFormat="1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/>
    </xf>
    <xf numFmtId="165" fontId="8" fillId="0" borderId="26" xfId="0" applyNumberFormat="1" applyFont="1" applyBorder="1" applyAlignment="1">
      <alignment horizontal="center" vertical="center"/>
    </xf>
    <xf numFmtId="165" fontId="8" fillId="0" borderId="22" xfId="0" applyNumberFormat="1" applyFont="1" applyBorder="1" applyAlignment="1">
      <alignment horizontal="center" vertical="center"/>
    </xf>
    <xf numFmtId="165" fontId="8" fillId="0" borderId="20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 wrapText="1"/>
    </xf>
    <xf numFmtId="2" fontId="8" fillId="0" borderId="21" xfId="0" applyNumberFormat="1" applyFont="1" applyBorder="1" applyAlignment="1">
      <alignment horizontal="center" vertical="center" wrapText="1"/>
    </xf>
    <xf numFmtId="168" fontId="8" fillId="0" borderId="12" xfId="0" applyNumberFormat="1" applyFont="1" applyBorder="1" applyAlignment="1">
      <alignment horizontal="center" vertical="center" wrapText="1"/>
    </xf>
    <xf numFmtId="2" fontId="8" fillId="0" borderId="21" xfId="0" applyNumberFormat="1" applyFont="1" applyBorder="1" applyAlignment="1">
      <alignment horizontal="center" vertical="center"/>
    </xf>
    <xf numFmtId="168" fontId="8" fillId="0" borderId="13" xfId="0" applyNumberFormat="1" applyFont="1" applyBorder="1" applyAlignment="1">
      <alignment horizontal="center" vertical="center" wrapText="1"/>
    </xf>
    <xf numFmtId="165" fontId="8" fillId="0" borderId="19" xfId="0" applyNumberFormat="1" applyFont="1" applyBorder="1" applyAlignment="1">
      <alignment horizontal="center" vertical="center"/>
    </xf>
    <xf numFmtId="2" fontId="8" fillId="0" borderId="22" xfId="0" applyNumberFormat="1" applyFont="1" applyBorder="1" applyAlignment="1">
      <alignment horizontal="center" vertical="center"/>
    </xf>
    <xf numFmtId="1" fontId="8" fillId="0" borderId="15" xfId="0" applyNumberFormat="1" applyFont="1" applyBorder="1" applyAlignment="1">
      <alignment horizontal="center" vertical="center"/>
    </xf>
    <xf numFmtId="168" fontId="8" fillId="0" borderId="33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/>
    </xf>
    <xf numFmtId="0" fontId="8" fillId="0" borderId="6" xfId="0" quotePrefix="1" applyFont="1" applyFill="1" applyBorder="1" applyAlignment="1">
      <alignment horizontal="center" vertical="center" wrapText="1"/>
    </xf>
    <xf numFmtId="1" fontId="8" fillId="0" borderId="18" xfId="0" applyNumberFormat="1" applyFont="1" applyBorder="1" applyAlignment="1">
      <alignment horizontal="center" vertical="center"/>
    </xf>
    <xf numFmtId="1" fontId="8" fillId="0" borderId="15" xfId="0" quotePrefix="1" applyNumberFormat="1" applyFont="1" applyBorder="1" applyAlignment="1">
      <alignment horizontal="center" vertical="center"/>
    </xf>
    <xf numFmtId="1" fontId="8" fillId="0" borderId="16" xfId="0" quotePrefix="1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8" fillId="0" borderId="16" xfId="0" quotePrefix="1" applyNumberFormat="1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165" fontId="8" fillId="0" borderId="15" xfId="0" applyNumberFormat="1" applyFont="1" applyBorder="1" applyAlignment="1" applyProtection="1">
      <alignment horizontal="center" vertical="center"/>
      <protection locked="0"/>
    </xf>
    <xf numFmtId="0" fontId="22" fillId="0" borderId="0" xfId="5" applyFont="1" applyAlignment="1">
      <alignment horizontal="center" vertical="center" wrapText="1"/>
    </xf>
    <xf numFmtId="0" fontId="21" fillId="0" borderId="0" xfId="5" applyAlignment="1">
      <alignment vertical="center" wrapText="1"/>
    </xf>
    <xf numFmtId="0" fontId="23" fillId="0" borderId="0" xfId="5" applyFont="1" applyAlignment="1">
      <alignment horizontal="center" vertical="center" wrapText="1"/>
    </xf>
    <xf numFmtId="169" fontId="24" fillId="0" borderId="0" xfId="5" applyNumberFormat="1" applyFont="1" applyAlignment="1">
      <alignment horizontal="center" vertical="center" wrapText="1"/>
    </xf>
    <xf numFmtId="0" fontId="26" fillId="0" borderId="0" xfId="5" applyFont="1" applyAlignment="1">
      <alignment horizontal="center" vertical="center" wrapText="1"/>
    </xf>
    <xf numFmtId="0" fontId="27" fillId="0" borderId="0" xfId="5" applyFont="1" applyAlignment="1">
      <alignment horizontal="center" vertical="center" wrapText="1"/>
    </xf>
    <xf numFmtId="14" fontId="28" fillId="0" borderId="0" xfId="5" applyNumberFormat="1" applyFont="1" applyAlignment="1">
      <alignment vertical="center" wrapText="1"/>
    </xf>
    <xf numFmtId="0" fontId="29" fillId="0" borderId="0" xfId="5" applyFont="1" applyAlignment="1">
      <alignment horizontal="center" vertical="center" wrapText="1"/>
    </xf>
    <xf numFmtId="0" fontId="21" fillId="0" borderId="0" xfId="5" applyAlignment="1">
      <alignment horizontal="center" vertical="center" wrapText="1"/>
    </xf>
    <xf numFmtId="0" fontId="31" fillId="0" borderId="0" xfId="5" applyFont="1" applyBorder="1" applyAlignment="1">
      <alignment horizontal="center" vertical="center" wrapText="1"/>
    </xf>
    <xf numFmtId="0" fontId="28" fillId="0" borderId="0" xfId="5" applyFont="1" applyBorder="1" applyAlignment="1">
      <alignment horizontal="center" vertical="center" wrapText="1"/>
    </xf>
    <xf numFmtId="0" fontId="34" fillId="0" borderId="0" xfId="5" applyFont="1" applyAlignment="1">
      <alignment horizontal="center" vertical="center" wrapText="1"/>
    </xf>
    <xf numFmtId="0" fontId="28" fillId="0" borderId="0" xfId="5" applyFont="1" applyBorder="1" applyAlignment="1">
      <alignment horizontal="left" vertical="center" wrapText="1"/>
    </xf>
    <xf numFmtId="1" fontId="31" fillId="0" borderId="0" xfId="5" applyNumberFormat="1" applyFont="1" applyBorder="1" applyAlignment="1">
      <alignment horizontal="center" vertical="center" wrapText="1"/>
    </xf>
    <xf numFmtId="165" fontId="31" fillId="0" borderId="0" xfId="5" applyNumberFormat="1" applyFont="1" applyBorder="1" applyAlignment="1">
      <alignment horizontal="center" vertical="center" wrapText="1"/>
    </xf>
    <xf numFmtId="0" fontId="35" fillId="0" borderId="0" xfId="5" applyFont="1" applyAlignment="1">
      <alignment vertical="center" wrapText="1"/>
    </xf>
    <xf numFmtId="0" fontId="21" fillId="0" borderId="0" xfId="5" applyAlignment="1">
      <alignment vertical="top" wrapText="1"/>
    </xf>
    <xf numFmtId="0" fontId="16" fillId="0" borderId="0" xfId="0" applyFont="1" applyAlignment="1">
      <alignment horizontal="left" vertical="center" wrapText="1"/>
    </xf>
    <xf numFmtId="170" fontId="9" fillId="0" borderId="0" xfId="0" applyNumberFormat="1" applyFont="1" applyAlignment="1">
      <alignment horizontal="left" vertical="center" wrapText="1"/>
    </xf>
    <xf numFmtId="0" fontId="27" fillId="0" borderId="0" xfId="5" applyFont="1" applyAlignment="1">
      <alignment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0" borderId="0" xfId="0" applyFont="1"/>
    <xf numFmtId="0" fontId="17" fillId="0" borderId="22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20" fillId="0" borderId="0" xfId="0" applyFont="1"/>
    <xf numFmtId="169" fontId="25" fillId="0" borderId="0" xfId="5" applyNumberFormat="1" applyFont="1" applyAlignment="1">
      <alignment horizontal="center" vertical="center" wrapText="1"/>
    </xf>
    <xf numFmtId="0" fontId="2" fillId="0" borderId="0" xfId="8"/>
    <xf numFmtId="0" fontId="37" fillId="0" borderId="0" xfId="8" applyFont="1" applyBorder="1" applyAlignment="1">
      <alignment horizontal="center" vertical="center"/>
    </xf>
    <xf numFmtId="0" fontId="9" fillId="0" borderId="0" xfId="8" applyFont="1" applyBorder="1" applyAlignment="1">
      <alignment horizontal="center" vertical="center" wrapText="1"/>
    </xf>
    <xf numFmtId="0" fontId="8" fillId="0" borderId="26" xfId="8" applyFont="1" applyBorder="1" applyAlignment="1">
      <alignment horizontal="center" vertical="center" wrapText="1"/>
    </xf>
    <xf numFmtId="0" fontId="8" fillId="0" borderId="7" xfId="8" applyFont="1" applyBorder="1" applyAlignment="1">
      <alignment horizontal="center" vertical="center" wrapText="1"/>
    </xf>
    <xf numFmtId="0" fontId="8" fillId="0" borderId="14" xfId="8" applyFont="1" applyBorder="1" applyAlignment="1">
      <alignment horizontal="center" vertical="center" wrapText="1"/>
    </xf>
    <xf numFmtId="0" fontId="8" fillId="0" borderId="0" xfId="8" applyFont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0" xfId="8" applyFont="1" applyBorder="1" applyAlignment="1">
      <alignment horizontal="center" vertical="center"/>
    </xf>
    <xf numFmtId="0" fontId="9" fillId="0" borderId="24" xfId="8" applyFont="1" applyBorder="1" applyAlignment="1">
      <alignment horizontal="center" vertical="center"/>
    </xf>
    <xf numFmtId="165" fontId="9" fillId="0" borderId="4" xfId="8" applyNumberFormat="1" applyFont="1" applyBorder="1" applyAlignment="1">
      <alignment horizontal="center" vertical="center"/>
    </xf>
    <xf numFmtId="0" fontId="9" fillId="0" borderId="9" xfId="8" applyFont="1" applyBorder="1" applyAlignment="1">
      <alignment horizontal="center" vertical="center"/>
    </xf>
    <xf numFmtId="165" fontId="9" fillId="0" borderId="24" xfId="8" applyNumberFormat="1" applyFont="1" applyBorder="1" applyAlignment="1">
      <alignment horizontal="center" vertical="center"/>
    </xf>
    <xf numFmtId="165" fontId="9" fillId="0" borderId="0" xfId="8" applyNumberFormat="1" applyFont="1" applyBorder="1" applyAlignment="1">
      <alignment horizontal="center" vertical="center"/>
    </xf>
    <xf numFmtId="0" fontId="9" fillId="0" borderId="21" xfId="8" applyFont="1" applyBorder="1" applyAlignment="1">
      <alignment horizontal="center" vertical="center"/>
    </xf>
    <xf numFmtId="0" fontId="9" fillId="0" borderId="23" xfId="8" applyFont="1" applyBorder="1" applyAlignment="1">
      <alignment horizontal="center" vertical="center"/>
    </xf>
    <xf numFmtId="165" fontId="9" fillId="0" borderId="5" xfId="8" applyNumberFormat="1" applyFont="1" applyBorder="1" applyAlignment="1">
      <alignment horizontal="center" vertical="center"/>
    </xf>
    <xf numFmtId="0" fontId="9" fillId="0" borderId="10" xfId="8" applyFont="1" applyBorder="1" applyAlignment="1">
      <alignment horizontal="center" vertical="center"/>
    </xf>
    <xf numFmtId="165" fontId="9" fillId="0" borderId="23" xfId="8" applyNumberFormat="1" applyFont="1" applyBorder="1" applyAlignment="1">
      <alignment horizontal="center" vertical="center"/>
    </xf>
    <xf numFmtId="0" fontId="9" fillId="0" borderId="0" xfId="8" applyFont="1" applyAlignment="1">
      <alignment vertical="center"/>
    </xf>
    <xf numFmtId="0" fontId="9" fillId="0" borderId="22" xfId="8" applyFont="1" applyBorder="1" applyAlignment="1">
      <alignment horizontal="center" vertical="center"/>
    </xf>
    <xf numFmtId="0" fontId="9" fillId="0" borderId="25" xfId="8" applyFont="1" applyBorder="1" applyAlignment="1">
      <alignment horizontal="center" vertical="center"/>
    </xf>
    <xf numFmtId="165" fontId="9" fillId="0" borderId="8" xfId="8" applyNumberFormat="1" applyFont="1" applyBorder="1" applyAlignment="1">
      <alignment horizontal="center" vertical="center"/>
    </xf>
    <xf numFmtId="0" fontId="9" fillId="0" borderId="19" xfId="8" applyFont="1" applyBorder="1" applyAlignment="1">
      <alignment horizontal="center" vertical="center"/>
    </xf>
    <xf numFmtId="165" fontId="9" fillId="0" borderId="25" xfId="8" applyNumberFormat="1" applyFont="1" applyBorder="1" applyAlignment="1">
      <alignment horizontal="center" vertical="center"/>
    </xf>
    <xf numFmtId="0" fontId="28" fillId="0" borderId="0" xfId="5" applyFont="1" applyBorder="1" applyAlignment="1">
      <alignment horizontal="left" vertical="center" wrapText="1"/>
    </xf>
    <xf numFmtId="0" fontId="28" fillId="0" borderId="0" xfId="5" applyFont="1" applyBorder="1" applyAlignment="1">
      <alignment horizontal="center" vertical="center" wrapText="1"/>
    </xf>
    <xf numFmtId="169" fontId="24" fillId="0" borderId="0" xfId="5" applyNumberFormat="1" applyFont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" fillId="0" borderId="0" xfId="5" applyFont="1" applyAlignment="1">
      <alignment vertical="center" wrapText="1"/>
    </xf>
    <xf numFmtId="0" fontId="1" fillId="0" borderId="0" xfId="5" applyFont="1" applyAlignment="1">
      <alignment horizontal="center" vertical="center" wrapText="1"/>
    </xf>
    <xf numFmtId="0" fontId="1" fillId="0" borderId="43" xfId="5" applyFont="1" applyBorder="1" applyAlignment="1">
      <alignment vertical="center" wrapText="1"/>
    </xf>
    <xf numFmtId="0" fontId="1" fillId="0" borderId="49" xfId="5" applyFont="1" applyBorder="1" applyAlignment="1">
      <alignment vertical="center" wrapText="1"/>
    </xf>
    <xf numFmtId="0" fontId="1" fillId="0" borderId="50" xfId="5" applyFont="1" applyBorder="1" applyAlignment="1">
      <alignment vertical="center" wrapText="1"/>
    </xf>
    <xf numFmtId="0" fontId="39" fillId="0" borderId="36" xfId="5" applyFont="1" applyBorder="1" applyAlignment="1">
      <alignment vertical="center" wrapText="1"/>
    </xf>
    <xf numFmtId="0" fontId="39" fillId="0" borderId="37" xfId="5" applyFont="1" applyBorder="1" applyAlignment="1">
      <alignment vertical="center" wrapText="1"/>
    </xf>
    <xf numFmtId="0" fontId="39" fillId="0" borderId="0" xfId="5" applyFont="1" applyAlignment="1">
      <alignment vertical="center" wrapText="1"/>
    </xf>
    <xf numFmtId="0" fontId="40" fillId="0" borderId="0" xfId="5" applyFont="1" applyAlignment="1">
      <alignment horizontal="center" vertical="center" wrapText="1"/>
    </xf>
    <xf numFmtId="0" fontId="1" fillId="0" borderId="36" xfId="5" applyFont="1" applyBorder="1" applyAlignment="1">
      <alignment vertical="center" wrapText="1"/>
    </xf>
    <xf numFmtId="0" fontId="1" fillId="0" borderId="37" xfId="5" applyFont="1" applyBorder="1" applyAlignment="1">
      <alignment vertical="center" wrapText="1"/>
    </xf>
    <xf numFmtId="0" fontId="39" fillId="0" borderId="0" xfId="5" applyFont="1" applyAlignment="1">
      <alignment horizontal="center" vertical="center" wrapText="1"/>
    </xf>
    <xf numFmtId="0" fontId="1" fillId="0" borderId="32" xfId="5" applyFont="1" applyBorder="1" applyAlignment="1">
      <alignment vertical="center" wrapText="1"/>
    </xf>
    <xf numFmtId="0" fontId="1" fillId="0" borderId="48" xfId="5" applyFont="1" applyBorder="1" applyAlignment="1">
      <alignment vertical="center" wrapText="1"/>
    </xf>
    <xf numFmtId="0" fontId="1" fillId="0" borderId="53" xfId="5" applyFont="1" applyBorder="1" applyAlignment="1">
      <alignment vertical="center" wrapText="1"/>
    </xf>
    <xf numFmtId="0" fontId="41" fillId="0" borderId="0" xfId="5" applyFont="1" applyAlignment="1">
      <alignment horizontal="center" vertical="center" wrapText="1"/>
    </xf>
    <xf numFmtId="165" fontId="9" fillId="0" borderId="34" xfId="8" applyNumberFormat="1" applyFont="1" applyBorder="1" applyAlignment="1">
      <alignment horizontal="center" vertical="center"/>
    </xf>
    <xf numFmtId="165" fontId="9" fillId="0" borderId="44" xfId="8" applyNumberFormat="1" applyFont="1" applyBorder="1" applyAlignment="1">
      <alignment horizontal="center" vertical="center"/>
    </xf>
    <xf numFmtId="165" fontId="9" fillId="0" borderId="45" xfId="8" applyNumberFormat="1" applyFont="1" applyBorder="1" applyAlignment="1">
      <alignment horizontal="center" vertical="center"/>
    </xf>
    <xf numFmtId="165" fontId="8" fillId="0" borderId="7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/>
    </xf>
    <xf numFmtId="0" fontId="28" fillId="0" borderId="0" xfId="5" applyFont="1" applyBorder="1" applyAlignment="1">
      <alignment horizontal="center" vertical="center" wrapText="1"/>
    </xf>
    <xf numFmtId="0" fontId="28" fillId="0" borderId="0" xfId="5" applyFont="1" applyBorder="1" applyAlignment="1">
      <alignment horizontal="left" vertical="center" wrapText="1"/>
    </xf>
    <xf numFmtId="165" fontId="8" fillId="0" borderId="7" xfId="0" quotePrefix="1" applyNumberFormat="1" applyFont="1" applyBorder="1" applyAlignment="1">
      <alignment horizontal="center" vertical="center"/>
    </xf>
    <xf numFmtId="2" fontId="8" fillId="0" borderId="5" xfId="0" quotePrefix="1" applyNumberFormat="1" applyFont="1" applyBorder="1" applyAlignment="1">
      <alignment horizontal="center" vertical="center"/>
    </xf>
    <xf numFmtId="0" fontId="28" fillId="0" borderId="0" xfId="5" applyFont="1" applyBorder="1" applyAlignment="1">
      <alignment horizontal="left" vertical="center" wrapText="1"/>
    </xf>
    <xf numFmtId="0" fontId="28" fillId="0" borderId="0" xfId="5" applyFont="1" applyBorder="1" applyAlignment="1">
      <alignment horizontal="center" vertical="center" wrapText="1"/>
    </xf>
    <xf numFmtId="1" fontId="9" fillId="0" borderId="3" xfId="8" applyNumberFormat="1" applyFont="1" applyBorder="1" applyAlignment="1">
      <alignment horizontal="center" vertical="center"/>
    </xf>
    <xf numFmtId="1" fontId="9" fillId="0" borderId="2" xfId="8" applyNumberFormat="1" applyFont="1" applyBorder="1" applyAlignment="1">
      <alignment horizontal="center" vertical="center"/>
    </xf>
    <xf numFmtId="1" fontId="9" fillId="0" borderId="6" xfId="8" applyNumberFormat="1" applyFont="1" applyBorder="1" applyAlignment="1">
      <alignment horizontal="center" vertical="center"/>
    </xf>
    <xf numFmtId="165" fontId="8" fillId="0" borderId="54" xfId="0" applyNumberFormat="1" applyFont="1" applyBorder="1" applyAlignment="1">
      <alignment horizontal="center" vertical="center"/>
    </xf>
    <xf numFmtId="165" fontId="8" fillId="0" borderId="55" xfId="0" applyNumberFormat="1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14" fillId="0" borderId="39" xfId="0" quotePrefix="1" applyFont="1" applyBorder="1" applyAlignment="1">
      <alignment horizontal="center" vertical="center"/>
    </xf>
    <xf numFmtId="1" fontId="8" fillId="0" borderId="55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65" fontId="8" fillId="0" borderId="35" xfId="0" applyNumberFormat="1" applyFont="1" applyBorder="1" applyAlignment="1">
      <alignment horizontal="center" vertical="center"/>
    </xf>
    <xf numFmtId="165" fontId="8" fillId="0" borderId="23" xfId="0" applyNumberFormat="1" applyFont="1" applyBorder="1" applyAlignment="1">
      <alignment horizontal="center" vertical="center"/>
    </xf>
    <xf numFmtId="165" fontId="8" fillId="0" borderId="24" xfId="0" applyNumberFormat="1" applyFont="1" applyBorder="1" applyAlignment="1">
      <alignment horizontal="center" vertical="center"/>
    </xf>
    <xf numFmtId="165" fontId="8" fillId="0" borderId="25" xfId="0" applyNumberFormat="1" applyFont="1" applyBorder="1" applyAlignment="1">
      <alignment horizontal="center" vertical="center"/>
    </xf>
    <xf numFmtId="1" fontId="8" fillId="0" borderId="15" xfId="0" applyNumberFormat="1" applyFont="1" applyBorder="1" applyAlignment="1" applyProtection="1">
      <alignment horizontal="center" vertical="center"/>
      <protection locked="0"/>
    </xf>
    <xf numFmtId="1" fontId="8" fillId="0" borderId="7" xfId="0" applyNumberFormat="1" applyFont="1" applyBorder="1" applyAlignment="1" applyProtection="1">
      <alignment horizontal="center" vertical="center"/>
      <protection locked="0"/>
    </xf>
    <xf numFmtId="164" fontId="8" fillId="0" borderId="2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8" fillId="0" borderId="16" xfId="0" quotePrefix="1" applyNumberFormat="1" applyFont="1" applyBorder="1" applyAlignment="1" applyProtection="1">
      <alignment horizontal="center" vertical="center"/>
      <protection locked="0"/>
    </xf>
    <xf numFmtId="1" fontId="8" fillId="0" borderId="14" xfId="0" quotePrefix="1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vertical="top"/>
    </xf>
    <xf numFmtId="0" fontId="7" fillId="0" borderId="28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26" fillId="0" borderId="0" xfId="5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169" fontId="24" fillId="0" borderId="0" xfId="5" applyNumberFormat="1" applyFont="1" applyAlignment="1">
      <alignment horizontal="center" vertical="center" wrapText="1"/>
    </xf>
    <xf numFmtId="169" fontId="25" fillId="0" borderId="0" xfId="5" applyNumberFormat="1" applyFont="1" applyAlignment="1">
      <alignment horizontal="center" vertical="center" wrapText="1"/>
    </xf>
    <xf numFmtId="0" fontId="28" fillId="0" borderId="0" xfId="5" applyFont="1" applyAlignment="1">
      <alignment horizontal="left" vertical="center" wrapText="1"/>
    </xf>
    <xf numFmtId="14" fontId="28" fillId="0" borderId="0" xfId="5" applyNumberFormat="1" applyFont="1" applyAlignment="1">
      <alignment horizontal="left" vertical="center" wrapText="1"/>
    </xf>
    <xf numFmtId="0" fontId="27" fillId="0" borderId="0" xfId="5" applyFont="1" applyAlignment="1">
      <alignment horizontal="center" vertical="center" wrapText="1"/>
    </xf>
    <xf numFmtId="0" fontId="39" fillId="0" borderId="0" xfId="5" applyFont="1" applyBorder="1" applyAlignment="1">
      <alignment horizontal="center" vertical="center" wrapText="1"/>
    </xf>
    <xf numFmtId="0" fontId="1" fillId="0" borderId="0" xfId="5" applyFont="1" applyBorder="1"/>
    <xf numFmtId="0" fontId="36" fillId="0" borderId="0" xfId="5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33" fillId="0" borderId="0" xfId="5" applyFont="1" applyAlignment="1">
      <alignment horizontal="left" vertical="center" wrapText="1"/>
    </xf>
    <xf numFmtId="0" fontId="28" fillId="0" borderId="41" xfId="5" applyFont="1" applyBorder="1" applyAlignment="1">
      <alignment horizontal="center" vertical="center" wrapText="1"/>
    </xf>
    <xf numFmtId="0" fontId="28" fillId="0" borderId="28" xfId="5" applyFont="1" applyBorder="1" applyAlignment="1">
      <alignment horizontal="center" vertical="center" wrapText="1"/>
    </xf>
    <xf numFmtId="0" fontId="28" fillId="0" borderId="30" xfId="5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1" fillId="0" borderId="0" xfId="5" applyFont="1" applyAlignment="1">
      <alignment horizontal="left" vertical="center" wrapText="1"/>
    </xf>
    <xf numFmtId="0" fontId="30" fillId="0" borderId="0" xfId="5" applyFont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0" fontId="28" fillId="0" borderId="20" xfId="5" applyFont="1" applyBorder="1" applyAlignment="1">
      <alignment horizontal="center" vertical="center" wrapText="1"/>
    </xf>
    <xf numFmtId="0" fontId="28" fillId="0" borderId="3" xfId="5" applyFont="1" applyBorder="1" applyAlignment="1">
      <alignment horizontal="center" vertical="center" wrapText="1"/>
    </xf>
    <xf numFmtId="0" fontId="28" fillId="0" borderId="3" xfId="5" applyFont="1" applyBorder="1" applyAlignment="1">
      <alignment horizontal="left" vertical="center" wrapText="1"/>
    </xf>
    <xf numFmtId="0" fontId="32" fillId="0" borderId="3" xfId="5" applyFont="1" applyBorder="1" applyAlignment="1">
      <alignment horizontal="center" vertical="center" wrapText="1"/>
    </xf>
    <xf numFmtId="165" fontId="31" fillId="0" borderId="3" xfId="5" applyNumberFormat="1" applyFont="1" applyBorder="1" applyAlignment="1">
      <alignment horizontal="center" vertical="center" wrapText="1"/>
    </xf>
    <xf numFmtId="165" fontId="31" fillId="0" borderId="4" xfId="5" applyNumberFormat="1" applyFont="1" applyBorder="1" applyAlignment="1">
      <alignment horizontal="center" vertical="center" wrapText="1"/>
    </xf>
    <xf numFmtId="0" fontId="28" fillId="0" borderId="21" xfId="5" applyFont="1" applyBorder="1" applyAlignment="1">
      <alignment horizontal="center" vertical="center" wrapText="1"/>
    </xf>
    <xf numFmtId="0" fontId="28" fillId="0" borderId="2" xfId="5" applyFont="1" applyBorder="1" applyAlignment="1">
      <alignment horizontal="center" vertical="center" wrapText="1"/>
    </xf>
    <xf numFmtId="0" fontId="28" fillId="0" borderId="2" xfId="5" applyFont="1" applyBorder="1" applyAlignment="1">
      <alignment horizontal="left" vertical="center" wrapText="1"/>
    </xf>
    <xf numFmtId="0" fontId="32" fillId="0" borderId="2" xfId="5" applyFont="1" applyBorder="1" applyAlignment="1">
      <alignment horizontal="center" vertical="center" wrapText="1"/>
    </xf>
    <xf numFmtId="165" fontId="31" fillId="0" borderId="2" xfId="5" applyNumberFormat="1" applyFont="1" applyBorder="1" applyAlignment="1">
      <alignment horizontal="center" vertical="center" wrapText="1"/>
    </xf>
    <xf numFmtId="165" fontId="31" fillId="0" borderId="5" xfId="5" applyNumberFormat="1" applyFont="1" applyBorder="1" applyAlignment="1">
      <alignment horizontal="center" vertical="center" wrapText="1"/>
    </xf>
    <xf numFmtId="1" fontId="31" fillId="0" borderId="2" xfId="5" applyNumberFormat="1" applyFont="1" applyBorder="1" applyAlignment="1">
      <alignment horizontal="center" vertical="center" wrapText="1"/>
    </xf>
    <xf numFmtId="0" fontId="31" fillId="0" borderId="2" xfId="5" applyFont="1" applyBorder="1" applyAlignment="1">
      <alignment horizontal="center" vertical="center" wrapText="1"/>
    </xf>
    <xf numFmtId="1" fontId="31" fillId="0" borderId="5" xfId="5" applyNumberFormat="1" applyFont="1" applyBorder="1" applyAlignment="1">
      <alignment horizontal="center" vertical="center" wrapText="1"/>
    </xf>
    <xf numFmtId="0" fontId="32" fillId="0" borderId="2" xfId="5" quotePrefix="1" applyFont="1" applyBorder="1" applyAlignment="1">
      <alignment horizontal="center" vertical="center" wrapText="1"/>
    </xf>
    <xf numFmtId="0" fontId="28" fillId="0" borderId="22" xfId="5" applyFont="1" applyBorder="1" applyAlignment="1">
      <alignment horizontal="center" vertical="center" wrapText="1"/>
    </xf>
    <xf numFmtId="0" fontId="28" fillId="0" borderId="6" xfId="5" applyFont="1" applyBorder="1" applyAlignment="1">
      <alignment horizontal="center" vertical="center" wrapText="1"/>
    </xf>
    <xf numFmtId="0" fontId="28" fillId="0" borderId="6" xfId="5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16" fillId="0" borderId="0" xfId="0" applyFont="1" applyAlignment="1">
      <alignment horizontal="center" vertical="center" wrapText="1"/>
    </xf>
    <xf numFmtId="170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165" fontId="31" fillId="0" borderId="6" xfId="5" applyNumberFormat="1" applyFont="1" applyBorder="1" applyAlignment="1">
      <alignment horizontal="center" vertical="center" wrapText="1"/>
    </xf>
    <xf numFmtId="165" fontId="31" fillId="0" borderId="8" xfId="5" applyNumberFormat="1" applyFont="1" applyBorder="1" applyAlignment="1">
      <alignment horizontal="center" vertical="center" wrapText="1"/>
    </xf>
    <xf numFmtId="1" fontId="31" fillId="0" borderId="3" xfId="5" applyNumberFormat="1" applyFont="1" applyBorder="1" applyAlignment="1">
      <alignment horizontal="center" vertical="center" wrapText="1"/>
    </xf>
    <xf numFmtId="1" fontId="31" fillId="0" borderId="4" xfId="5" applyNumberFormat="1" applyFont="1" applyBorder="1" applyAlignment="1">
      <alignment horizontal="center" vertical="center" wrapText="1"/>
    </xf>
    <xf numFmtId="0" fontId="32" fillId="0" borderId="6" xfId="5" quotePrefix="1" applyFont="1" applyBorder="1" applyAlignment="1">
      <alignment horizontal="center" vertical="center" wrapText="1"/>
    </xf>
    <xf numFmtId="0" fontId="32" fillId="0" borderId="6" xfId="5" applyFont="1" applyBorder="1" applyAlignment="1">
      <alignment horizontal="center" vertical="center" wrapText="1"/>
    </xf>
    <xf numFmtId="1" fontId="31" fillId="0" borderId="6" xfId="5" applyNumberFormat="1" applyFont="1" applyBorder="1" applyAlignment="1">
      <alignment horizontal="center" vertical="center" wrapText="1"/>
    </xf>
    <xf numFmtId="1" fontId="31" fillId="0" borderId="8" xfId="5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 wrapText="1"/>
    </xf>
    <xf numFmtId="0" fontId="8" fillId="0" borderId="33" xfId="0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37" fillId="0" borderId="48" xfId="8" quotePrefix="1" applyFont="1" applyBorder="1" applyAlignment="1">
      <alignment horizontal="center" vertical="center"/>
    </xf>
    <xf numFmtId="0" fontId="37" fillId="0" borderId="48" xfId="8" applyFont="1" applyBorder="1" applyAlignment="1">
      <alignment horizontal="center" vertical="center"/>
    </xf>
    <xf numFmtId="0" fontId="9" fillId="0" borderId="20" xfId="8" applyFont="1" applyBorder="1" applyAlignment="1">
      <alignment horizontal="center" vertical="center" wrapText="1"/>
    </xf>
    <xf numFmtId="0" fontId="9" fillId="0" borderId="26" xfId="8" applyFont="1" applyBorder="1" applyAlignment="1">
      <alignment horizontal="center" vertical="center" wrapText="1"/>
    </xf>
    <xf numFmtId="0" fontId="9" fillId="0" borderId="24" xfId="8" applyFont="1" applyBorder="1" applyAlignment="1">
      <alignment horizontal="center" vertical="center" wrapText="1"/>
    </xf>
    <xf numFmtId="0" fontId="9" fillId="0" borderId="51" xfId="8" applyFont="1" applyBorder="1" applyAlignment="1">
      <alignment horizontal="center" vertical="center" wrapText="1"/>
    </xf>
    <xf numFmtId="0" fontId="9" fillId="0" borderId="11" xfId="8" applyFont="1" applyBorder="1" applyAlignment="1">
      <alignment horizontal="center" vertical="center" wrapText="1"/>
    </xf>
    <xf numFmtId="0" fontId="9" fillId="0" borderId="47" xfId="8" applyFont="1" applyBorder="1" applyAlignment="1">
      <alignment horizontal="center" vertical="center" wrapText="1"/>
    </xf>
    <xf numFmtId="0" fontId="9" fillId="0" borderId="20" xfId="8" quotePrefix="1" applyFont="1" applyBorder="1" applyAlignment="1">
      <alignment horizontal="center" vertical="center" wrapText="1"/>
    </xf>
    <xf numFmtId="0" fontId="9" fillId="0" borderId="3" xfId="8" applyFont="1" applyBorder="1" applyAlignment="1">
      <alignment horizontal="center" vertical="center" wrapText="1"/>
    </xf>
    <xf numFmtId="0" fontId="9" fillId="0" borderId="4" xfId="8" applyFont="1" applyBorder="1" applyAlignment="1">
      <alignment horizontal="center" vertical="center" wrapText="1"/>
    </xf>
    <xf numFmtId="0" fontId="9" fillId="0" borderId="9" xfId="8" applyFont="1" applyBorder="1" applyAlignment="1">
      <alignment horizontal="center" vertical="center" wrapText="1"/>
    </xf>
    <xf numFmtId="0" fontId="9" fillId="0" borderId="52" xfId="8" applyFont="1" applyBorder="1" applyAlignment="1">
      <alignment horizontal="center" vertical="center" wrapText="1"/>
    </xf>
    <xf numFmtId="165" fontId="42" fillId="0" borderId="15" xfId="0" applyNumberFormat="1" applyFont="1" applyBorder="1" applyAlignment="1" applyProtection="1">
      <alignment horizontal="center" vertical="center"/>
      <protection locked="0"/>
    </xf>
    <xf numFmtId="165" fontId="42" fillId="0" borderId="7" xfId="0" applyNumberFormat="1" applyFont="1" applyBorder="1" applyAlignment="1" applyProtection="1">
      <alignment horizontal="center" vertical="center"/>
      <protection locked="0"/>
    </xf>
  </cellXfs>
  <cellStyles count="9">
    <cellStyle name="FORM" xfId="1"/>
    <cellStyle name="Grey" xfId="2"/>
    <cellStyle name="Input [yellow]" xfId="3"/>
    <cellStyle name="Normal" xfId="0" builtinId="0"/>
    <cellStyle name="Normal - Style1" xfId="4"/>
    <cellStyle name="Normal 2" xfId="5"/>
    <cellStyle name="Normal 3" xfId="8"/>
    <cellStyle name="Percent [2]" xfId="6"/>
    <cellStyle name="Times New Roman" xfId="7"/>
  </cellStyles>
  <dxfs count="14"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</font>
    </dxf>
  </dxfs>
  <tableStyles count="0" defaultTableStyle="TableStyleMedium9" defaultPivotStyle="PivotStyleLight16"/>
  <colors>
    <mruColors>
      <color rgb="FF0000FF"/>
      <color rgb="FFFF3300"/>
      <color rgb="FF80808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pH</a:t>
            </a:r>
          </a:p>
        </c:rich>
      </c:tx>
      <c:layout>
        <c:manualLayout>
          <c:xMode val="edge"/>
          <c:yMode val="edge"/>
          <c:x val="0.47454583631591502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393958482462405"/>
          <c:y val="0.18953999171156402"/>
          <c:w val="0.84909166290099358"/>
          <c:h val="0.56809338521400776"/>
        </c:manualLayout>
      </c:layout>
      <c:lineChart>
        <c:grouping val="standard"/>
        <c:ser>
          <c:idx val="1"/>
          <c:order val="0"/>
          <c:tx>
            <c:v>pH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Tower'!$B$5:$B$35</c:f>
              <c:numCache>
                <c:formatCode>0.0</c:formatCode>
                <c:ptCount val="31"/>
                <c:pt idx="0">
                  <c:v>7.59</c:v>
                </c:pt>
                <c:pt idx="1">
                  <c:v>7.86</c:v>
                </c:pt>
                <c:pt idx="2">
                  <c:v>7.92</c:v>
                </c:pt>
                <c:pt idx="3">
                  <c:v>7.98</c:v>
                </c:pt>
                <c:pt idx="4">
                  <c:v>7.9</c:v>
                </c:pt>
                <c:pt idx="5">
                  <c:v>7.8</c:v>
                </c:pt>
                <c:pt idx="6">
                  <c:v>8.02</c:v>
                </c:pt>
                <c:pt idx="7">
                  <c:v>8</c:v>
                </c:pt>
                <c:pt idx="8">
                  <c:v>7.9</c:v>
                </c:pt>
                <c:pt idx="9">
                  <c:v>7.88</c:v>
                </c:pt>
                <c:pt idx="10">
                  <c:v>8.09</c:v>
                </c:pt>
                <c:pt idx="11">
                  <c:v>7.98</c:v>
                </c:pt>
                <c:pt idx="12">
                  <c:v>8.1199999999999992</c:v>
                </c:pt>
                <c:pt idx="13">
                  <c:v>7.94</c:v>
                </c:pt>
                <c:pt idx="14">
                  <c:v>7.98</c:v>
                </c:pt>
                <c:pt idx="15">
                  <c:v>8.02</c:v>
                </c:pt>
                <c:pt idx="16">
                  <c:v>7.89</c:v>
                </c:pt>
                <c:pt idx="17">
                  <c:v>7.8</c:v>
                </c:pt>
                <c:pt idx="18">
                  <c:v>7.8</c:v>
                </c:pt>
                <c:pt idx="19">
                  <c:v>7.96</c:v>
                </c:pt>
                <c:pt idx="20">
                  <c:v>8.0500000000000007</c:v>
                </c:pt>
                <c:pt idx="21">
                  <c:v>7.99</c:v>
                </c:pt>
                <c:pt idx="22">
                  <c:v>7.98</c:v>
                </c:pt>
                <c:pt idx="23">
                  <c:v>7.97</c:v>
                </c:pt>
                <c:pt idx="24">
                  <c:v>8.02</c:v>
                </c:pt>
                <c:pt idx="25">
                  <c:v>7.98</c:v>
                </c:pt>
                <c:pt idx="26">
                  <c:v>7.89</c:v>
                </c:pt>
                <c:pt idx="27">
                  <c:v>7.9</c:v>
                </c:pt>
                <c:pt idx="28">
                  <c:v>7.98</c:v>
                </c:pt>
                <c:pt idx="29">
                  <c:v>7.98</c:v>
                </c:pt>
              </c:numCache>
            </c:numRef>
          </c:val>
        </c:ser>
        <c:marker val="1"/>
        <c:axId val="79368576"/>
        <c:axId val="79371264"/>
      </c:lineChart>
      <c:dateAx>
        <c:axId val="79368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7818219995229061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371264"/>
        <c:crossesAt val="4.5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79371264"/>
        <c:scaling>
          <c:orientation val="minMax"/>
          <c:max val="9"/>
          <c:min val="6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42412451361868547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368576"/>
        <c:crosses val="autoZero"/>
        <c:crossBetween val="between"/>
        <c:majorUnit val="0.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Turbidity</a:t>
            </a:r>
          </a:p>
        </c:rich>
      </c:tx>
      <c:layout>
        <c:manualLayout>
          <c:xMode val="edge"/>
          <c:yMode val="edge"/>
          <c:x val="0.42545492722501616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2363647339885779"/>
          <c:y val="0.19455252918287938"/>
          <c:w val="0.83454619544228958"/>
          <c:h val="0.56809338521400776"/>
        </c:manualLayout>
      </c:layout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Tower'!$C$5:$C$35</c:f>
              <c:numCache>
                <c:formatCode>0.0</c:formatCode>
                <c:ptCount val="31"/>
                <c:pt idx="0">
                  <c:v>121</c:v>
                </c:pt>
                <c:pt idx="1">
                  <c:v>118</c:v>
                </c:pt>
                <c:pt idx="2">
                  <c:v>104</c:v>
                </c:pt>
                <c:pt idx="3">
                  <c:v>85</c:v>
                </c:pt>
                <c:pt idx="4">
                  <c:v>77</c:v>
                </c:pt>
                <c:pt idx="5">
                  <c:v>62</c:v>
                </c:pt>
                <c:pt idx="6">
                  <c:v>50</c:v>
                </c:pt>
                <c:pt idx="7">
                  <c:v>49</c:v>
                </c:pt>
                <c:pt idx="8">
                  <c:v>41</c:v>
                </c:pt>
                <c:pt idx="9">
                  <c:v>52</c:v>
                </c:pt>
                <c:pt idx="10">
                  <c:v>45</c:v>
                </c:pt>
                <c:pt idx="11">
                  <c:v>37</c:v>
                </c:pt>
                <c:pt idx="12">
                  <c:v>38</c:v>
                </c:pt>
                <c:pt idx="13">
                  <c:v>22</c:v>
                </c:pt>
                <c:pt idx="14">
                  <c:v>23</c:v>
                </c:pt>
                <c:pt idx="15">
                  <c:v>38</c:v>
                </c:pt>
                <c:pt idx="16">
                  <c:v>29</c:v>
                </c:pt>
                <c:pt idx="17">
                  <c:v>24</c:v>
                </c:pt>
                <c:pt idx="18">
                  <c:v>39</c:v>
                </c:pt>
                <c:pt idx="19">
                  <c:v>60</c:v>
                </c:pt>
                <c:pt idx="20">
                  <c:v>23</c:v>
                </c:pt>
                <c:pt idx="21">
                  <c:v>26</c:v>
                </c:pt>
                <c:pt idx="22">
                  <c:v>23</c:v>
                </c:pt>
                <c:pt idx="23">
                  <c:v>19</c:v>
                </c:pt>
                <c:pt idx="24">
                  <c:v>18</c:v>
                </c:pt>
                <c:pt idx="25">
                  <c:v>35</c:v>
                </c:pt>
                <c:pt idx="26">
                  <c:v>30</c:v>
                </c:pt>
                <c:pt idx="27">
                  <c:v>32</c:v>
                </c:pt>
                <c:pt idx="28">
                  <c:v>31</c:v>
                </c:pt>
                <c:pt idx="29">
                  <c:v>24</c:v>
                </c:pt>
              </c:numCache>
            </c:numRef>
          </c:val>
        </c:ser>
        <c:marker val="1"/>
        <c:axId val="79395072"/>
        <c:axId val="79426304"/>
      </c:lineChart>
      <c:dateAx>
        <c:axId val="79395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545492722501604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426304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79426304"/>
        <c:scaling>
          <c:orientation val="minMax"/>
          <c:max val="5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Turbidity (NTU)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24124513618677695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395072"/>
        <c:crosses val="autoZero"/>
        <c:crossBetween val="between"/>
        <c:majorUnit val="1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FRC</a:t>
            </a:r>
          </a:p>
        </c:rich>
      </c:tx>
      <c:layout>
        <c:manualLayout>
          <c:xMode val="edge"/>
          <c:yMode val="edge"/>
          <c:x val="0.46727310904318775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454555623717706"/>
          <c:y val="0.19455252918287938"/>
          <c:w val="0.8436371126039941"/>
          <c:h val="0.56809338521400776"/>
        </c:manualLayout>
      </c:layout>
      <c:lineChart>
        <c:grouping val="standard"/>
        <c:ser>
          <c:idx val="1"/>
          <c:order val="0"/>
          <c:tx>
            <c:v>FRC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Tower'!$D$5:$D$35</c:f>
              <c:numCache>
                <c:formatCode>0.0</c:formatCode>
                <c:ptCount val="3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</c:numCache>
            </c:numRef>
          </c:val>
        </c:ser>
        <c:marker val="1"/>
        <c:axId val="76591104"/>
        <c:axId val="76593408"/>
      </c:lineChart>
      <c:dateAx>
        <c:axId val="76591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18185635886591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93408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76593408"/>
        <c:scaling>
          <c:orientation val="minMax"/>
          <c:max val="1"/>
          <c:min val="0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FRC ppm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32684824902724807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91104"/>
        <c:crosses val="autoZero"/>
        <c:crossBetween val="between"/>
        <c:majorUnit val="0.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Total Hardness</a:t>
            </a:r>
          </a:p>
        </c:rich>
      </c:tx>
      <c:layout>
        <c:manualLayout>
          <c:xMode val="edge"/>
          <c:yMode val="edge"/>
          <c:x val="0.37636401813410525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090920712820533"/>
          <c:y val="0.19455252918287938"/>
          <c:w val="0.8272734617129287"/>
          <c:h val="0.56809338521400776"/>
        </c:manualLayout>
      </c:layout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Tower'!$G$5:$G$35</c:f>
              <c:numCache>
                <c:formatCode>General</c:formatCode>
                <c:ptCount val="31"/>
                <c:pt idx="0">
                  <c:v>1102</c:v>
                </c:pt>
                <c:pt idx="1">
                  <c:v>918</c:v>
                </c:pt>
                <c:pt idx="2">
                  <c:v>898</c:v>
                </c:pt>
                <c:pt idx="3">
                  <c:v>877</c:v>
                </c:pt>
                <c:pt idx="4">
                  <c:v>816</c:v>
                </c:pt>
                <c:pt idx="5">
                  <c:v>775</c:v>
                </c:pt>
                <c:pt idx="6">
                  <c:v>672</c:v>
                </c:pt>
                <c:pt idx="7">
                  <c:v>726</c:v>
                </c:pt>
                <c:pt idx="8">
                  <c:v>747</c:v>
                </c:pt>
                <c:pt idx="9">
                  <c:v>726</c:v>
                </c:pt>
                <c:pt idx="10">
                  <c:v>734</c:v>
                </c:pt>
                <c:pt idx="11">
                  <c:v>747</c:v>
                </c:pt>
                <c:pt idx="12">
                  <c:v>804</c:v>
                </c:pt>
                <c:pt idx="13">
                  <c:v>849</c:v>
                </c:pt>
                <c:pt idx="14">
                  <c:v>856</c:v>
                </c:pt>
                <c:pt idx="15">
                  <c:v>918</c:v>
                </c:pt>
                <c:pt idx="16">
                  <c:v>938</c:v>
                </c:pt>
                <c:pt idx="17">
                  <c:v>971</c:v>
                </c:pt>
                <c:pt idx="18">
                  <c:v>1089</c:v>
                </c:pt>
                <c:pt idx="19">
                  <c:v>969</c:v>
                </c:pt>
                <c:pt idx="20">
                  <c:v>990</c:v>
                </c:pt>
                <c:pt idx="21">
                  <c:v>1040</c:v>
                </c:pt>
                <c:pt idx="22">
                  <c:v>986</c:v>
                </c:pt>
                <c:pt idx="23">
                  <c:v>1019</c:v>
                </c:pt>
                <c:pt idx="24">
                  <c:v>953</c:v>
                </c:pt>
                <c:pt idx="25">
                  <c:v>1019</c:v>
                </c:pt>
                <c:pt idx="26">
                  <c:v>1027</c:v>
                </c:pt>
                <c:pt idx="27">
                  <c:v>1028</c:v>
                </c:pt>
                <c:pt idx="28">
                  <c:v>1040</c:v>
                </c:pt>
                <c:pt idx="29">
                  <c:v>899</c:v>
                </c:pt>
              </c:numCache>
            </c:numRef>
          </c:val>
        </c:ser>
        <c:marker val="1"/>
        <c:axId val="79631872"/>
        <c:axId val="79634432"/>
      </c:lineChart>
      <c:dateAx>
        <c:axId val="79631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90912908613696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34432"/>
        <c:crossesAt val="20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79634432"/>
        <c:scaling>
          <c:orientation val="minMax"/>
          <c:max val="1400"/>
          <c:min val="200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 ppm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35019455252918275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31872"/>
        <c:crosses val="autoZero"/>
        <c:crossBetween val="between"/>
        <c:majorUnit val="2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CaH</a:t>
            </a:r>
          </a:p>
        </c:rich>
      </c:tx>
      <c:layout>
        <c:manualLayout>
          <c:xMode val="edge"/>
          <c:yMode val="edge"/>
          <c:x val="0.46727310904318775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63637396695132"/>
          <c:y val="0.19455252918287938"/>
          <c:w val="0.84181892917163459"/>
          <c:h val="0.56809338521400776"/>
        </c:manualLayout>
      </c:layout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Tower'!$H$5:$H$35</c:f>
              <c:numCache>
                <c:formatCode>General</c:formatCode>
                <c:ptCount val="31"/>
                <c:pt idx="0">
                  <c:v>672</c:v>
                </c:pt>
                <c:pt idx="1">
                  <c:v>560</c:v>
                </c:pt>
                <c:pt idx="2">
                  <c:v>530</c:v>
                </c:pt>
                <c:pt idx="3">
                  <c:v>510</c:v>
                </c:pt>
                <c:pt idx="4">
                  <c:v>449</c:v>
                </c:pt>
                <c:pt idx="5">
                  <c:v>428</c:v>
                </c:pt>
                <c:pt idx="6">
                  <c:v>401</c:v>
                </c:pt>
                <c:pt idx="7">
                  <c:v>416</c:v>
                </c:pt>
                <c:pt idx="8">
                  <c:v>428</c:v>
                </c:pt>
                <c:pt idx="9">
                  <c:v>420</c:v>
                </c:pt>
                <c:pt idx="10">
                  <c:v>428</c:v>
                </c:pt>
                <c:pt idx="11">
                  <c:v>428</c:v>
                </c:pt>
                <c:pt idx="12">
                  <c:v>469</c:v>
                </c:pt>
                <c:pt idx="13">
                  <c:v>510</c:v>
                </c:pt>
                <c:pt idx="14">
                  <c:v>518</c:v>
                </c:pt>
                <c:pt idx="15">
                  <c:v>694</c:v>
                </c:pt>
                <c:pt idx="16">
                  <c:v>550</c:v>
                </c:pt>
                <c:pt idx="17">
                  <c:v>571</c:v>
                </c:pt>
                <c:pt idx="18">
                  <c:v>679</c:v>
                </c:pt>
                <c:pt idx="19">
                  <c:v>575</c:v>
                </c:pt>
                <c:pt idx="20">
                  <c:v>580</c:v>
                </c:pt>
                <c:pt idx="21">
                  <c:v>582</c:v>
                </c:pt>
                <c:pt idx="22">
                  <c:v>574</c:v>
                </c:pt>
                <c:pt idx="23">
                  <c:v>624</c:v>
                </c:pt>
                <c:pt idx="24">
                  <c:v>562</c:v>
                </c:pt>
                <c:pt idx="25">
                  <c:v>603</c:v>
                </c:pt>
                <c:pt idx="26">
                  <c:v>611</c:v>
                </c:pt>
                <c:pt idx="27">
                  <c:v>613</c:v>
                </c:pt>
                <c:pt idx="28">
                  <c:v>624</c:v>
                </c:pt>
                <c:pt idx="29">
                  <c:v>556</c:v>
                </c:pt>
              </c:numCache>
            </c:numRef>
          </c:val>
        </c:ser>
        <c:marker val="1"/>
        <c:axId val="79641600"/>
        <c:axId val="79660544"/>
      </c:lineChart>
      <c:dateAx>
        <c:axId val="79641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18185635886591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60544"/>
        <c:crossesAt val="10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79660544"/>
        <c:scaling>
          <c:orientation val="minMax"/>
          <c:max val="800"/>
          <c:min val="100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CaH ppm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33073929961089532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41600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Chlorides</a:t>
            </a:r>
          </a:p>
        </c:rich>
      </c:tx>
      <c:layout>
        <c:manualLayout>
          <c:xMode val="edge"/>
          <c:yMode val="edge"/>
          <c:x val="0.43454583631591531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63637396695132"/>
          <c:y val="0.19455252918287938"/>
          <c:w val="0.84181892917163459"/>
          <c:h val="0.56809338521400776"/>
        </c:manualLayout>
      </c:layout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Tower'!$J$5:$J$35</c:f>
              <c:numCache>
                <c:formatCode>General</c:formatCode>
                <c:ptCount val="31"/>
                <c:pt idx="0">
                  <c:v>146</c:v>
                </c:pt>
                <c:pt idx="1">
                  <c:v>125</c:v>
                </c:pt>
                <c:pt idx="2">
                  <c:v>132</c:v>
                </c:pt>
                <c:pt idx="3">
                  <c:v>125</c:v>
                </c:pt>
                <c:pt idx="4">
                  <c:v>114</c:v>
                </c:pt>
                <c:pt idx="5">
                  <c:v>110</c:v>
                </c:pt>
                <c:pt idx="6">
                  <c:v>103</c:v>
                </c:pt>
                <c:pt idx="7">
                  <c:v>114</c:v>
                </c:pt>
                <c:pt idx="8">
                  <c:v>117</c:v>
                </c:pt>
                <c:pt idx="9">
                  <c:v>114</c:v>
                </c:pt>
                <c:pt idx="10">
                  <c:v>117</c:v>
                </c:pt>
                <c:pt idx="11">
                  <c:v>125</c:v>
                </c:pt>
                <c:pt idx="12">
                  <c:v>132</c:v>
                </c:pt>
                <c:pt idx="13">
                  <c:v>189</c:v>
                </c:pt>
                <c:pt idx="14">
                  <c:v>196</c:v>
                </c:pt>
                <c:pt idx="15">
                  <c:v>160</c:v>
                </c:pt>
                <c:pt idx="16">
                  <c:v>164</c:v>
                </c:pt>
                <c:pt idx="17">
                  <c:v>171</c:v>
                </c:pt>
                <c:pt idx="18">
                  <c:v>175</c:v>
                </c:pt>
                <c:pt idx="19">
                  <c:v>175</c:v>
                </c:pt>
                <c:pt idx="20">
                  <c:v>178</c:v>
                </c:pt>
                <c:pt idx="21">
                  <c:v>189</c:v>
                </c:pt>
                <c:pt idx="22">
                  <c:v>178</c:v>
                </c:pt>
                <c:pt idx="23">
                  <c:v>189</c:v>
                </c:pt>
                <c:pt idx="24">
                  <c:v>164</c:v>
                </c:pt>
                <c:pt idx="25">
                  <c:v>174</c:v>
                </c:pt>
                <c:pt idx="26">
                  <c:v>178</c:v>
                </c:pt>
                <c:pt idx="27">
                  <c:v>176</c:v>
                </c:pt>
                <c:pt idx="28">
                  <c:v>178</c:v>
                </c:pt>
                <c:pt idx="29">
                  <c:v>153</c:v>
                </c:pt>
              </c:numCache>
            </c:numRef>
          </c:val>
        </c:ser>
        <c:marker val="1"/>
        <c:axId val="79590144"/>
        <c:axId val="79592448"/>
      </c:lineChart>
      <c:dateAx>
        <c:axId val="79590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18185635886591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92448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79592448"/>
        <c:scaling>
          <c:orientation val="minMax"/>
          <c:max val="700"/>
          <c:min val="100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Chlorides ppm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24902723735408591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90144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 horizontalDpi="-4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325" b="1" i="0" strike="noStrike">
                <a:solidFill>
                  <a:srgbClr val="0000FF"/>
                </a:solidFill>
                <a:latin typeface="Arial"/>
                <a:cs typeface="Arial"/>
              </a:rPr>
              <a:t>Ortho PO</a:t>
            </a:r>
            <a:r>
              <a:rPr lang="en-US" sz="1325" b="1" i="0" strike="noStrike" baseline="-25000">
                <a:solidFill>
                  <a:srgbClr val="0000FF"/>
                </a:solidFill>
                <a:latin typeface="Arial"/>
                <a:cs typeface="Arial"/>
              </a:rPr>
              <a:t>4</a:t>
            </a:r>
          </a:p>
        </c:rich>
      </c:tx>
      <c:layout>
        <c:manualLayout>
          <c:xMode val="edge"/>
          <c:yMode val="edge"/>
          <c:x val="0.42124619038005495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2454234729557882"/>
          <c:y val="0.19455252918287938"/>
          <c:w val="0.83333482381600532"/>
          <c:h val="0.56809338521400776"/>
        </c:manualLayout>
      </c:layout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Tower'!$K$5:$K$35</c:f>
              <c:numCache>
                <c:formatCode>0.0</c:formatCode>
                <c:ptCount val="31"/>
                <c:pt idx="0">
                  <c:v>6.5</c:v>
                </c:pt>
                <c:pt idx="1">
                  <c:v>7.2</c:v>
                </c:pt>
                <c:pt idx="2">
                  <c:v>6.8</c:v>
                </c:pt>
                <c:pt idx="3">
                  <c:v>8</c:v>
                </c:pt>
                <c:pt idx="4">
                  <c:v>7.1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6.9</c:v>
                </c:pt>
                <c:pt idx="9">
                  <c:v>6.8</c:v>
                </c:pt>
                <c:pt idx="10">
                  <c:v>7</c:v>
                </c:pt>
                <c:pt idx="11">
                  <c:v>6.8</c:v>
                </c:pt>
                <c:pt idx="12">
                  <c:v>7.1</c:v>
                </c:pt>
                <c:pt idx="13">
                  <c:v>7.1</c:v>
                </c:pt>
                <c:pt idx="14">
                  <c:v>7.2</c:v>
                </c:pt>
                <c:pt idx="15">
                  <c:v>7.2</c:v>
                </c:pt>
                <c:pt idx="16">
                  <c:v>7.1</c:v>
                </c:pt>
                <c:pt idx="17">
                  <c:v>7</c:v>
                </c:pt>
                <c:pt idx="18">
                  <c:v>5.8</c:v>
                </c:pt>
                <c:pt idx="19">
                  <c:v>5.7</c:v>
                </c:pt>
                <c:pt idx="20">
                  <c:v>5.9</c:v>
                </c:pt>
                <c:pt idx="21">
                  <c:v>7.2</c:v>
                </c:pt>
                <c:pt idx="22">
                  <c:v>7.1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7.1</c:v>
                </c:pt>
                <c:pt idx="27">
                  <c:v>7.3</c:v>
                </c:pt>
                <c:pt idx="28">
                  <c:v>7.1</c:v>
                </c:pt>
                <c:pt idx="29">
                  <c:v>7.2</c:v>
                </c:pt>
              </c:numCache>
            </c:numRef>
          </c:val>
        </c:ser>
        <c:marker val="1"/>
        <c:axId val="79620352"/>
        <c:axId val="79778560"/>
      </c:lineChart>
      <c:dateAx>
        <c:axId val="79620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534894676626988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78560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79778560"/>
        <c:scaling>
          <c:orientation val="minMax"/>
          <c:max val="1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OPO</a:t>
                </a:r>
                <a:r>
                  <a:rPr lang="en-US" sz="1200" b="1" i="0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4 </a:t>
                </a: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5091575095378E-3"/>
              <c:y val="0.31517509727627202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20352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Conductivity</a:t>
            </a:r>
          </a:p>
        </c:rich>
      </c:tx>
      <c:layout>
        <c:manualLayout>
          <c:xMode val="edge"/>
          <c:yMode val="edge"/>
          <c:x val="0.40000038177047054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72739056054164"/>
          <c:y val="0.19455252918287938"/>
          <c:w val="0.82545527828060961"/>
          <c:h val="0.56809338521400776"/>
        </c:manualLayout>
      </c:layout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Tower'!$E$5:$E$35</c:f>
              <c:numCache>
                <c:formatCode>General</c:formatCode>
                <c:ptCount val="31"/>
                <c:pt idx="0">
                  <c:v>2390</c:v>
                </c:pt>
                <c:pt idx="1">
                  <c:v>2190</c:v>
                </c:pt>
                <c:pt idx="2">
                  <c:v>2100</c:v>
                </c:pt>
                <c:pt idx="3">
                  <c:v>2180</c:v>
                </c:pt>
                <c:pt idx="4">
                  <c:v>2150</c:v>
                </c:pt>
                <c:pt idx="5">
                  <c:v>2010</c:v>
                </c:pt>
                <c:pt idx="6">
                  <c:v>2000</c:v>
                </c:pt>
                <c:pt idx="7">
                  <c:v>1995</c:v>
                </c:pt>
                <c:pt idx="8">
                  <c:v>2050</c:v>
                </c:pt>
                <c:pt idx="9">
                  <c:v>2215</c:v>
                </c:pt>
                <c:pt idx="10">
                  <c:v>1740</c:v>
                </c:pt>
                <c:pt idx="11">
                  <c:v>1795</c:v>
                </c:pt>
                <c:pt idx="12">
                  <c:v>1968</c:v>
                </c:pt>
                <c:pt idx="13">
                  <c:v>2110</c:v>
                </c:pt>
                <c:pt idx="14">
                  <c:v>2128</c:v>
                </c:pt>
                <c:pt idx="15">
                  <c:v>1985</c:v>
                </c:pt>
                <c:pt idx="16">
                  <c:v>2084</c:v>
                </c:pt>
                <c:pt idx="17">
                  <c:v>2142</c:v>
                </c:pt>
                <c:pt idx="18">
                  <c:v>2150</c:v>
                </c:pt>
                <c:pt idx="19">
                  <c:v>2140</c:v>
                </c:pt>
                <c:pt idx="20">
                  <c:v>2142</c:v>
                </c:pt>
                <c:pt idx="21">
                  <c:v>2850</c:v>
                </c:pt>
                <c:pt idx="22">
                  <c:v>2690</c:v>
                </c:pt>
                <c:pt idx="23">
                  <c:v>2880</c:v>
                </c:pt>
                <c:pt idx="24">
                  <c:v>2571</c:v>
                </c:pt>
                <c:pt idx="25">
                  <c:v>2592</c:v>
                </c:pt>
                <c:pt idx="26">
                  <c:v>2595</c:v>
                </c:pt>
                <c:pt idx="27">
                  <c:v>2600</c:v>
                </c:pt>
                <c:pt idx="28">
                  <c:v>2685</c:v>
                </c:pt>
                <c:pt idx="29">
                  <c:v>2427</c:v>
                </c:pt>
              </c:numCache>
            </c:numRef>
          </c:val>
        </c:ser>
        <c:marker val="1"/>
        <c:axId val="79691776"/>
        <c:axId val="79694080"/>
      </c:lineChart>
      <c:dateAx>
        <c:axId val="79691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9090947267956053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94080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79694080"/>
        <c:scaling>
          <c:orientation val="minMax"/>
          <c:max val="600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Mhos / cm</a:t>
                </a:r>
                <a:r>
                  <a:rPr lang="en-US" sz="1200" b="1" i="0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30739299610895954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91776"/>
        <c:crosses val="autoZero"/>
        <c:crossBetween val="between"/>
        <c:majorUnit val="10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COC</a:t>
            </a:r>
          </a:p>
        </c:rich>
      </c:tx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'Operational Parameters'!$A$4:$A$34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  <c:pt idx="30">
                  <c:v>0</c:v>
                </c:pt>
              </c:numCache>
            </c:numRef>
          </c:cat>
          <c:val>
            <c:numRef>
              <c:f>'Operational Parameters'!$D$4:$D$34</c:f>
              <c:numCache>
                <c:formatCode>0.0</c:formatCode>
                <c:ptCount val="31"/>
                <c:pt idx="0">
                  <c:v>8.609375</c:v>
                </c:pt>
                <c:pt idx="1">
                  <c:v>7.5245901639344259</c:v>
                </c:pt>
                <c:pt idx="2">
                  <c:v>7.4833333333333334</c:v>
                </c:pt>
                <c:pt idx="3">
                  <c:v>7.016</c:v>
                </c:pt>
                <c:pt idx="4">
                  <c:v>6.6885245901639347</c:v>
                </c:pt>
                <c:pt idx="5">
                  <c:v>6.3008130081300813</c:v>
                </c:pt>
                <c:pt idx="6">
                  <c:v>5.3760000000000003</c:v>
                </c:pt>
                <c:pt idx="7">
                  <c:v>5.7165354330708658</c:v>
                </c:pt>
                <c:pt idx="8">
                  <c:v>5.976</c:v>
                </c:pt>
                <c:pt idx="9">
                  <c:v>5.9508196721311473</c:v>
                </c:pt>
                <c:pt idx="10">
                  <c:v>6.0661157024793386</c:v>
                </c:pt>
                <c:pt idx="11">
                  <c:v>6.1229508196721314</c:v>
                </c:pt>
                <c:pt idx="12">
                  <c:v>6.4320000000000004</c:v>
                </c:pt>
                <c:pt idx="13">
                  <c:v>6.7919999999999998</c:v>
                </c:pt>
                <c:pt idx="14">
                  <c:v>6.903225806451613</c:v>
                </c:pt>
                <c:pt idx="15">
                  <c:v>7.171875</c:v>
                </c:pt>
                <c:pt idx="16">
                  <c:v>7.5039999999999996</c:v>
                </c:pt>
                <c:pt idx="17">
                  <c:v>8.0916666666666668</c:v>
                </c:pt>
                <c:pt idx="18">
                  <c:v>9.2288135593220346</c:v>
                </c:pt>
                <c:pt idx="19">
                  <c:v>8.4260869565217398</c:v>
                </c:pt>
                <c:pt idx="20">
                  <c:v>8.6086956521739122</c:v>
                </c:pt>
                <c:pt idx="21">
                  <c:v>8.8888888888888893</c:v>
                </c:pt>
                <c:pt idx="22">
                  <c:v>8.2166666666666668</c:v>
                </c:pt>
                <c:pt idx="23">
                  <c:v>8.7094017094017087</c:v>
                </c:pt>
                <c:pt idx="24">
                  <c:v>8.3596491228070171</c:v>
                </c:pt>
                <c:pt idx="25">
                  <c:v>9.0176991150442483</c:v>
                </c:pt>
                <c:pt idx="26">
                  <c:v>9.0087719298245617</c:v>
                </c:pt>
                <c:pt idx="27">
                  <c:v>9.0973451327433636</c:v>
                </c:pt>
                <c:pt idx="28">
                  <c:v>9.2857142857142865</c:v>
                </c:pt>
                <c:pt idx="29">
                  <c:v>7.683760683760684</c:v>
                </c:pt>
                <c:pt idx="30">
                  <c:v>0</c:v>
                </c:pt>
              </c:numCache>
            </c:numRef>
          </c:val>
        </c:ser>
        <c:marker val="1"/>
        <c:axId val="79737984"/>
        <c:axId val="79740288"/>
      </c:lineChart>
      <c:dateAx>
        <c:axId val="79737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40288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79740288"/>
        <c:scaling>
          <c:orientation val="minMax"/>
          <c:max val="8"/>
          <c:min val="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COC</a:t>
                </a:r>
              </a:p>
            </c:rich>
          </c:tx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37984"/>
        <c:crosses val="autoZero"/>
        <c:crossBetween val="between"/>
        <c:maj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Delta  T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'Operational Parameters'!$A$4:$A$34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  <c:pt idx="30">
                  <c:v>0</c:v>
                </c:pt>
              </c:numCache>
            </c:numRef>
          </c:cat>
          <c:val>
            <c:numRef>
              <c:f>'Operational Parameters'!#REF!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marker val="1"/>
        <c:axId val="79731328"/>
        <c:axId val="80163968"/>
      </c:lineChart>
      <c:dateAx>
        <c:axId val="79731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163968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0163968"/>
        <c:scaling>
          <c:orientation val="minMax"/>
          <c:max val="12"/>
          <c:min val="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T (Deg. C) 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31328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Condenser Vacumm vs Plant Load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0"/>
          <c:order val="0"/>
          <c:tx>
            <c:v>Condenser Vacumm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'Operational Parameters'!$A$4:$A$34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  <c:pt idx="30">
                  <c:v>0</c:v>
                </c:pt>
              </c:numCache>
            </c:numRef>
          </c:cat>
          <c:val>
            <c:numRef>
              <c:f>'Operational Parameters'!$C$4:$C$34</c:f>
              <c:numCache>
                <c:formatCode>0.000</c:formatCode>
                <c:ptCount val="31"/>
              </c:numCache>
            </c:numRef>
          </c:val>
        </c:ser>
        <c:marker val="1"/>
        <c:axId val="80230656"/>
        <c:axId val="80241408"/>
      </c:lineChart>
      <c:lineChart>
        <c:grouping val="standard"/>
        <c:ser>
          <c:idx val="1"/>
          <c:order val="1"/>
          <c:tx>
            <c:v>Plant Load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'Operational Parameters'!$B$4:$B$34</c:f>
              <c:numCache>
                <c:formatCode>0.00</c:formatCode>
                <c:ptCount val="31"/>
              </c:numCache>
            </c:numRef>
          </c:val>
        </c:ser>
        <c:marker val="1"/>
        <c:axId val="80243328"/>
        <c:axId val="80245120"/>
      </c:lineChart>
      <c:dateAx>
        <c:axId val="80230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3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41408"/>
        <c:crossesAt val="-2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0241408"/>
        <c:scaling>
          <c:orientation val="minMax"/>
          <c:max val="1"/>
          <c:min val="-2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275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Vacumm(Kg/Cm</a:t>
                </a:r>
                <a:r>
                  <a:rPr lang="en-US" sz="275" b="1" i="0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  <a:r>
                  <a:rPr lang="en-US" sz="275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30656"/>
        <c:crosses val="autoZero"/>
        <c:crossBetween val="between"/>
        <c:majorUnit val="0.4"/>
        <c:minorUnit val="0.4"/>
      </c:valAx>
      <c:catAx>
        <c:axId val="80243328"/>
        <c:scaling>
          <c:orientation val="minMax"/>
        </c:scaling>
        <c:delete val="1"/>
        <c:axPos val="b"/>
        <c:tickLblPos val="none"/>
        <c:crossAx val="80245120"/>
        <c:crosses val="autoZero"/>
        <c:auto val="1"/>
        <c:lblAlgn val="ctr"/>
        <c:lblOffset val="100"/>
      </c:catAx>
      <c:valAx>
        <c:axId val="80245120"/>
        <c:scaling>
          <c:orientation val="minMax"/>
          <c:max val="24"/>
        </c:scaling>
        <c:axPos val="r"/>
        <c:title>
          <c:tx>
            <c:rich>
              <a:bodyPr/>
              <a:lstStyle/>
              <a:p>
                <a:pPr>
                  <a:defRPr lang="en-US" sz="2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Plant Load (MW)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.00" sourceLinked="1"/>
        <c:maj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n-US"/>
            </a:pPr>
            <a:endParaRPr lang="en-US"/>
          </a:p>
        </c:txPr>
        <c:crossAx val="80243328"/>
        <c:crosses val="max"/>
        <c:crossBetween val="between"/>
        <c:majorUnit val="3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TDS</a:t>
            </a:r>
          </a:p>
        </c:rich>
      </c:tx>
      <c:layout>
        <c:manualLayout>
          <c:xMode val="edge"/>
          <c:yMode val="edge"/>
          <c:x val="0.47515189692197568"/>
          <c:y val="2.474607340749074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72739056054167"/>
          <c:y val="0.19455252918287938"/>
          <c:w val="0.82545527828060961"/>
          <c:h val="0.56809338521400776"/>
        </c:manualLayout>
      </c:layout>
      <c:lineChart>
        <c:grouping val="standard"/>
        <c:ser>
          <c:idx val="1"/>
          <c:order val="0"/>
          <c:tx>
            <c:v>TDS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Tower'!$F$5:$F$35</c:f>
              <c:numCache>
                <c:formatCode>General</c:formatCode>
                <c:ptCount val="31"/>
                <c:pt idx="0">
                  <c:v>1618</c:v>
                </c:pt>
                <c:pt idx="1">
                  <c:v>1479</c:v>
                </c:pt>
                <c:pt idx="2">
                  <c:v>1420</c:v>
                </c:pt>
                <c:pt idx="3">
                  <c:v>1470</c:v>
                </c:pt>
                <c:pt idx="4">
                  <c:v>1450</c:v>
                </c:pt>
                <c:pt idx="5">
                  <c:v>1360</c:v>
                </c:pt>
                <c:pt idx="6">
                  <c:v>1353</c:v>
                </c:pt>
                <c:pt idx="7">
                  <c:v>1348</c:v>
                </c:pt>
                <c:pt idx="8">
                  <c:v>1431</c:v>
                </c:pt>
                <c:pt idx="9">
                  <c:v>1550</c:v>
                </c:pt>
                <c:pt idx="10">
                  <c:v>1218</c:v>
                </c:pt>
                <c:pt idx="11">
                  <c:v>1256</c:v>
                </c:pt>
                <c:pt idx="12">
                  <c:v>1378</c:v>
                </c:pt>
                <c:pt idx="13">
                  <c:v>1477</c:v>
                </c:pt>
                <c:pt idx="14">
                  <c:v>1490</c:v>
                </c:pt>
                <c:pt idx="15">
                  <c:v>1390</c:v>
                </c:pt>
                <c:pt idx="16">
                  <c:v>1459</c:v>
                </c:pt>
                <c:pt idx="17">
                  <c:v>1500</c:v>
                </c:pt>
                <c:pt idx="18">
                  <c:v>1504</c:v>
                </c:pt>
                <c:pt idx="19">
                  <c:v>1495</c:v>
                </c:pt>
                <c:pt idx="20">
                  <c:v>1500</c:v>
                </c:pt>
                <c:pt idx="21">
                  <c:v>1995</c:v>
                </c:pt>
                <c:pt idx="22">
                  <c:v>1883</c:v>
                </c:pt>
                <c:pt idx="23">
                  <c:v>1960</c:v>
                </c:pt>
                <c:pt idx="24">
                  <c:v>1800</c:v>
                </c:pt>
                <c:pt idx="25">
                  <c:v>1815</c:v>
                </c:pt>
                <c:pt idx="26">
                  <c:v>1816</c:v>
                </c:pt>
                <c:pt idx="27">
                  <c:v>1818</c:v>
                </c:pt>
                <c:pt idx="28">
                  <c:v>1880</c:v>
                </c:pt>
                <c:pt idx="29">
                  <c:v>1699</c:v>
                </c:pt>
              </c:numCache>
            </c:numRef>
          </c:val>
        </c:ser>
        <c:marker val="1"/>
        <c:axId val="80277504"/>
        <c:axId val="80279808"/>
      </c:lineChart>
      <c:dateAx>
        <c:axId val="80277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9090947267956064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79808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0279808"/>
        <c:scaling>
          <c:orientation val="minMax"/>
          <c:max val="300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  <a:endParaRPr lang="en-US" sz="1200" b="1" i="0" strike="noStrike" baseline="30000">
                  <a:solidFill>
                    <a:srgbClr val="0000FF"/>
                  </a:solidFill>
                  <a:latin typeface="Arial"/>
                  <a:cs typeface="Arial"/>
                </a:endParaRPr>
              </a:p>
            </c:rich>
          </c:tx>
          <c:layout>
            <c:manualLayout>
              <c:xMode val="edge"/>
              <c:yMode val="edge"/>
              <c:x val="1.8181818181818275E-3"/>
              <c:y val="0.41321293171687007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77504"/>
        <c:crosses val="autoZero"/>
        <c:crossBetween val="between"/>
        <c:majorUnit val="5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 horizontalDpi="-4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325" b="1" i="0" strike="noStrike">
                <a:solidFill>
                  <a:srgbClr val="0000FF"/>
                </a:solidFill>
                <a:latin typeface="Arial"/>
                <a:cs typeface="Arial"/>
              </a:rPr>
              <a:t>Iron</a:t>
            </a:r>
            <a:endParaRPr lang="en-US" sz="1325" b="1" i="0" strike="noStrike" baseline="-25000">
              <a:solidFill>
                <a:srgbClr val="0000FF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50671627585013357"/>
          <c:y val="4.061908928050662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2454234729557882"/>
          <c:y val="0.19455252918287938"/>
          <c:w val="0.83333482381600532"/>
          <c:h val="0.56809338521400776"/>
        </c:manualLayout>
      </c:layout>
      <c:lineChart>
        <c:grouping val="standard"/>
        <c:ser>
          <c:idx val="1"/>
          <c:order val="0"/>
          <c:tx>
            <c:v>Total Iron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Tower'!$N$5:$N$35</c:f>
              <c:numCache>
                <c:formatCode>0.0</c:formatCode>
                <c:ptCount val="3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0.3</c:v>
                </c:pt>
                <c:pt idx="16">
                  <c:v>0.3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</c:numCache>
            </c:numRef>
          </c:val>
        </c:ser>
        <c:marker val="1"/>
        <c:axId val="79857152"/>
        <c:axId val="80273408"/>
      </c:lineChart>
      <c:dateAx>
        <c:axId val="79857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534894676626988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73408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0273408"/>
        <c:scaling>
          <c:orientation val="minMax"/>
          <c:max val="2.5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 </a:t>
                </a: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5091575092395E-3"/>
              <c:y val="0.36808523934508341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857152"/>
        <c:crosses val="autoZero"/>
        <c:crossBetween val="between"/>
        <c:majorUnit val="0.5"/>
        <c:minorUnit val="1.0000000000000005E-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44" r="0.75000000000001144" t="1" header="0.5" footer="0.5"/>
    <c:pageSetup orientation="landscape" horizontalDpi="-4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Total</a:t>
            </a:r>
            <a:r>
              <a:rPr lang="en-US" baseline="0"/>
              <a:t> Alk.</a:t>
            </a:r>
            <a:endParaRPr lang="en-US"/>
          </a:p>
        </c:rich>
      </c:tx>
      <c:layout>
        <c:manualLayout>
          <c:xMode val="edge"/>
          <c:yMode val="edge"/>
          <c:x val="0.44363674540682413"/>
          <c:y val="2.474607340749074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72739056054172"/>
          <c:y val="0.19455252918287938"/>
          <c:w val="0.82545527828060961"/>
          <c:h val="0.56809338521400776"/>
        </c:manualLayout>
      </c:layout>
      <c:lineChart>
        <c:grouping val="standard"/>
        <c:ser>
          <c:idx val="1"/>
          <c:order val="0"/>
          <c:tx>
            <c:v>Total Alk.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Tower'!$L$5:$L$35</c:f>
              <c:numCache>
                <c:formatCode>0</c:formatCode>
                <c:ptCount val="31"/>
                <c:pt idx="0">
                  <c:v>120</c:v>
                </c:pt>
                <c:pt idx="1">
                  <c:v>150</c:v>
                </c:pt>
                <c:pt idx="2">
                  <c:v>160</c:v>
                </c:pt>
                <c:pt idx="3">
                  <c:v>165</c:v>
                </c:pt>
                <c:pt idx="4">
                  <c:v>160</c:v>
                </c:pt>
                <c:pt idx="5">
                  <c:v>150</c:v>
                </c:pt>
                <c:pt idx="6">
                  <c:v>170</c:v>
                </c:pt>
                <c:pt idx="7">
                  <c:v>170</c:v>
                </c:pt>
                <c:pt idx="8">
                  <c:v>160</c:v>
                </c:pt>
                <c:pt idx="9">
                  <c:v>160</c:v>
                </c:pt>
                <c:pt idx="10">
                  <c:v>170</c:v>
                </c:pt>
                <c:pt idx="11">
                  <c:v>170</c:v>
                </c:pt>
                <c:pt idx="12">
                  <c:v>180</c:v>
                </c:pt>
                <c:pt idx="13">
                  <c:v>165</c:v>
                </c:pt>
                <c:pt idx="14">
                  <c:v>170</c:v>
                </c:pt>
                <c:pt idx="15">
                  <c:v>180</c:v>
                </c:pt>
                <c:pt idx="16">
                  <c:v>165</c:v>
                </c:pt>
                <c:pt idx="17">
                  <c:v>160</c:v>
                </c:pt>
                <c:pt idx="18">
                  <c:v>160</c:v>
                </c:pt>
                <c:pt idx="19">
                  <c:v>170</c:v>
                </c:pt>
                <c:pt idx="20">
                  <c:v>180</c:v>
                </c:pt>
                <c:pt idx="21">
                  <c:v>185</c:v>
                </c:pt>
                <c:pt idx="22">
                  <c:v>182</c:v>
                </c:pt>
                <c:pt idx="23">
                  <c:v>180</c:v>
                </c:pt>
                <c:pt idx="24">
                  <c:v>185</c:v>
                </c:pt>
                <c:pt idx="25">
                  <c:v>170</c:v>
                </c:pt>
                <c:pt idx="26">
                  <c:v>165</c:v>
                </c:pt>
                <c:pt idx="27">
                  <c:v>160</c:v>
                </c:pt>
                <c:pt idx="28">
                  <c:v>170</c:v>
                </c:pt>
                <c:pt idx="29">
                  <c:v>170</c:v>
                </c:pt>
              </c:numCache>
            </c:numRef>
          </c:val>
        </c:ser>
        <c:marker val="1"/>
        <c:axId val="80288768"/>
        <c:axId val="80320000"/>
      </c:lineChart>
      <c:dateAx>
        <c:axId val="80288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9090947267956075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320000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0320000"/>
        <c:scaling>
          <c:orientation val="minMax"/>
          <c:max val="50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  <a:endParaRPr lang="en-US" sz="1200" b="1" i="0" strike="noStrike" baseline="30000">
                  <a:solidFill>
                    <a:srgbClr val="0000FF"/>
                  </a:solidFill>
                  <a:latin typeface="Arial"/>
                  <a:cs typeface="Arial"/>
                </a:endParaRPr>
              </a:p>
            </c:rich>
          </c:tx>
          <c:layout>
            <c:manualLayout>
              <c:xMode val="edge"/>
              <c:yMode val="edge"/>
              <c:x val="9.0909090909091356E-3"/>
              <c:y val="0.38675790526184473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88768"/>
        <c:crosses val="autoZero"/>
        <c:crossBetween val="between"/>
        <c:majorUnit val="1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55" r="0.75000000000001155" t="1" header="0.5" footer="0.5"/>
    <c:pageSetup orientation="landscape" horizontalDpi="-4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4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Sulphates</a:t>
            </a:r>
          </a:p>
        </c:rich>
      </c:tx>
      <c:layout>
        <c:manualLayout>
          <c:xMode val="edge"/>
          <c:yMode val="edge"/>
          <c:x val="0.42218175853018375"/>
          <c:y val="2.475340251342763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764716442078042"/>
          <c:y val="0.19844357976653695"/>
          <c:w val="0.84007428344213464"/>
          <c:h val="0.56420233463035019"/>
        </c:manualLayout>
      </c:layout>
      <c:lineChart>
        <c:grouping val="standard"/>
        <c:ser>
          <c:idx val="1"/>
          <c:order val="0"/>
          <c:tx>
            <c:v>Sulphates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Tower'!$P$5:$P$35</c:f>
              <c:numCache>
                <c:formatCode>0</c:formatCode>
                <c:ptCount val="31"/>
                <c:pt idx="0">
                  <c:v>893</c:v>
                </c:pt>
                <c:pt idx="1">
                  <c:v>984</c:v>
                </c:pt>
                <c:pt idx="2">
                  <c:v>916</c:v>
                </c:pt>
                <c:pt idx="3">
                  <c:v>966</c:v>
                </c:pt>
                <c:pt idx="4">
                  <c:v>952</c:v>
                </c:pt>
                <c:pt idx="5">
                  <c:v>938</c:v>
                </c:pt>
                <c:pt idx="6">
                  <c:v>942</c:v>
                </c:pt>
                <c:pt idx="7">
                  <c:v>956</c:v>
                </c:pt>
                <c:pt idx="8">
                  <c:v>943</c:v>
                </c:pt>
                <c:pt idx="9">
                  <c:v>929</c:v>
                </c:pt>
                <c:pt idx="10">
                  <c:v>910</c:v>
                </c:pt>
                <c:pt idx="11">
                  <c:v>925</c:v>
                </c:pt>
                <c:pt idx="12">
                  <c:v>938</c:v>
                </c:pt>
                <c:pt idx="13">
                  <c:v>949</c:v>
                </c:pt>
                <c:pt idx="14">
                  <c:v>936</c:v>
                </c:pt>
                <c:pt idx="15">
                  <c:v>921</c:v>
                </c:pt>
                <c:pt idx="16">
                  <c:v>910</c:v>
                </c:pt>
                <c:pt idx="17">
                  <c:v>924</c:v>
                </c:pt>
                <c:pt idx="18">
                  <c:v>930</c:v>
                </c:pt>
                <c:pt idx="19">
                  <c:v>935</c:v>
                </c:pt>
                <c:pt idx="20">
                  <c:v>960</c:v>
                </c:pt>
                <c:pt idx="21">
                  <c:v>946</c:v>
                </c:pt>
                <c:pt idx="22">
                  <c:v>930</c:v>
                </c:pt>
                <c:pt idx="23">
                  <c:v>912</c:v>
                </c:pt>
                <c:pt idx="24">
                  <c:v>898</c:v>
                </c:pt>
                <c:pt idx="25">
                  <c:v>915</c:v>
                </c:pt>
                <c:pt idx="26">
                  <c:v>930</c:v>
                </c:pt>
                <c:pt idx="27">
                  <c:v>935</c:v>
                </c:pt>
                <c:pt idx="28">
                  <c:v>943</c:v>
                </c:pt>
                <c:pt idx="29">
                  <c:v>918</c:v>
                </c:pt>
              </c:numCache>
            </c:numRef>
          </c:val>
        </c:ser>
        <c:marker val="1"/>
        <c:axId val="80618240"/>
        <c:axId val="80620544"/>
      </c:lineChart>
      <c:dateAx>
        <c:axId val="80618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161803303999412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620544"/>
        <c:crossesAt val="20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0620544"/>
        <c:scaling>
          <c:orientation val="minMax"/>
          <c:max val="1400"/>
          <c:min val="200"/>
        </c:scaling>
        <c:axPos val="l"/>
        <c:title>
          <c:tx>
            <c:rich>
              <a:bodyPr/>
              <a:lstStyle/>
              <a:p>
                <a:pPr>
                  <a:defRPr lang="en-US"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Silica ppm</a:t>
                </a:r>
              </a:p>
            </c:rich>
          </c:tx>
          <c:layout>
            <c:manualLayout>
              <c:xMode val="edge"/>
              <c:yMode val="edge"/>
              <c:x val="9.1911764705882547E-3"/>
              <c:y val="0.31517509727627213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618240"/>
        <c:crosses val="autoZero"/>
        <c:crossBetween val="between"/>
        <c:majorUnit val="200"/>
        <c:min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55" r="0.7500000000000115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Suspended Solids</a:t>
            </a:r>
          </a:p>
        </c:rich>
      </c:tx>
      <c:layout>
        <c:manualLayout>
          <c:xMode val="edge"/>
          <c:yMode val="edge"/>
          <c:x val="0.37575795752803626"/>
          <c:y val="3.0037078698496159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72739056054175"/>
          <c:y val="0.19455252918287938"/>
          <c:w val="0.82545527828060961"/>
          <c:h val="0.56809338521400776"/>
        </c:manualLayout>
      </c:layout>
      <c:lineChart>
        <c:grouping val="standard"/>
        <c:ser>
          <c:idx val="1"/>
          <c:order val="0"/>
          <c:tx>
            <c:v>Suspended Solids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Tower'!$O$5:$O$35</c:f>
              <c:numCache>
                <c:formatCode>0.0</c:formatCode>
                <c:ptCount val="31"/>
                <c:pt idx="0">
                  <c:v>240</c:v>
                </c:pt>
                <c:pt idx="1">
                  <c:v>236</c:v>
                </c:pt>
                <c:pt idx="2">
                  <c:v>208</c:v>
                </c:pt>
                <c:pt idx="3">
                  <c:v>170</c:v>
                </c:pt>
                <c:pt idx="4">
                  <c:v>154</c:v>
                </c:pt>
                <c:pt idx="5">
                  <c:v>120</c:v>
                </c:pt>
                <c:pt idx="6">
                  <c:v>98</c:v>
                </c:pt>
                <c:pt idx="7">
                  <c:v>90</c:v>
                </c:pt>
                <c:pt idx="8">
                  <c:v>80</c:v>
                </c:pt>
                <c:pt idx="9">
                  <c:v>101</c:v>
                </c:pt>
                <c:pt idx="10">
                  <c:v>88</c:v>
                </c:pt>
                <c:pt idx="11">
                  <c:v>74</c:v>
                </c:pt>
                <c:pt idx="12">
                  <c:v>60</c:v>
                </c:pt>
                <c:pt idx="13">
                  <c:v>48</c:v>
                </c:pt>
                <c:pt idx="14">
                  <c:v>40</c:v>
                </c:pt>
                <c:pt idx="15">
                  <c:v>75</c:v>
                </c:pt>
                <c:pt idx="16">
                  <c:v>76</c:v>
                </c:pt>
                <c:pt idx="17">
                  <c:v>45</c:v>
                </c:pt>
                <c:pt idx="18">
                  <c:v>76</c:v>
                </c:pt>
                <c:pt idx="19">
                  <c:v>110</c:v>
                </c:pt>
                <c:pt idx="20">
                  <c:v>50</c:v>
                </c:pt>
                <c:pt idx="21">
                  <c:v>45</c:v>
                </c:pt>
                <c:pt idx="22">
                  <c:v>42</c:v>
                </c:pt>
                <c:pt idx="23">
                  <c:v>35</c:v>
                </c:pt>
                <c:pt idx="24">
                  <c:v>30</c:v>
                </c:pt>
                <c:pt idx="25">
                  <c:v>62</c:v>
                </c:pt>
                <c:pt idx="26">
                  <c:v>60</c:v>
                </c:pt>
                <c:pt idx="27">
                  <c:v>62</c:v>
                </c:pt>
                <c:pt idx="28">
                  <c:v>63</c:v>
                </c:pt>
                <c:pt idx="29">
                  <c:v>44</c:v>
                </c:pt>
              </c:numCache>
            </c:numRef>
          </c:val>
        </c:ser>
        <c:marker val="1"/>
        <c:axId val="80645120"/>
        <c:axId val="76415744"/>
      </c:lineChart>
      <c:dateAx>
        <c:axId val="80645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9090947267956087"/>
              <c:y val="0.87159533073929962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415744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76415744"/>
        <c:scaling>
          <c:orientation val="minMax"/>
          <c:max val="8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  <a:endParaRPr lang="en-US" sz="1200" b="1" i="0" strike="noStrike" baseline="30000">
                  <a:solidFill>
                    <a:srgbClr val="0000FF"/>
                  </a:solidFill>
                  <a:latin typeface="Arial"/>
                  <a:cs typeface="Arial"/>
                </a:endParaRPr>
              </a:p>
            </c:rich>
          </c:tx>
          <c:layout>
            <c:manualLayout>
              <c:xMode val="edge"/>
              <c:yMode val="edge"/>
              <c:x val="1.8181818181818284E-3"/>
              <c:y val="0.41321293171687018"/>
            </c:manualLayout>
          </c:layout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645120"/>
        <c:crosses val="autoZero"/>
        <c:crossBetween val="between"/>
        <c:majorUnit val="10"/>
        <c:min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pH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tx>
            <c:v>pH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Tower'!$B$5:$B$35</c:f>
              <c:numCache>
                <c:formatCode>0.0</c:formatCode>
                <c:ptCount val="31"/>
                <c:pt idx="0">
                  <c:v>7.59</c:v>
                </c:pt>
                <c:pt idx="1">
                  <c:v>7.86</c:v>
                </c:pt>
                <c:pt idx="2">
                  <c:v>7.92</c:v>
                </c:pt>
                <c:pt idx="3">
                  <c:v>7.98</c:v>
                </c:pt>
                <c:pt idx="4">
                  <c:v>7.9</c:v>
                </c:pt>
                <c:pt idx="5">
                  <c:v>7.8</c:v>
                </c:pt>
                <c:pt idx="6">
                  <c:v>8.02</c:v>
                </c:pt>
                <c:pt idx="7">
                  <c:v>8</c:v>
                </c:pt>
                <c:pt idx="8">
                  <c:v>7.9</c:v>
                </c:pt>
                <c:pt idx="9">
                  <c:v>7.88</c:v>
                </c:pt>
                <c:pt idx="10">
                  <c:v>8.09</c:v>
                </c:pt>
                <c:pt idx="11">
                  <c:v>7.98</c:v>
                </c:pt>
                <c:pt idx="12">
                  <c:v>8.1199999999999992</c:v>
                </c:pt>
                <c:pt idx="13">
                  <c:v>7.94</c:v>
                </c:pt>
                <c:pt idx="14">
                  <c:v>7.98</c:v>
                </c:pt>
                <c:pt idx="15">
                  <c:v>8.02</c:v>
                </c:pt>
                <c:pt idx="16">
                  <c:v>7.89</c:v>
                </c:pt>
                <c:pt idx="17">
                  <c:v>7.8</c:v>
                </c:pt>
                <c:pt idx="18">
                  <c:v>7.8</c:v>
                </c:pt>
                <c:pt idx="19">
                  <c:v>7.96</c:v>
                </c:pt>
                <c:pt idx="20">
                  <c:v>8.0500000000000007</c:v>
                </c:pt>
                <c:pt idx="21">
                  <c:v>7.99</c:v>
                </c:pt>
                <c:pt idx="22">
                  <c:v>7.98</c:v>
                </c:pt>
                <c:pt idx="23">
                  <c:v>7.97</c:v>
                </c:pt>
                <c:pt idx="24">
                  <c:v>8.02</c:v>
                </c:pt>
                <c:pt idx="25">
                  <c:v>7.98</c:v>
                </c:pt>
                <c:pt idx="26">
                  <c:v>7.89</c:v>
                </c:pt>
                <c:pt idx="27">
                  <c:v>7.9</c:v>
                </c:pt>
                <c:pt idx="28">
                  <c:v>7.98</c:v>
                </c:pt>
                <c:pt idx="29">
                  <c:v>7.98</c:v>
                </c:pt>
              </c:numCache>
            </c:numRef>
          </c:val>
        </c:ser>
        <c:marker val="1"/>
        <c:axId val="80700160"/>
        <c:axId val="80702464"/>
      </c:lineChart>
      <c:dateAx>
        <c:axId val="80700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702464"/>
        <c:crossesAt val="6.5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0702464"/>
        <c:scaling>
          <c:orientation val="minMax"/>
          <c:max val="8.5"/>
          <c:min val="6.5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pH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700160"/>
        <c:crosses val="autoZero"/>
        <c:crossBetween val="between"/>
        <c:majorUnit val="0.3000000000000003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Turbidity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Tower'!$C$5:$C$35</c:f>
              <c:numCache>
                <c:formatCode>0.0</c:formatCode>
                <c:ptCount val="31"/>
                <c:pt idx="0">
                  <c:v>121</c:v>
                </c:pt>
                <c:pt idx="1">
                  <c:v>118</c:v>
                </c:pt>
                <c:pt idx="2">
                  <c:v>104</c:v>
                </c:pt>
                <c:pt idx="3">
                  <c:v>85</c:v>
                </c:pt>
                <c:pt idx="4">
                  <c:v>77</c:v>
                </c:pt>
                <c:pt idx="5">
                  <c:v>62</c:v>
                </c:pt>
                <c:pt idx="6">
                  <c:v>50</c:v>
                </c:pt>
                <c:pt idx="7">
                  <c:v>49</c:v>
                </c:pt>
                <c:pt idx="8">
                  <c:v>41</c:v>
                </c:pt>
                <c:pt idx="9">
                  <c:v>52</c:v>
                </c:pt>
                <c:pt idx="10">
                  <c:v>45</c:v>
                </c:pt>
                <c:pt idx="11">
                  <c:v>37</c:v>
                </c:pt>
                <c:pt idx="12">
                  <c:v>38</c:v>
                </c:pt>
                <c:pt idx="13">
                  <c:v>22</c:v>
                </c:pt>
                <c:pt idx="14">
                  <c:v>23</c:v>
                </c:pt>
                <c:pt idx="15">
                  <c:v>38</c:v>
                </c:pt>
                <c:pt idx="16">
                  <c:v>29</c:v>
                </c:pt>
                <c:pt idx="17">
                  <c:v>24</c:v>
                </c:pt>
                <c:pt idx="18">
                  <c:v>39</c:v>
                </c:pt>
                <c:pt idx="19">
                  <c:v>60</c:v>
                </c:pt>
                <c:pt idx="20">
                  <c:v>23</c:v>
                </c:pt>
                <c:pt idx="21">
                  <c:v>26</c:v>
                </c:pt>
                <c:pt idx="22">
                  <c:v>23</c:v>
                </c:pt>
                <c:pt idx="23">
                  <c:v>19</c:v>
                </c:pt>
                <c:pt idx="24">
                  <c:v>18</c:v>
                </c:pt>
                <c:pt idx="25">
                  <c:v>35</c:v>
                </c:pt>
                <c:pt idx="26">
                  <c:v>30</c:v>
                </c:pt>
                <c:pt idx="27">
                  <c:v>32</c:v>
                </c:pt>
                <c:pt idx="28">
                  <c:v>31</c:v>
                </c:pt>
                <c:pt idx="29">
                  <c:v>24</c:v>
                </c:pt>
              </c:numCache>
            </c:numRef>
          </c:val>
        </c:ser>
        <c:marker val="1"/>
        <c:axId val="80713984"/>
        <c:axId val="80954112"/>
      </c:lineChart>
      <c:dateAx>
        <c:axId val="80713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954112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0954112"/>
        <c:scaling>
          <c:orientation val="minMax"/>
          <c:max val="2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Turbidity (NTU)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713984"/>
        <c:crosses val="autoZero"/>
        <c:crossBetween val="between"/>
        <c:majorUnit val="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 horizontalDpi="300" verticalDpi="30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FRC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tx>
            <c:v>FRC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Tower'!$D$5:$D$35</c:f>
              <c:numCache>
                <c:formatCode>0.0</c:formatCode>
                <c:ptCount val="31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</c:numCache>
            </c:numRef>
          </c:val>
        </c:ser>
        <c:marker val="1"/>
        <c:axId val="80744448"/>
        <c:axId val="80746752"/>
      </c:lineChart>
      <c:dateAx>
        <c:axId val="80744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746752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0746752"/>
        <c:scaling>
          <c:orientation val="minMax"/>
          <c:max val="1.5"/>
          <c:min val="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FRC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744448"/>
        <c:crosses val="autoZero"/>
        <c:crossBetween val="between"/>
        <c:majorUnit val="0.3000000000000003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Total Hardness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Tower'!$G$5:$G$35</c:f>
              <c:numCache>
                <c:formatCode>General</c:formatCode>
                <c:ptCount val="31"/>
                <c:pt idx="0">
                  <c:v>1102</c:v>
                </c:pt>
                <c:pt idx="1">
                  <c:v>918</c:v>
                </c:pt>
                <c:pt idx="2">
                  <c:v>898</c:v>
                </c:pt>
                <c:pt idx="3">
                  <c:v>877</c:v>
                </c:pt>
                <c:pt idx="4">
                  <c:v>816</c:v>
                </c:pt>
                <c:pt idx="5">
                  <c:v>775</c:v>
                </c:pt>
                <c:pt idx="6">
                  <c:v>672</c:v>
                </c:pt>
                <c:pt idx="7">
                  <c:v>726</c:v>
                </c:pt>
                <c:pt idx="8">
                  <c:v>747</c:v>
                </c:pt>
                <c:pt idx="9">
                  <c:v>726</c:v>
                </c:pt>
                <c:pt idx="10">
                  <c:v>734</c:v>
                </c:pt>
                <c:pt idx="11">
                  <c:v>747</c:v>
                </c:pt>
                <c:pt idx="12">
                  <c:v>804</c:v>
                </c:pt>
                <c:pt idx="13">
                  <c:v>849</c:v>
                </c:pt>
                <c:pt idx="14">
                  <c:v>856</c:v>
                </c:pt>
                <c:pt idx="15">
                  <c:v>918</c:v>
                </c:pt>
                <c:pt idx="16">
                  <c:v>938</c:v>
                </c:pt>
                <c:pt idx="17">
                  <c:v>971</c:v>
                </c:pt>
                <c:pt idx="18">
                  <c:v>1089</c:v>
                </c:pt>
                <c:pt idx="19">
                  <c:v>969</c:v>
                </c:pt>
                <c:pt idx="20">
                  <c:v>990</c:v>
                </c:pt>
                <c:pt idx="21">
                  <c:v>1040</c:v>
                </c:pt>
                <c:pt idx="22">
                  <c:v>986</c:v>
                </c:pt>
                <c:pt idx="23">
                  <c:v>1019</c:v>
                </c:pt>
                <c:pt idx="24">
                  <c:v>953</c:v>
                </c:pt>
                <c:pt idx="25">
                  <c:v>1019</c:v>
                </c:pt>
                <c:pt idx="26">
                  <c:v>1027</c:v>
                </c:pt>
                <c:pt idx="27">
                  <c:v>1028</c:v>
                </c:pt>
                <c:pt idx="28">
                  <c:v>1040</c:v>
                </c:pt>
                <c:pt idx="29">
                  <c:v>899</c:v>
                </c:pt>
              </c:numCache>
            </c:numRef>
          </c:val>
        </c:ser>
        <c:marker val="1"/>
        <c:axId val="80778752"/>
        <c:axId val="80789504"/>
      </c:lineChart>
      <c:dateAx>
        <c:axId val="80778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789504"/>
        <c:crossesAt val="10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0789504"/>
        <c:scaling>
          <c:orientation val="minMax"/>
          <c:max val="1000"/>
          <c:min val="10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TH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778752"/>
        <c:crosses val="autoZero"/>
        <c:crossBetween val="between"/>
        <c:majorUnit val="2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CaH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Tower'!$H$5:$H$35</c:f>
              <c:numCache>
                <c:formatCode>General</c:formatCode>
                <c:ptCount val="31"/>
                <c:pt idx="0">
                  <c:v>672</c:v>
                </c:pt>
                <c:pt idx="1">
                  <c:v>560</c:v>
                </c:pt>
                <c:pt idx="2">
                  <c:v>530</c:v>
                </c:pt>
                <c:pt idx="3">
                  <c:v>510</c:v>
                </c:pt>
                <c:pt idx="4">
                  <c:v>449</c:v>
                </c:pt>
                <c:pt idx="5">
                  <c:v>428</c:v>
                </c:pt>
                <c:pt idx="6">
                  <c:v>401</c:v>
                </c:pt>
                <c:pt idx="7">
                  <c:v>416</c:v>
                </c:pt>
                <c:pt idx="8">
                  <c:v>428</c:v>
                </c:pt>
                <c:pt idx="9">
                  <c:v>420</c:v>
                </c:pt>
                <c:pt idx="10">
                  <c:v>428</c:v>
                </c:pt>
                <c:pt idx="11">
                  <c:v>428</c:v>
                </c:pt>
                <c:pt idx="12">
                  <c:v>469</c:v>
                </c:pt>
                <c:pt idx="13">
                  <c:v>510</c:v>
                </c:pt>
                <c:pt idx="14">
                  <c:v>518</c:v>
                </c:pt>
                <c:pt idx="15">
                  <c:v>694</c:v>
                </c:pt>
                <c:pt idx="16">
                  <c:v>550</c:v>
                </c:pt>
                <c:pt idx="17">
                  <c:v>571</c:v>
                </c:pt>
                <c:pt idx="18">
                  <c:v>679</c:v>
                </c:pt>
                <c:pt idx="19">
                  <c:v>575</c:v>
                </c:pt>
                <c:pt idx="20">
                  <c:v>580</c:v>
                </c:pt>
                <c:pt idx="21">
                  <c:v>582</c:v>
                </c:pt>
                <c:pt idx="22">
                  <c:v>574</c:v>
                </c:pt>
                <c:pt idx="23">
                  <c:v>624</c:v>
                </c:pt>
                <c:pt idx="24">
                  <c:v>562</c:v>
                </c:pt>
                <c:pt idx="25">
                  <c:v>603</c:v>
                </c:pt>
                <c:pt idx="26">
                  <c:v>611</c:v>
                </c:pt>
                <c:pt idx="27">
                  <c:v>613</c:v>
                </c:pt>
                <c:pt idx="28">
                  <c:v>624</c:v>
                </c:pt>
                <c:pt idx="29">
                  <c:v>556</c:v>
                </c:pt>
              </c:numCache>
            </c:numRef>
          </c:val>
        </c:ser>
        <c:marker val="1"/>
        <c:axId val="80834560"/>
        <c:axId val="80836096"/>
      </c:lineChart>
      <c:dateAx>
        <c:axId val="80834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836096"/>
        <c:crossesAt val="10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0836096"/>
        <c:scaling>
          <c:orientation val="minMax"/>
          <c:max val="500"/>
          <c:min val="10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CaH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834560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Chlorides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Tower'!$J$5:$J$35</c:f>
              <c:numCache>
                <c:formatCode>General</c:formatCode>
                <c:ptCount val="31"/>
                <c:pt idx="0">
                  <c:v>146</c:v>
                </c:pt>
                <c:pt idx="1">
                  <c:v>125</c:v>
                </c:pt>
                <c:pt idx="2">
                  <c:v>132</c:v>
                </c:pt>
                <c:pt idx="3">
                  <c:v>125</c:v>
                </c:pt>
                <c:pt idx="4">
                  <c:v>114</c:v>
                </c:pt>
                <c:pt idx="5">
                  <c:v>110</c:v>
                </c:pt>
                <c:pt idx="6">
                  <c:v>103</c:v>
                </c:pt>
                <c:pt idx="7">
                  <c:v>114</c:v>
                </c:pt>
                <c:pt idx="8">
                  <c:v>117</c:v>
                </c:pt>
                <c:pt idx="9">
                  <c:v>114</c:v>
                </c:pt>
                <c:pt idx="10">
                  <c:v>117</c:v>
                </c:pt>
                <c:pt idx="11">
                  <c:v>125</c:v>
                </c:pt>
                <c:pt idx="12">
                  <c:v>132</c:v>
                </c:pt>
                <c:pt idx="13">
                  <c:v>189</c:v>
                </c:pt>
                <c:pt idx="14">
                  <c:v>196</c:v>
                </c:pt>
                <c:pt idx="15">
                  <c:v>160</c:v>
                </c:pt>
                <c:pt idx="16">
                  <c:v>164</c:v>
                </c:pt>
                <c:pt idx="17">
                  <c:v>171</c:v>
                </c:pt>
                <c:pt idx="18">
                  <c:v>175</c:v>
                </c:pt>
                <c:pt idx="19">
                  <c:v>175</c:v>
                </c:pt>
                <c:pt idx="20">
                  <c:v>178</c:v>
                </c:pt>
                <c:pt idx="21">
                  <c:v>189</c:v>
                </c:pt>
                <c:pt idx="22">
                  <c:v>178</c:v>
                </c:pt>
                <c:pt idx="23">
                  <c:v>189</c:v>
                </c:pt>
                <c:pt idx="24">
                  <c:v>164</c:v>
                </c:pt>
                <c:pt idx="25">
                  <c:v>174</c:v>
                </c:pt>
                <c:pt idx="26">
                  <c:v>178</c:v>
                </c:pt>
                <c:pt idx="27">
                  <c:v>176</c:v>
                </c:pt>
                <c:pt idx="28">
                  <c:v>178</c:v>
                </c:pt>
                <c:pt idx="29">
                  <c:v>153</c:v>
                </c:pt>
              </c:numCache>
            </c:numRef>
          </c:val>
        </c:ser>
        <c:marker val="1"/>
        <c:axId val="80872192"/>
        <c:axId val="80874496"/>
      </c:lineChart>
      <c:dateAx>
        <c:axId val="80872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874496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0874496"/>
        <c:scaling>
          <c:orientation val="minMax"/>
          <c:max val="500"/>
          <c:min val="10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Chlorides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872192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 horizontalDpi="-4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75" b="1" i="0" strike="noStrike">
                <a:solidFill>
                  <a:srgbClr val="0000FF"/>
                </a:solidFill>
                <a:latin typeface="Arial"/>
                <a:cs typeface="Arial"/>
              </a:rPr>
              <a:t>Ortho PO</a:t>
            </a:r>
            <a:r>
              <a:rPr lang="en-US" sz="175" b="1" i="0" strike="noStrike" baseline="-25000">
                <a:solidFill>
                  <a:srgbClr val="0000FF"/>
                </a:solidFill>
                <a:latin typeface="Arial"/>
                <a:cs typeface="Arial"/>
              </a:rPr>
              <a:t>4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Tower'!$K$5:$K$35</c:f>
              <c:numCache>
                <c:formatCode>0.0</c:formatCode>
                <c:ptCount val="31"/>
                <c:pt idx="0">
                  <c:v>6.5</c:v>
                </c:pt>
                <c:pt idx="1">
                  <c:v>7.2</c:v>
                </c:pt>
                <c:pt idx="2">
                  <c:v>6.8</c:v>
                </c:pt>
                <c:pt idx="3">
                  <c:v>8</c:v>
                </c:pt>
                <c:pt idx="4">
                  <c:v>7.1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6.9</c:v>
                </c:pt>
                <c:pt idx="9">
                  <c:v>6.8</c:v>
                </c:pt>
                <c:pt idx="10">
                  <c:v>7</c:v>
                </c:pt>
                <c:pt idx="11">
                  <c:v>6.8</c:v>
                </c:pt>
                <c:pt idx="12">
                  <c:v>7.1</c:v>
                </c:pt>
                <c:pt idx="13">
                  <c:v>7.1</c:v>
                </c:pt>
                <c:pt idx="14">
                  <c:v>7.2</c:v>
                </c:pt>
                <c:pt idx="15">
                  <c:v>7.2</c:v>
                </c:pt>
                <c:pt idx="16">
                  <c:v>7.1</c:v>
                </c:pt>
                <c:pt idx="17">
                  <c:v>7</c:v>
                </c:pt>
                <c:pt idx="18">
                  <c:v>5.8</c:v>
                </c:pt>
                <c:pt idx="19">
                  <c:v>5.7</c:v>
                </c:pt>
                <c:pt idx="20">
                  <c:v>5.9</c:v>
                </c:pt>
                <c:pt idx="21">
                  <c:v>7.2</c:v>
                </c:pt>
                <c:pt idx="22">
                  <c:v>7.1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7.1</c:v>
                </c:pt>
                <c:pt idx="27">
                  <c:v>7.3</c:v>
                </c:pt>
                <c:pt idx="28">
                  <c:v>7.1</c:v>
                </c:pt>
                <c:pt idx="29">
                  <c:v>7.2</c:v>
                </c:pt>
              </c:numCache>
            </c:numRef>
          </c:val>
        </c:ser>
        <c:marker val="1"/>
        <c:axId val="80894592"/>
        <c:axId val="81007744"/>
      </c:lineChart>
      <c:dateAx>
        <c:axId val="80894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007744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1007744"/>
        <c:scaling>
          <c:orientation val="minMax"/>
          <c:max val="12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5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OPO</a:t>
                </a:r>
                <a:r>
                  <a:rPr lang="en-US" sz="150" b="1" i="0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4 </a:t>
                </a:r>
                <a:r>
                  <a:rPr lang="en-US" sz="15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894592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 horizontalDpi="-4" verticalDpi="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Conductivity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Tower'!$E$5:$E$35</c:f>
              <c:numCache>
                <c:formatCode>General</c:formatCode>
                <c:ptCount val="31"/>
                <c:pt idx="0">
                  <c:v>2390</c:v>
                </c:pt>
                <c:pt idx="1">
                  <c:v>2190</c:v>
                </c:pt>
                <c:pt idx="2">
                  <c:v>2100</c:v>
                </c:pt>
                <c:pt idx="3">
                  <c:v>2180</c:v>
                </c:pt>
                <c:pt idx="4">
                  <c:v>2150</c:v>
                </c:pt>
                <c:pt idx="5">
                  <c:v>2010</c:v>
                </c:pt>
                <c:pt idx="6">
                  <c:v>2000</c:v>
                </c:pt>
                <c:pt idx="7">
                  <c:v>1995</c:v>
                </c:pt>
                <c:pt idx="8">
                  <c:v>2050</c:v>
                </c:pt>
                <c:pt idx="9">
                  <c:v>2215</c:v>
                </c:pt>
                <c:pt idx="10">
                  <c:v>1740</c:v>
                </c:pt>
                <c:pt idx="11">
                  <c:v>1795</c:v>
                </c:pt>
                <c:pt idx="12">
                  <c:v>1968</c:v>
                </c:pt>
                <c:pt idx="13">
                  <c:v>2110</c:v>
                </c:pt>
                <c:pt idx="14">
                  <c:v>2128</c:v>
                </c:pt>
                <c:pt idx="15">
                  <c:v>1985</c:v>
                </c:pt>
                <c:pt idx="16">
                  <c:v>2084</c:v>
                </c:pt>
                <c:pt idx="17">
                  <c:v>2142</c:v>
                </c:pt>
                <c:pt idx="18">
                  <c:v>2150</c:v>
                </c:pt>
                <c:pt idx="19">
                  <c:v>2140</c:v>
                </c:pt>
                <c:pt idx="20">
                  <c:v>2142</c:v>
                </c:pt>
                <c:pt idx="21">
                  <c:v>2850</c:v>
                </c:pt>
                <c:pt idx="22">
                  <c:v>2690</c:v>
                </c:pt>
                <c:pt idx="23">
                  <c:v>2880</c:v>
                </c:pt>
                <c:pt idx="24">
                  <c:v>2571</c:v>
                </c:pt>
                <c:pt idx="25">
                  <c:v>2592</c:v>
                </c:pt>
                <c:pt idx="26">
                  <c:v>2595</c:v>
                </c:pt>
                <c:pt idx="27">
                  <c:v>2600</c:v>
                </c:pt>
                <c:pt idx="28">
                  <c:v>2685</c:v>
                </c:pt>
                <c:pt idx="29">
                  <c:v>2427</c:v>
                </c:pt>
              </c:numCache>
            </c:numRef>
          </c:val>
        </c:ser>
        <c:marker val="1"/>
        <c:axId val="81031552"/>
        <c:axId val="81033856"/>
      </c:lineChart>
      <c:dateAx>
        <c:axId val="81031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033856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1033856"/>
        <c:scaling>
          <c:orientation val="minMax"/>
          <c:max val="600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5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Mhos / cm</a:t>
                </a:r>
                <a:r>
                  <a:rPr lang="en-US" sz="150" b="1" i="0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031552"/>
        <c:crosses val="autoZero"/>
        <c:crossBetween val="between"/>
        <c:majorUnit val="10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 horizontalDpi="-4" verticalDpi="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COC (TH)</a:t>
            </a:r>
          </a:p>
        </c:rich>
      </c:tx>
      <c:layout>
        <c:manualLayout>
          <c:xMode val="edge"/>
          <c:yMode val="edge"/>
          <c:x val="0.41878826055833934"/>
          <c:y val="1.98412445407887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272737280484091"/>
          <c:y val="0.15079423515871526"/>
          <c:w val="0.84545529603630765"/>
          <c:h val="0.56396017299457246"/>
        </c:manualLayout>
      </c:layout>
      <c:lineChart>
        <c:grouping val="standard"/>
        <c:ser>
          <c:idx val="1"/>
          <c:order val="0"/>
          <c:tx>
            <c:v>COC (TH)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'Operational Parameters'!$A$4:$A$34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  <c:pt idx="30">
                  <c:v>0</c:v>
                </c:pt>
              </c:numCache>
            </c:numRef>
          </c:cat>
          <c:val>
            <c:numRef>
              <c:f>'Operational Parameters'!$D$4:$D$34</c:f>
              <c:numCache>
                <c:formatCode>0.0</c:formatCode>
                <c:ptCount val="31"/>
                <c:pt idx="0">
                  <c:v>8.609375</c:v>
                </c:pt>
                <c:pt idx="1">
                  <c:v>7.5245901639344259</c:v>
                </c:pt>
                <c:pt idx="2">
                  <c:v>7.4833333333333334</c:v>
                </c:pt>
                <c:pt idx="3">
                  <c:v>7.016</c:v>
                </c:pt>
                <c:pt idx="4">
                  <c:v>6.6885245901639347</c:v>
                </c:pt>
                <c:pt idx="5">
                  <c:v>6.3008130081300813</c:v>
                </c:pt>
                <c:pt idx="6">
                  <c:v>5.3760000000000003</c:v>
                </c:pt>
                <c:pt idx="7">
                  <c:v>5.7165354330708658</c:v>
                </c:pt>
                <c:pt idx="8">
                  <c:v>5.976</c:v>
                </c:pt>
                <c:pt idx="9">
                  <c:v>5.9508196721311473</c:v>
                </c:pt>
                <c:pt idx="10">
                  <c:v>6.0661157024793386</c:v>
                </c:pt>
                <c:pt idx="11">
                  <c:v>6.1229508196721314</c:v>
                </c:pt>
                <c:pt idx="12">
                  <c:v>6.4320000000000004</c:v>
                </c:pt>
                <c:pt idx="13">
                  <c:v>6.7919999999999998</c:v>
                </c:pt>
                <c:pt idx="14">
                  <c:v>6.903225806451613</c:v>
                </c:pt>
                <c:pt idx="15">
                  <c:v>7.171875</c:v>
                </c:pt>
                <c:pt idx="16">
                  <c:v>7.5039999999999996</c:v>
                </c:pt>
                <c:pt idx="17">
                  <c:v>8.0916666666666668</c:v>
                </c:pt>
                <c:pt idx="18">
                  <c:v>9.2288135593220346</c:v>
                </c:pt>
                <c:pt idx="19">
                  <c:v>8.4260869565217398</c:v>
                </c:pt>
                <c:pt idx="20">
                  <c:v>8.6086956521739122</c:v>
                </c:pt>
                <c:pt idx="21">
                  <c:v>8.8888888888888893</c:v>
                </c:pt>
                <c:pt idx="22">
                  <c:v>8.2166666666666668</c:v>
                </c:pt>
                <c:pt idx="23">
                  <c:v>8.7094017094017087</c:v>
                </c:pt>
                <c:pt idx="24">
                  <c:v>8.3596491228070171</c:v>
                </c:pt>
                <c:pt idx="25">
                  <c:v>9.0176991150442483</c:v>
                </c:pt>
                <c:pt idx="26">
                  <c:v>9.0087719298245617</c:v>
                </c:pt>
                <c:pt idx="27">
                  <c:v>9.0973451327433636</c:v>
                </c:pt>
                <c:pt idx="28">
                  <c:v>9.2857142857142865</c:v>
                </c:pt>
                <c:pt idx="29">
                  <c:v>7.683760683760684</c:v>
                </c:pt>
                <c:pt idx="30">
                  <c:v>0</c:v>
                </c:pt>
              </c:numCache>
            </c:numRef>
          </c:val>
        </c:ser>
        <c:marker val="1"/>
        <c:axId val="81139200"/>
        <c:axId val="81141760"/>
      </c:lineChart>
      <c:dateAx>
        <c:axId val="81139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8363674540682411"/>
              <c:y val="0.87301920593259175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141760"/>
        <c:crossesAt val="0"/>
        <c:auto val="1"/>
        <c:lblOffset val="100"/>
        <c:majorUnit val="2"/>
        <c:minorUnit val="1"/>
      </c:dateAx>
      <c:valAx>
        <c:axId val="81141760"/>
        <c:scaling>
          <c:orientation val="minMax"/>
          <c:max val="12"/>
          <c:min val="0"/>
        </c:scaling>
        <c:axPos val="l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COC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36904886889138888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139200"/>
        <c:crosses val="autoZero"/>
        <c:crossBetween val="between"/>
        <c:majorUnit val="2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2.7081078501551149E-2"/>
          <c:y val="0.89527665317139005"/>
          <c:w val="0.38826189453591031"/>
          <c:h val="8.3130904183535761E-2"/>
        </c:manualLayout>
      </c:layout>
      <c:spPr>
        <a:ln>
          <a:solidFill>
            <a:sysClr val="windowText" lastClr="000000"/>
          </a:solidFill>
        </a:ln>
      </c:spPr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Silica</a:t>
            </a:r>
          </a:p>
        </c:rich>
      </c:tx>
      <c:layout/>
      <c:spPr>
        <a:noFill/>
        <a:ln w="25400">
          <a:noFill/>
        </a:ln>
      </c:spPr>
    </c:title>
    <c:plotArea>
      <c:layout/>
      <c:lineChart>
        <c:grouping val="standard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'Cooling Tower'!$A$5:$A$35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</c:numCache>
            </c:numRef>
          </c:cat>
          <c:val>
            <c:numRef>
              <c:f>'Cooling Tower'!$Q$5:$Q$35</c:f>
              <c:numCache>
                <c:formatCode>0</c:formatCode>
                <c:ptCount val="31"/>
                <c:pt idx="0">
                  <c:v>95</c:v>
                </c:pt>
                <c:pt idx="1">
                  <c:v>91</c:v>
                </c:pt>
                <c:pt idx="2">
                  <c:v>98</c:v>
                </c:pt>
                <c:pt idx="3">
                  <c:v>110</c:v>
                </c:pt>
                <c:pt idx="4">
                  <c:v>113</c:v>
                </c:pt>
                <c:pt idx="5">
                  <c:v>108</c:v>
                </c:pt>
                <c:pt idx="6">
                  <c:v>110</c:v>
                </c:pt>
                <c:pt idx="7">
                  <c:v>112</c:v>
                </c:pt>
                <c:pt idx="8">
                  <c:v>110</c:v>
                </c:pt>
                <c:pt idx="9">
                  <c:v>108</c:v>
                </c:pt>
                <c:pt idx="10">
                  <c:v>110</c:v>
                </c:pt>
                <c:pt idx="11">
                  <c:v>108</c:v>
                </c:pt>
                <c:pt idx="12">
                  <c:v>112</c:v>
                </c:pt>
                <c:pt idx="13">
                  <c:v>110</c:v>
                </c:pt>
                <c:pt idx="14">
                  <c:v>102</c:v>
                </c:pt>
                <c:pt idx="15">
                  <c:v>108</c:v>
                </c:pt>
                <c:pt idx="16">
                  <c:v>105</c:v>
                </c:pt>
                <c:pt idx="17">
                  <c:v>108</c:v>
                </c:pt>
                <c:pt idx="18">
                  <c:v>110</c:v>
                </c:pt>
                <c:pt idx="19">
                  <c:v>113</c:v>
                </c:pt>
                <c:pt idx="20">
                  <c:v>115</c:v>
                </c:pt>
                <c:pt idx="21">
                  <c:v>121</c:v>
                </c:pt>
                <c:pt idx="22">
                  <c:v>118</c:v>
                </c:pt>
                <c:pt idx="23">
                  <c:v>111</c:v>
                </c:pt>
                <c:pt idx="24">
                  <c:v>102</c:v>
                </c:pt>
                <c:pt idx="25">
                  <c:v>108</c:v>
                </c:pt>
                <c:pt idx="26">
                  <c:v>110</c:v>
                </c:pt>
                <c:pt idx="27">
                  <c:v>115</c:v>
                </c:pt>
                <c:pt idx="28">
                  <c:v>120</c:v>
                </c:pt>
                <c:pt idx="29">
                  <c:v>110</c:v>
                </c:pt>
              </c:numCache>
            </c:numRef>
          </c:val>
        </c:ser>
        <c:marker val="1"/>
        <c:axId val="81165696"/>
        <c:axId val="81192832"/>
      </c:lineChart>
      <c:dateAx>
        <c:axId val="81165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192832"/>
        <c:crossesAt val="0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81192832"/>
        <c:scaling>
          <c:orientation val="minMax"/>
          <c:max val="200"/>
          <c:min val="0"/>
        </c:scaling>
        <c:axPos val="l"/>
        <c:title>
          <c:tx>
            <c:rich>
              <a:bodyPr/>
              <a:lstStyle/>
              <a:p>
                <a:pPr>
                  <a:defRPr lang="en-US"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Silica ppm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165696"/>
        <c:crosses val="autoZero"/>
        <c:crossBetween val="between"/>
        <c:majorUnit val="40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Condenser Vacumm vs Plant Load</a:t>
            </a:r>
          </a:p>
        </c:rich>
      </c:tx>
      <c:layout>
        <c:manualLayout>
          <c:xMode val="edge"/>
          <c:yMode val="edge"/>
          <c:x val="0.23454564543068479"/>
          <c:y val="1.945525291828794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2727284026352967"/>
          <c:y val="0.15953307392996124"/>
          <c:w val="0.7563643078518355"/>
          <c:h val="0.5603112840466925"/>
        </c:manualLayout>
      </c:layout>
      <c:lineChart>
        <c:grouping val="standard"/>
        <c:ser>
          <c:idx val="0"/>
          <c:order val="0"/>
          <c:tx>
            <c:v>Condenser Vacumm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'Operational Parameters'!$A$4:$A$34</c:f>
              <c:numCache>
                <c:formatCode>dd\.mm\.yy</c:formatCode>
                <c:ptCount val="31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  <c:pt idx="4">
                  <c:v>41369</c:v>
                </c:pt>
                <c:pt idx="5">
                  <c:v>41370</c:v>
                </c:pt>
                <c:pt idx="6">
                  <c:v>41371</c:v>
                </c:pt>
                <c:pt idx="7">
                  <c:v>41372</c:v>
                </c:pt>
                <c:pt idx="8">
                  <c:v>41373</c:v>
                </c:pt>
                <c:pt idx="9">
                  <c:v>41374</c:v>
                </c:pt>
                <c:pt idx="10">
                  <c:v>41375</c:v>
                </c:pt>
                <c:pt idx="11">
                  <c:v>41376</c:v>
                </c:pt>
                <c:pt idx="12">
                  <c:v>41377</c:v>
                </c:pt>
                <c:pt idx="13">
                  <c:v>41378</c:v>
                </c:pt>
                <c:pt idx="14">
                  <c:v>41379</c:v>
                </c:pt>
                <c:pt idx="15">
                  <c:v>41380</c:v>
                </c:pt>
                <c:pt idx="16">
                  <c:v>41381</c:v>
                </c:pt>
                <c:pt idx="17">
                  <c:v>41382</c:v>
                </c:pt>
                <c:pt idx="18">
                  <c:v>41383</c:v>
                </c:pt>
                <c:pt idx="19">
                  <c:v>41384</c:v>
                </c:pt>
                <c:pt idx="20">
                  <c:v>41385</c:v>
                </c:pt>
                <c:pt idx="21">
                  <c:v>41386</c:v>
                </c:pt>
                <c:pt idx="22">
                  <c:v>41387</c:v>
                </c:pt>
                <c:pt idx="23">
                  <c:v>41388</c:v>
                </c:pt>
                <c:pt idx="24">
                  <c:v>41389</c:v>
                </c:pt>
                <c:pt idx="25">
                  <c:v>41390</c:v>
                </c:pt>
                <c:pt idx="26">
                  <c:v>41391</c:v>
                </c:pt>
                <c:pt idx="27">
                  <c:v>41392</c:v>
                </c:pt>
                <c:pt idx="28">
                  <c:v>41393</c:v>
                </c:pt>
                <c:pt idx="29">
                  <c:v>41394</c:v>
                </c:pt>
                <c:pt idx="30">
                  <c:v>0</c:v>
                </c:pt>
              </c:numCache>
            </c:numRef>
          </c:cat>
          <c:val>
            <c:numRef>
              <c:f>'Operational Parameters'!$C$4:$C$34</c:f>
              <c:numCache>
                <c:formatCode>0.000</c:formatCode>
                <c:ptCount val="31"/>
              </c:numCache>
            </c:numRef>
          </c:val>
        </c:ser>
        <c:marker val="1"/>
        <c:axId val="81120256"/>
        <c:axId val="81122816"/>
      </c:lineChart>
      <c:lineChart>
        <c:grouping val="standard"/>
        <c:ser>
          <c:idx val="1"/>
          <c:order val="1"/>
          <c:tx>
            <c:v>Plant Load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'Operational Parameters'!$B$4:$B$34</c:f>
              <c:numCache>
                <c:formatCode>0.00</c:formatCode>
                <c:ptCount val="31"/>
              </c:numCache>
            </c:numRef>
          </c:val>
        </c:ser>
        <c:marker val="1"/>
        <c:axId val="81124736"/>
        <c:axId val="82248832"/>
      </c:lineChart>
      <c:dateAx>
        <c:axId val="81120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5272765449773023"/>
              <c:y val="0.86770428015564205"/>
            </c:manualLayout>
          </c:layout>
          <c:spPr>
            <a:noFill/>
            <a:ln w="25400">
              <a:noFill/>
            </a:ln>
          </c:spPr>
        </c:title>
        <c:numFmt formatCode="dd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lang="en-US" sz="1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122816"/>
        <c:crossesAt val="-2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81122816"/>
        <c:scaling>
          <c:orientation val="minMax"/>
          <c:max val="1"/>
          <c:min val="-2"/>
        </c:scaling>
        <c:axPos val="l"/>
        <c:title>
          <c:tx>
            <c:rich>
              <a:bodyPr/>
              <a:lstStyle/>
              <a:p>
                <a:pPr>
                  <a:defRPr lang="en-US"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Vacumm(Kg/Cm</a:t>
                </a:r>
                <a:r>
                  <a:rPr lang="en-US" sz="1000" b="1" i="0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  <a:r>
                  <a:rPr lang="en-US" sz="1000" b="1" i="0" strike="noStrike">
                    <a:solidFill>
                      <a:srgbClr val="0000FF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9.0909090909091547E-3"/>
              <c:y val="0.26848249027238186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120256"/>
        <c:crosses val="autoZero"/>
        <c:crossBetween val="between"/>
        <c:majorUnit val="0.4"/>
        <c:minorUnit val="0.4"/>
      </c:valAx>
      <c:catAx>
        <c:axId val="81124736"/>
        <c:scaling>
          <c:orientation val="minMax"/>
        </c:scaling>
        <c:delete val="1"/>
        <c:axPos val="b"/>
        <c:tickLblPos val="none"/>
        <c:crossAx val="82248832"/>
        <c:crosses val="autoZero"/>
        <c:auto val="1"/>
        <c:lblAlgn val="ctr"/>
        <c:lblOffset val="100"/>
      </c:catAx>
      <c:valAx>
        <c:axId val="82248832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 lang="en-US" sz="9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Plant Load (MW)</a:t>
                </a:r>
              </a:p>
            </c:rich>
          </c:tx>
          <c:layout>
            <c:manualLayout>
              <c:xMode val="edge"/>
              <c:yMode val="edge"/>
              <c:x val="0.95090985445002985"/>
              <c:y val="0.22957198443579771"/>
            </c:manualLayout>
          </c:layout>
          <c:spPr>
            <a:noFill/>
            <a:ln w="25400">
              <a:noFill/>
            </a:ln>
          </c:spPr>
        </c:title>
        <c:numFmt formatCode="0.0" sourceLinked="0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124736"/>
        <c:crosses val="max"/>
        <c:crossBetween val="between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4181875447388894"/>
          <c:y val="0.90272373540856365"/>
          <c:w val="0.44363674540682413"/>
          <c:h val="8.56031128404670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32" r="0.75000000000001132" t="1" header="0.5" footer="0.5"/>
    <c:pageSetup orientation="landscape" horizontalDpi="-4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8</xdr:row>
      <xdr:rowOff>66675</xdr:rowOff>
    </xdr:from>
    <xdr:to>
      <xdr:col>4</xdr:col>
      <xdr:colOff>180975</xdr:colOff>
      <xdr:row>9</xdr:row>
      <xdr:rowOff>28575</xdr:rowOff>
    </xdr:to>
    <xdr:sp macro="" textlink="">
      <xdr:nvSpPr>
        <xdr:cNvPr id="1254" name="Oval 1"/>
        <xdr:cNvSpPr>
          <a:spLocks noChangeArrowheads="1"/>
        </xdr:cNvSpPr>
      </xdr:nvSpPr>
      <xdr:spPr bwMode="auto">
        <a:xfrm>
          <a:off x="2505075" y="1362075"/>
          <a:ext cx="11430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104775</xdr:colOff>
      <xdr:row>0</xdr:row>
      <xdr:rowOff>66675</xdr:rowOff>
    </xdr:from>
    <xdr:to>
      <xdr:col>8</xdr:col>
      <xdr:colOff>466725</xdr:colOff>
      <xdr:row>15</xdr:row>
      <xdr:rowOff>85725</xdr:rowOff>
    </xdr:to>
    <xdr:graphicFrame macro="">
      <xdr:nvGraphicFramePr>
        <xdr:cNvPr id="125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85725</xdr:colOff>
      <xdr:row>6</xdr:row>
      <xdr:rowOff>15875</xdr:rowOff>
    </xdr:from>
    <xdr:to>
      <xdr:col>8</xdr:col>
      <xdr:colOff>276225</xdr:colOff>
      <xdr:row>6</xdr:row>
      <xdr:rowOff>25400</xdr:rowOff>
    </xdr:to>
    <xdr:sp macro="" textlink="">
      <xdr:nvSpPr>
        <xdr:cNvPr id="1256" name="Line 3"/>
        <xdr:cNvSpPr>
          <a:spLocks noChangeShapeType="1"/>
        </xdr:cNvSpPr>
      </xdr:nvSpPr>
      <xdr:spPr bwMode="auto">
        <a:xfrm>
          <a:off x="695325" y="968375"/>
          <a:ext cx="4457700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1</xdr:col>
      <xdr:colOff>76200</xdr:colOff>
      <xdr:row>7</xdr:row>
      <xdr:rowOff>92075</xdr:rowOff>
    </xdr:from>
    <xdr:to>
      <xdr:col>8</xdr:col>
      <xdr:colOff>257175</xdr:colOff>
      <xdr:row>7</xdr:row>
      <xdr:rowOff>120650</xdr:rowOff>
    </xdr:to>
    <xdr:sp macro="" textlink="">
      <xdr:nvSpPr>
        <xdr:cNvPr id="1257" name="Line 4"/>
        <xdr:cNvSpPr>
          <a:spLocks noChangeShapeType="1"/>
        </xdr:cNvSpPr>
      </xdr:nvSpPr>
      <xdr:spPr bwMode="auto">
        <a:xfrm>
          <a:off x="685800" y="1203325"/>
          <a:ext cx="4448175" cy="2857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104775</xdr:colOff>
      <xdr:row>16</xdr:row>
      <xdr:rowOff>85725</xdr:rowOff>
    </xdr:from>
    <xdr:to>
      <xdr:col>8</xdr:col>
      <xdr:colOff>466725</xdr:colOff>
      <xdr:row>31</xdr:row>
      <xdr:rowOff>104775</xdr:rowOff>
    </xdr:to>
    <xdr:graphicFrame macro="">
      <xdr:nvGraphicFramePr>
        <xdr:cNvPr id="125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152400</xdr:colOff>
      <xdr:row>24</xdr:row>
      <xdr:rowOff>98425</xdr:rowOff>
    </xdr:from>
    <xdr:to>
      <xdr:col>8</xdr:col>
      <xdr:colOff>247650</xdr:colOff>
      <xdr:row>24</xdr:row>
      <xdr:rowOff>98425</xdr:rowOff>
    </xdr:to>
    <xdr:sp macro="" textlink="">
      <xdr:nvSpPr>
        <xdr:cNvPr id="1259" name="Line 6"/>
        <xdr:cNvSpPr>
          <a:spLocks noChangeShapeType="1"/>
        </xdr:cNvSpPr>
      </xdr:nvSpPr>
      <xdr:spPr bwMode="auto">
        <a:xfrm>
          <a:off x="762000" y="3908425"/>
          <a:ext cx="436245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133350</xdr:colOff>
      <xdr:row>32</xdr:row>
      <xdr:rowOff>123825</xdr:rowOff>
    </xdr:from>
    <xdr:to>
      <xdr:col>8</xdr:col>
      <xdr:colOff>495300</xdr:colOff>
      <xdr:row>47</xdr:row>
      <xdr:rowOff>142875</xdr:rowOff>
    </xdr:to>
    <xdr:graphicFrame macro="">
      <xdr:nvGraphicFramePr>
        <xdr:cNvPr id="126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123825</xdr:colOff>
      <xdr:row>40</xdr:row>
      <xdr:rowOff>6350</xdr:rowOff>
    </xdr:from>
    <xdr:to>
      <xdr:col>8</xdr:col>
      <xdr:colOff>266700</xdr:colOff>
      <xdr:row>40</xdr:row>
      <xdr:rowOff>6350</xdr:rowOff>
    </xdr:to>
    <xdr:sp macro="" textlink="">
      <xdr:nvSpPr>
        <xdr:cNvPr id="1261" name="Line 8"/>
        <xdr:cNvSpPr>
          <a:spLocks noChangeShapeType="1"/>
        </xdr:cNvSpPr>
      </xdr:nvSpPr>
      <xdr:spPr bwMode="auto">
        <a:xfrm>
          <a:off x="733425" y="6356350"/>
          <a:ext cx="441007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1</xdr:col>
      <xdr:colOff>95250</xdr:colOff>
      <xdr:row>42</xdr:row>
      <xdr:rowOff>85725</xdr:rowOff>
    </xdr:from>
    <xdr:to>
      <xdr:col>8</xdr:col>
      <xdr:colOff>228600</xdr:colOff>
      <xdr:row>42</xdr:row>
      <xdr:rowOff>85725</xdr:rowOff>
    </xdr:to>
    <xdr:sp macro="" textlink="">
      <xdr:nvSpPr>
        <xdr:cNvPr id="1262" name="Line 9"/>
        <xdr:cNvSpPr>
          <a:spLocks noChangeShapeType="1"/>
        </xdr:cNvSpPr>
      </xdr:nvSpPr>
      <xdr:spPr bwMode="auto">
        <a:xfrm>
          <a:off x="704850" y="6753225"/>
          <a:ext cx="440055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9</xdr:col>
      <xdr:colOff>104775</xdr:colOff>
      <xdr:row>0</xdr:row>
      <xdr:rowOff>66675</xdr:rowOff>
    </xdr:from>
    <xdr:to>
      <xdr:col>17</xdr:col>
      <xdr:colOff>466725</xdr:colOff>
      <xdr:row>15</xdr:row>
      <xdr:rowOff>85725</xdr:rowOff>
    </xdr:to>
    <xdr:graphicFrame macro="">
      <xdr:nvGraphicFramePr>
        <xdr:cNvPr id="1263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95250</xdr:colOff>
      <xdr:row>16</xdr:row>
      <xdr:rowOff>85725</xdr:rowOff>
    </xdr:from>
    <xdr:to>
      <xdr:col>17</xdr:col>
      <xdr:colOff>457200</xdr:colOff>
      <xdr:row>31</xdr:row>
      <xdr:rowOff>104775</xdr:rowOff>
    </xdr:to>
    <xdr:graphicFrame macro="">
      <xdr:nvGraphicFramePr>
        <xdr:cNvPr id="1264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104775</xdr:colOff>
      <xdr:row>32</xdr:row>
      <xdr:rowOff>76200</xdr:rowOff>
    </xdr:from>
    <xdr:to>
      <xdr:col>17</xdr:col>
      <xdr:colOff>466725</xdr:colOff>
      <xdr:row>47</xdr:row>
      <xdr:rowOff>95250</xdr:rowOff>
    </xdr:to>
    <xdr:graphicFrame macro="">
      <xdr:nvGraphicFramePr>
        <xdr:cNvPr id="1265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104775</xdr:colOff>
      <xdr:row>38</xdr:row>
      <xdr:rowOff>50800</xdr:rowOff>
    </xdr:from>
    <xdr:to>
      <xdr:col>17</xdr:col>
      <xdr:colOff>219075</xdr:colOff>
      <xdr:row>38</xdr:row>
      <xdr:rowOff>50800</xdr:rowOff>
    </xdr:to>
    <xdr:sp macro="" textlink="">
      <xdr:nvSpPr>
        <xdr:cNvPr id="1267" name="Line 14"/>
        <xdr:cNvSpPr>
          <a:spLocks noChangeShapeType="1"/>
        </xdr:cNvSpPr>
      </xdr:nvSpPr>
      <xdr:spPr bwMode="auto">
        <a:xfrm>
          <a:off x="6200775" y="6083300"/>
          <a:ext cx="43815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27</xdr:col>
      <xdr:colOff>117475</xdr:colOff>
      <xdr:row>0</xdr:row>
      <xdr:rowOff>76200</xdr:rowOff>
    </xdr:from>
    <xdr:to>
      <xdr:col>35</xdr:col>
      <xdr:colOff>441325</xdr:colOff>
      <xdr:row>15</xdr:row>
      <xdr:rowOff>95250</xdr:rowOff>
    </xdr:to>
    <xdr:graphicFrame macro="">
      <xdr:nvGraphicFramePr>
        <xdr:cNvPr id="1268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212725</xdr:colOff>
      <xdr:row>0</xdr:row>
      <xdr:rowOff>95250</xdr:rowOff>
    </xdr:from>
    <xdr:to>
      <xdr:col>26</xdr:col>
      <xdr:colOff>574675</xdr:colOff>
      <xdr:row>15</xdr:row>
      <xdr:rowOff>114300</xdr:rowOff>
    </xdr:to>
    <xdr:graphicFrame macro="">
      <xdr:nvGraphicFramePr>
        <xdr:cNvPr id="1269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307975</xdr:colOff>
      <xdr:row>4</xdr:row>
      <xdr:rowOff>142875</xdr:rowOff>
    </xdr:from>
    <xdr:to>
      <xdr:col>26</xdr:col>
      <xdr:colOff>336550</xdr:colOff>
      <xdr:row>4</xdr:row>
      <xdr:rowOff>152400</xdr:rowOff>
    </xdr:to>
    <xdr:sp macro="" textlink="">
      <xdr:nvSpPr>
        <xdr:cNvPr id="1270" name="Line 25"/>
        <xdr:cNvSpPr>
          <a:spLocks noChangeShapeType="1"/>
        </xdr:cNvSpPr>
      </xdr:nvSpPr>
      <xdr:spPr bwMode="auto">
        <a:xfrm>
          <a:off x="11890375" y="777875"/>
          <a:ext cx="4295775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27</xdr:col>
      <xdr:colOff>0</xdr:colOff>
      <xdr:row>0</xdr:row>
      <xdr:rowOff>123825</xdr:rowOff>
    </xdr:from>
    <xdr:to>
      <xdr:col>27</xdr:col>
      <xdr:colOff>0</xdr:colOff>
      <xdr:row>15</xdr:row>
      <xdr:rowOff>95250</xdr:rowOff>
    </xdr:to>
    <xdr:graphicFrame macro="">
      <xdr:nvGraphicFramePr>
        <xdr:cNvPr id="1271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16</xdr:row>
      <xdr:rowOff>104775</xdr:rowOff>
    </xdr:from>
    <xdr:to>
      <xdr:col>27</xdr:col>
      <xdr:colOff>0</xdr:colOff>
      <xdr:row>31</xdr:row>
      <xdr:rowOff>123825</xdr:rowOff>
    </xdr:to>
    <xdr:graphicFrame macro="">
      <xdr:nvGraphicFramePr>
        <xdr:cNvPr id="1272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0</xdr:colOff>
      <xdr:row>5</xdr:row>
      <xdr:rowOff>38100</xdr:rowOff>
    </xdr:from>
    <xdr:to>
      <xdr:col>27</xdr:col>
      <xdr:colOff>0</xdr:colOff>
      <xdr:row>5</xdr:row>
      <xdr:rowOff>47625</xdr:rowOff>
    </xdr:to>
    <xdr:sp macro="" textlink="">
      <xdr:nvSpPr>
        <xdr:cNvPr id="1273" name="Line 41"/>
        <xdr:cNvSpPr>
          <a:spLocks noChangeShapeType="1"/>
        </xdr:cNvSpPr>
      </xdr:nvSpPr>
      <xdr:spPr bwMode="auto">
        <a:xfrm>
          <a:off x="16592550" y="847725"/>
          <a:ext cx="0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4</xdr:row>
      <xdr:rowOff>127000</xdr:rowOff>
    </xdr:from>
    <xdr:to>
      <xdr:col>17</xdr:col>
      <xdr:colOff>228600</xdr:colOff>
      <xdr:row>4</xdr:row>
      <xdr:rowOff>127000</xdr:rowOff>
    </xdr:to>
    <xdr:sp macro="" textlink="">
      <xdr:nvSpPr>
        <xdr:cNvPr id="1274" name="Line 42"/>
        <xdr:cNvSpPr>
          <a:spLocks noChangeShapeType="1"/>
        </xdr:cNvSpPr>
      </xdr:nvSpPr>
      <xdr:spPr bwMode="auto">
        <a:xfrm>
          <a:off x="6286500" y="762000"/>
          <a:ext cx="43053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28</xdr:col>
      <xdr:colOff>127000</xdr:colOff>
      <xdr:row>6</xdr:row>
      <xdr:rowOff>133350</xdr:rowOff>
    </xdr:from>
    <xdr:to>
      <xdr:col>35</xdr:col>
      <xdr:colOff>212725</xdr:colOff>
      <xdr:row>6</xdr:row>
      <xdr:rowOff>133350</xdr:rowOff>
    </xdr:to>
    <xdr:sp macro="" textlink="">
      <xdr:nvSpPr>
        <xdr:cNvPr id="1276" name="Line 26"/>
        <xdr:cNvSpPr>
          <a:spLocks noChangeShapeType="1"/>
        </xdr:cNvSpPr>
      </xdr:nvSpPr>
      <xdr:spPr bwMode="auto">
        <a:xfrm>
          <a:off x="17329150" y="1104900"/>
          <a:ext cx="435292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28</xdr:col>
      <xdr:colOff>146050</xdr:colOff>
      <xdr:row>8</xdr:row>
      <xdr:rowOff>95250</xdr:rowOff>
    </xdr:from>
    <xdr:to>
      <xdr:col>35</xdr:col>
      <xdr:colOff>231775</xdr:colOff>
      <xdr:row>8</xdr:row>
      <xdr:rowOff>95250</xdr:rowOff>
    </xdr:to>
    <xdr:sp macro="" textlink="">
      <xdr:nvSpPr>
        <xdr:cNvPr id="1278" name="Line 45"/>
        <xdr:cNvSpPr>
          <a:spLocks noChangeShapeType="1"/>
        </xdr:cNvSpPr>
      </xdr:nvSpPr>
      <xdr:spPr bwMode="auto">
        <a:xfrm>
          <a:off x="17348200" y="1390650"/>
          <a:ext cx="435292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27</xdr:col>
      <xdr:colOff>0</xdr:colOff>
      <xdr:row>32</xdr:row>
      <xdr:rowOff>142875</xdr:rowOff>
    </xdr:from>
    <xdr:to>
      <xdr:col>27</xdr:col>
      <xdr:colOff>0</xdr:colOff>
      <xdr:row>48</xdr:row>
      <xdr:rowOff>0</xdr:rowOff>
    </xdr:to>
    <xdr:graphicFrame macro="">
      <xdr:nvGraphicFramePr>
        <xdr:cNvPr id="1279" name="Chart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238125</xdr:colOff>
      <xdr:row>16</xdr:row>
      <xdr:rowOff>133350</xdr:rowOff>
    </xdr:from>
    <xdr:to>
      <xdr:col>26</xdr:col>
      <xdr:colOff>600075</xdr:colOff>
      <xdr:row>31</xdr:row>
      <xdr:rowOff>152400</xdr:rowOff>
    </xdr:to>
    <xdr:graphicFrame macro="">
      <xdr:nvGraphicFramePr>
        <xdr:cNvPr id="28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333375</xdr:colOff>
      <xdr:row>22</xdr:row>
      <xdr:rowOff>60325</xdr:rowOff>
    </xdr:from>
    <xdr:to>
      <xdr:col>26</xdr:col>
      <xdr:colOff>361950</xdr:colOff>
      <xdr:row>22</xdr:row>
      <xdr:rowOff>69850</xdr:rowOff>
    </xdr:to>
    <xdr:sp macro="" textlink="">
      <xdr:nvSpPr>
        <xdr:cNvPr id="29" name="Line 25"/>
        <xdr:cNvSpPr>
          <a:spLocks noChangeShapeType="1"/>
        </xdr:cNvSpPr>
      </xdr:nvSpPr>
      <xdr:spPr bwMode="auto">
        <a:xfrm>
          <a:off x="11915775" y="3552825"/>
          <a:ext cx="4295775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18</xdr:col>
      <xdr:colOff>260350</xdr:colOff>
      <xdr:row>32</xdr:row>
      <xdr:rowOff>155575</xdr:rowOff>
    </xdr:from>
    <xdr:to>
      <xdr:col>26</xdr:col>
      <xdr:colOff>584200</xdr:colOff>
      <xdr:row>48</xdr:row>
      <xdr:rowOff>12700</xdr:rowOff>
    </xdr:to>
    <xdr:graphicFrame macro="">
      <xdr:nvGraphicFramePr>
        <xdr:cNvPr id="30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212725</xdr:colOff>
      <xdr:row>0</xdr:row>
      <xdr:rowOff>95250</xdr:rowOff>
    </xdr:from>
    <xdr:to>
      <xdr:col>44</xdr:col>
      <xdr:colOff>574675</xdr:colOff>
      <xdr:row>15</xdr:row>
      <xdr:rowOff>114300</xdr:rowOff>
    </xdr:to>
    <xdr:graphicFrame macro="">
      <xdr:nvGraphicFramePr>
        <xdr:cNvPr id="33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307975</xdr:colOff>
      <xdr:row>8</xdr:row>
      <xdr:rowOff>111125</xdr:rowOff>
    </xdr:from>
    <xdr:to>
      <xdr:col>44</xdr:col>
      <xdr:colOff>336550</xdr:colOff>
      <xdr:row>8</xdr:row>
      <xdr:rowOff>120650</xdr:rowOff>
    </xdr:to>
    <xdr:sp macro="" textlink="">
      <xdr:nvSpPr>
        <xdr:cNvPr id="34" name="Line 25"/>
        <xdr:cNvSpPr>
          <a:spLocks noChangeShapeType="1"/>
        </xdr:cNvSpPr>
      </xdr:nvSpPr>
      <xdr:spPr bwMode="auto">
        <a:xfrm>
          <a:off x="23034625" y="1381125"/>
          <a:ext cx="4295775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36</xdr:col>
      <xdr:colOff>180975</xdr:colOff>
      <xdr:row>22</xdr:row>
      <xdr:rowOff>57150</xdr:rowOff>
    </xdr:from>
    <xdr:to>
      <xdr:col>44</xdr:col>
      <xdr:colOff>485775</xdr:colOff>
      <xdr:row>37</xdr:row>
      <xdr:rowOff>76200</xdr:rowOff>
    </xdr:to>
    <xdr:graphicFrame macro="">
      <xdr:nvGraphicFramePr>
        <xdr:cNvPr id="35" name="Chart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142875</xdr:colOff>
      <xdr:row>28</xdr:row>
      <xdr:rowOff>34925</xdr:rowOff>
    </xdr:from>
    <xdr:to>
      <xdr:col>44</xdr:col>
      <xdr:colOff>238125</xdr:colOff>
      <xdr:row>28</xdr:row>
      <xdr:rowOff>34925</xdr:rowOff>
    </xdr:to>
    <xdr:sp macro="" textlink="">
      <xdr:nvSpPr>
        <xdr:cNvPr id="36" name="Line 44"/>
        <xdr:cNvSpPr>
          <a:spLocks noChangeShapeType="1"/>
        </xdr:cNvSpPr>
      </xdr:nvSpPr>
      <xdr:spPr bwMode="auto">
        <a:xfrm>
          <a:off x="22831425" y="4568825"/>
          <a:ext cx="436245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27</xdr:col>
      <xdr:colOff>133350</xdr:colOff>
      <xdr:row>21</xdr:row>
      <xdr:rowOff>152400</xdr:rowOff>
    </xdr:from>
    <xdr:to>
      <xdr:col>35</xdr:col>
      <xdr:colOff>495300</xdr:colOff>
      <xdr:row>37</xdr:row>
      <xdr:rowOff>9525</xdr:rowOff>
    </xdr:to>
    <xdr:graphicFrame macro="">
      <xdr:nvGraphicFramePr>
        <xdr:cNvPr id="37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66675</xdr:rowOff>
    </xdr:from>
    <xdr:to>
      <xdr:col>0</xdr:col>
      <xdr:colOff>0</xdr:colOff>
      <xdr:row>9</xdr:row>
      <xdr:rowOff>28575</xdr:rowOff>
    </xdr:to>
    <xdr:sp macro="" textlink="">
      <xdr:nvSpPr>
        <xdr:cNvPr id="114897" name="Oval 1"/>
        <xdr:cNvSpPr>
          <a:spLocks noChangeArrowheads="1"/>
        </xdr:cNvSpPr>
      </xdr:nvSpPr>
      <xdr:spPr bwMode="auto">
        <a:xfrm>
          <a:off x="0" y="1362075"/>
          <a:ext cx="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66675</xdr:rowOff>
    </xdr:from>
    <xdr:to>
      <xdr:col>0</xdr:col>
      <xdr:colOff>0</xdr:colOff>
      <xdr:row>15</xdr:row>
      <xdr:rowOff>85725</xdr:rowOff>
    </xdr:to>
    <xdr:graphicFrame macro="">
      <xdr:nvGraphicFramePr>
        <xdr:cNvPr id="11489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85725</xdr:rowOff>
    </xdr:from>
    <xdr:to>
      <xdr:col>0</xdr:col>
      <xdr:colOff>0</xdr:colOff>
      <xdr:row>5</xdr:row>
      <xdr:rowOff>95250</xdr:rowOff>
    </xdr:to>
    <xdr:sp macro="" textlink="">
      <xdr:nvSpPr>
        <xdr:cNvPr id="114899" name="Line 3"/>
        <xdr:cNvSpPr>
          <a:spLocks noChangeShapeType="1"/>
        </xdr:cNvSpPr>
      </xdr:nvSpPr>
      <xdr:spPr bwMode="auto">
        <a:xfrm>
          <a:off x="0" y="895350"/>
          <a:ext cx="0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9525</xdr:rowOff>
    </xdr:from>
    <xdr:to>
      <xdr:col>0</xdr:col>
      <xdr:colOff>0</xdr:colOff>
      <xdr:row>9</xdr:row>
      <xdr:rowOff>38100</xdr:rowOff>
    </xdr:to>
    <xdr:sp macro="" textlink="">
      <xdr:nvSpPr>
        <xdr:cNvPr id="114900" name="Line 4"/>
        <xdr:cNvSpPr>
          <a:spLocks noChangeShapeType="1"/>
        </xdr:cNvSpPr>
      </xdr:nvSpPr>
      <xdr:spPr bwMode="auto">
        <a:xfrm>
          <a:off x="0" y="1466850"/>
          <a:ext cx="0" cy="2857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16</xdr:row>
      <xdr:rowOff>85725</xdr:rowOff>
    </xdr:from>
    <xdr:to>
      <xdr:col>0</xdr:col>
      <xdr:colOff>0</xdr:colOff>
      <xdr:row>31</xdr:row>
      <xdr:rowOff>104775</xdr:rowOff>
    </xdr:to>
    <xdr:graphicFrame macro="">
      <xdr:nvGraphicFramePr>
        <xdr:cNvPr id="11490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95250</xdr:rowOff>
    </xdr:from>
    <xdr:to>
      <xdr:col>0</xdr:col>
      <xdr:colOff>0</xdr:colOff>
      <xdr:row>21</xdr:row>
      <xdr:rowOff>95250</xdr:rowOff>
    </xdr:to>
    <xdr:sp macro="" textlink="">
      <xdr:nvSpPr>
        <xdr:cNvPr id="114902" name="Line 6"/>
        <xdr:cNvSpPr>
          <a:spLocks noChangeShapeType="1"/>
        </xdr:cNvSpPr>
      </xdr:nvSpPr>
      <xdr:spPr bwMode="auto">
        <a:xfrm>
          <a:off x="0" y="349567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104775</xdr:rowOff>
    </xdr:from>
    <xdr:to>
      <xdr:col>0</xdr:col>
      <xdr:colOff>0</xdr:colOff>
      <xdr:row>15</xdr:row>
      <xdr:rowOff>123825</xdr:rowOff>
    </xdr:to>
    <xdr:graphicFrame macro="">
      <xdr:nvGraphicFramePr>
        <xdr:cNvPr id="11490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</xdr:row>
      <xdr:rowOff>57150</xdr:rowOff>
    </xdr:from>
    <xdr:to>
      <xdr:col>0</xdr:col>
      <xdr:colOff>0</xdr:colOff>
      <xdr:row>9</xdr:row>
      <xdr:rowOff>57150</xdr:rowOff>
    </xdr:to>
    <xdr:sp macro="" textlink="">
      <xdr:nvSpPr>
        <xdr:cNvPr id="114904" name="Line 8"/>
        <xdr:cNvSpPr>
          <a:spLocks noChangeShapeType="1"/>
        </xdr:cNvSpPr>
      </xdr:nvSpPr>
      <xdr:spPr bwMode="auto">
        <a:xfrm>
          <a:off x="0" y="151447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11</xdr:row>
      <xdr:rowOff>9525</xdr:rowOff>
    </xdr:from>
    <xdr:to>
      <xdr:col>0</xdr:col>
      <xdr:colOff>0</xdr:colOff>
      <xdr:row>11</xdr:row>
      <xdr:rowOff>9525</xdr:rowOff>
    </xdr:to>
    <xdr:sp macro="" textlink="">
      <xdr:nvSpPr>
        <xdr:cNvPr id="114905" name="Line 9"/>
        <xdr:cNvSpPr>
          <a:spLocks noChangeShapeType="1"/>
        </xdr:cNvSpPr>
      </xdr:nvSpPr>
      <xdr:spPr bwMode="auto">
        <a:xfrm>
          <a:off x="0" y="179070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66675</xdr:rowOff>
    </xdr:from>
    <xdr:to>
      <xdr:col>0</xdr:col>
      <xdr:colOff>0</xdr:colOff>
      <xdr:row>15</xdr:row>
      <xdr:rowOff>85725</xdr:rowOff>
    </xdr:to>
    <xdr:graphicFrame macro="">
      <xdr:nvGraphicFramePr>
        <xdr:cNvPr id="114906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16</xdr:row>
      <xdr:rowOff>85725</xdr:rowOff>
    </xdr:from>
    <xdr:to>
      <xdr:col>0</xdr:col>
      <xdr:colOff>0</xdr:colOff>
      <xdr:row>31</xdr:row>
      <xdr:rowOff>104775</xdr:rowOff>
    </xdr:to>
    <xdr:graphicFrame macro="">
      <xdr:nvGraphicFramePr>
        <xdr:cNvPr id="114907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32</xdr:row>
      <xdr:rowOff>76200</xdr:rowOff>
    </xdr:from>
    <xdr:to>
      <xdr:col>0</xdr:col>
      <xdr:colOff>0</xdr:colOff>
      <xdr:row>47</xdr:row>
      <xdr:rowOff>95250</xdr:rowOff>
    </xdr:to>
    <xdr:graphicFrame macro="">
      <xdr:nvGraphicFramePr>
        <xdr:cNvPr id="114908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20</xdr:row>
      <xdr:rowOff>66675</xdr:rowOff>
    </xdr:from>
    <xdr:to>
      <xdr:col>0</xdr:col>
      <xdr:colOff>0</xdr:colOff>
      <xdr:row>20</xdr:row>
      <xdr:rowOff>66675</xdr:rowOff>
    </xdr:to>
    <xdr:sp macro="" textlink="">
      <xdr:nvSpPr>
        <xdr:cNvPr id="114909" name="Line 13"/>
        <xdr:cNvSpPr>
          <a:spLocks noChangeShapeType="1"/>
        </xdr:cNvSpPr>
      </xdr:nvSpPr>
      <xdr:spPr bwMode="auto">
        <a:xfrm>
          <a:off x="0" y="330517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57150</xdr:rowOff>
    </xdr:from>
    <xdr:to>
      <xdr:col>0</xdr:col>
      <xdr:colOff>0</xdr:colOff>
      <xdr:row>36</xdr:row>
      <xdr:rowOff>57150</xdr:rowOff>
    </xdr:to>
    <xdr:sp macro="" textlink="">
      <xdr:nvSpPr>
        <xdr:cNvPr id="114910" name="Line 14"/>
        <xdr:cNvSpPr>
          <a:spLocks noChangeShapeType="1"/>
        </xdr:cNvSpPr>
      </xdr:nvSpPr>
      <xdr:spPr bwMode="auto">
        <a:xfrm>
          <a:off x="0" y="588645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16</xdr:row>
      <xdr:rowOff>104775</xdr:rowOff>
    </xdr:from>
    <xdr:to>
      <xdr:col>0</xdr:col>
      <xdr:colOff>0</xdr:colOff>
      <xdr:row>31</xdr:row>
      <xdr:rowOff>123825</xdr:rowOff>
    </xdr:to>
    <xdr:graphicFrame macro="">
      <xdr:nvGraphicFramePr>
        <xdr:cNvPr id="114911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32</xdr:row>
      <xdr:rowOff>95250</xdr:rowOff>
    </xdr:from>
    <xdr:to>
      <xdr:col>0</xdr:col>
      <xdr:colOff>0</xdr:colOff>
      <xdr:row>47</xdr:row>
      <xdr:rowOff>114300</xdr:rowOff>
    </xdr:to>
    <xdr:graphicFrame macro="">
      <xdr:nvGraphicFramePr>
        <xdr:cNvPr id="114912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36</xdr:row>
      <xdr:rowOff>152400</xdr:rowOff>
    </xdr:from>
    <xdr:to>
      <xdr:col>0</xdr:col>
      <xdr:colOff>0</xdr:colOff>
      <xdr:row>37</xdr:row>
      <xdr:rowOff>0</xdr:rowOff>
    </xdr:to>
    <xdr:sp macro="" textlink="">
      <xdr:nvSpPr>
        <xdr:cNvPr id="114913" name="Line 17"/>
        <xdr:cNvSpPr>
          <a:spLocks noChangeShapeType="1"/>
        </xdr:cNvSpPr>
      </xdr:nvSpPr>
      <xdr:spPr bwMode="auto">
        <a:xfrm>
          <a:off x="0" y="5981700"/>
          <a:ext cx="0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200025</xdr:colOff>
      <xdr:row>3</xdr:row>
      <xdr:rowOff>114300</xdr:rowOff>
    </xdr:from>
    <xdr:to>
      <xdr:col>8</xdr:col>
      <xdr:colOff>561975</xdr:colOff>
      <xdr:row>18</xdr:row>
      <xdr:rowOff>85725</xdr:rowOff>
    </xdr:to>
    <xdr:graphicFrame macro="">
      <xdr:nvGraphicFramePr>
        <xdr:cNvPr id="114914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</xdr:row>
      <xdr:rowOff>38100</xdr:rowOff>
    </xdr:from>
    <xdr:to>
      <xdr:col>0</xdr:col>
      <xdr:colOff>0</xdr:colOff>
      <xdr:row>4</xdr:row>
      <xdr:rowOff>38100</xdr:rowOff>
    </xdr:to>
    <xdr:sp macro="" textlink="">
      <xdr:nvSpPr>
        <xdr:cNvPr id="114917" name="Line 21"/>
        <xdr:cNvSpPr>
          <a:spLocks noChangeShapeType="1"/>
        </xdr:cNvSpPr>
      </xdr:nvSpPr>
      <xdr:spPr bwMode="auto">
        <a:xfrm>
          <a:off x="0" y="68580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32</xdr:row>
      <xdr:rowOff>142875</xdr:rowOff>
    </xdr:from>
    <xdr:to>
      <xdr:col>0</xdr:col>
      <xdr:colOff>0</xdr:colOff>
      <xdr:row>48</xdr:row>
      <xdr:rowOff>0</xdr:rowOff>
    </xdr:to>
    <xdr:graphicFrame macro="">
      <xdr:nvGraphicFramePr>
        <xdr:cNvPr id="114918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22</xdr:row>
      <xdr:rowOff>76200</xdr:rowOff>
    </xdr:from>
    <xdr:to>
      <xdr:col>0</xdr:col>
      <xdr:colOff>0</xdr:colOff>
      <xdr:row>22</xdr:row>
      <xdr:rowOff>76200</xdr:rowOff>
    </xdr:to>
    <xdr:sp macro="" textlink="">
      <xdr:nvSpPr>
        <xdr:cNvPr id="114919" name="Line 23"/>
        <xdr:cNvSpPr>
          <a:spLocks noChangeShapeType="1"/>
        </xdr:cNvSpPr>
      </xdr:nvSpPr>
      <xdr:spPr bwMode="auto">
        <a:xfrm>
          <a:off x="0" y="363855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85725</xdr:rowOff>
    </xdr:from>
    <xdr:to>
      <xdr:col>0</xdr:col>
      <xdr:colOff>0</xdr:colOff>
      <xdr:row>36</xdr:row>
      <xdr:rowOff>85725</xdr:rowOff>
    </xdr:to>
    <xdr:sp macro="" textlink="">
      <xdr:nvSpPr>
        <xdr:cNvPr id="114920" name="Line 24"/>
        <xdr:cNvSpPr>
          <a:spLocks noChangeShapeType="1"/>
        </xdr:cNvSpPr>
      </xdr:nvSpPr>
      <xdr:spPr bwMode="auto">
        <a:xfrm>
          <a:off x="0" y="591502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24</xdr:row>
      <xdr:rowOff>104775</xdr:rowOff>
    </xdr:from>
    <xdr:to>
      <xdr:col>0</xdr:col>
      <xdr:colOff>0</xdr:colOff>
      <xdr:row>24</xdr:row>
      <xdr:rowOff>104775</xdr:rowOff>
    </xdr:to>
    <xdr:sp macro="" textlink="">
      <xdr:nvSpPr>
        <xdr:cNvPr id="114921" name="Line 25"/>
        <xdr:cNvSpPr>
          <a:spLocks noChangeShapeType="1"/>
        </xdr:cNvSpPr>
      </xdr:nvSpPr>
      <xdr:spPr bwMode="auto">
        <a:xfrm>
          <a:off x="0" y="3990975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0</xdr:col>
      <xdr:colOff>200025</xdr:colOff>
      <xdr:row>24</xdr:row>
      <xdr:rowOff>95250</xdr:rowOff>
    </xdr:from>
    <xdr:to>
      <xdr:col>8</xdr:col>
      <xdr:colOff>561975</xdr:colOff>
      <xdr:row>39</xdr:row>
      <xdr:rowOff>114300</xdr:rowOff>
    </xdr:to>
    <xdr:graphicFrame macro="">
      <xdr:nvGraphicFramePr>
        <xdr:cNvPr id="114922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59"/>
  <sheetViews>
    <sheetView showGridLines="0" zoomScaleSheetLayoutView="100" workbookViewId="0">
      <selection activeCell="A11" sqref="A11:W11"/>
    </sheetView>
  </sheetViews>
  <sheetFormatPr defaultColWidth="9.140625" defaultRowHeight="15"/>
  <cols>
    <col min="1" max="1" width="5.42578125" style="89" customWidth="1"/>
    <col min="2" max="16" width="3.5703125" style="82" customWidth="1"/>
    <col min="17" max="17" width="3.42578125" style="82" customWidth="1"/>
    <col min="18" max="21" width="3.5703125" style="82" customWidth="1"/>
    <col min="22" max="22" width="3.7109375" style="82" customWidth="1"/>
    <col min="23" max="23" width="3.5703125" style="82" customWidth="1"/>
    <col min="24" max="16384" width="9.140625" style="82"/>
  </cols>
  <sheetData>
    <row r="1" spans="1:23" ht="32.25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</row>
    <row r="3" spans="1:23" ht="18" customHeight="1">
      <c r="A3" s="202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</row>
    <row r="7" spans="1:23" ht="24.75">
      <c r="A7" s="81"/>
    </row>
    <row r="8" spans="1:23" ht="45.75">
      <c r="A8" s="83"/>
    </row>
    <row r="9" spans="1:23" ht="45.75">
      <c r="A9" s="83"/>
    </row>
    <row r="10" spans="1:23" ht="38.25" customHeight="1">
      <c r="B10" s="96"/>
      <c r="C10" s="96"/>
      <c r="D10" s="96"/>
      <c r="E10" s="96"/>
      <c r="F10" s="96"/>
      <c r="G10" s="96"/>
      <c r="H10" s="209" t="s">
        <v>49</v>
      </c>
      <c r="I10" s="209"/>
      <c r="J10" s="209"/>
      <c r="K10" s="209"/>
      <c r="L10" s="209"/>
      <c r="M10" s="209"/>
      <c r="N10" s="209"/>
      <c r="O10" s="209"/>
      <c r="P10" s="209"/>
      <c r="Q10" s="96"/>
      <c r="R10" s="96"/>
      <c r="S10" s="96"/>
      <c r="T10" s="96"/>
      <c r="U10" s="96"/>
      <c r="V10" s="96"/>
      <c r="W10" s="96"/>
    </row>
    <row r="11" spans="1:23" ht="32.25">
      <c r="A11" s="202">
        <f>MakeUp!A9</f>
        <v>41369</v>
      </c>
      <c r="B11" s="202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</row>
    <row r="12" spans="1:23" ht="32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</row>
    <row r="16" spans="1:23" ht="32.25">
      <c r="A16" s="202"/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</row>
    <row r="17" spans="1:23" ht="32.25">
      <c r="A17" s="202"/>
      <c r="B17" s="202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</row>
    <row r="18" spans="1:23" ht="32.25">
      <c r="A18" s="202"/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</row>
    <row r="19" spans="1:23" ht="32.25" customHeight="1">
      <c r="A19" s="203" t="s">
        <v>36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</row>
    <row r="20" spans="1:23" ht="29.25">
      <c r="A20" s="203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</row>
    <row r="21" spans="1:23" ht="32.25" customHeight="1">
      <c r="A21" s="203" t="s">
        <v>131</v>
      </c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</row>
    <row r="22" spans="1:23" ht="29.25">
      <c r="A22" s="203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</row>
    <row r="23" spans="1:23" ht="32.25" customHeight="1">
      <c r="A23" s="203" t="s">
        <v>37</v>
      </c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</row>
    <row r="24" spans="1:23" ht="29.25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</row>
    <row r="25" spans="1:23" ht="29.25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</row>
    <row r="26" spans="1:23" s="139" customFormat="1" ht="14.25" customHeight="1">
      <c r="A26" s="85"/>
    </row>
    <row r="27" spans="1:23" s="139" customFormat="1">
      <c r="A27" s="85"/>
    </row>
    <row r="28" spans="1:23" s="139" customFormat="1">
      <c r="A28" s="85"/>
    </row>
    <row r="29" spans="1:23" s="139" customFormat="1">
      <c r="A29" s="85"/>
      <c r="T29" s="206"/>
      <c r="U29" s="206"/>
      <c r="V29" s="206"/>
      <c r="W29" s="206"/>
    </row>
    <row r="30" spans="1:23" s="139" customFormat="1">
      <c r="A30" s="85"/>
    </row>
    <row r="31" spans="1:23" s="139" customFormat="1">
      <c r="A31" s="85"/>
    </row>
    <row r="32" spans="1:23" s="139" customFormat="1">
      <c r="A32" s="85"/>
    </row>
    <row r="33" spans="1:23" s="139" customFormat="1">
      <c r="A33" s="85"/>
    </row>
    <row r="34" spans="1:23" s="139" customFormat="1">
      <c r="A34" s="85"/>
    </row>
    <row r="35" spans="1:23" s="139" customFormat="1">
      <c r="A35" s="85"/>
    </row>
    <row r="36" spans="1:23" s="139" customFormat="1">
      <c r="A36" s="85"/>
    </row>
    <row r="37" spans="1:23" s="139" customFormat="1">
      <c r="A37" s="85"/>
    </row>
    <row r="38" spans="1:23" s="139" customFormat="1">
      <c r="A38" s="85"/>
    </row>
    <row r="39" spans="1:23" s="139" customFormat="1">
      <c r="A39" s="85"/>
    </row>
    <row r="40" spans="1:23" s="139" customFormat="1">
      <c r="A40" s="85"/>
    </row>
    <row r="41" spans="1:23" s="139" customFormat="1">
      <c r="A41" s="140"/>
    </row>
    <row r="42" spans="1:23" s="139" customFormat="1" ht="15.75" thickBot="1">
      <c r="A42" s="140"/>
    </row>
    <row r="43" spans="1:23" s="139" customFormat="1" ht="27.75" customHeight="1">
      <c r="A43" s="140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3"/>
    </row>
    <row r="44" spans="1:23" s="139" customFormat="1" ht="41.25" customHeight="1">
      <c r="A44" s="140"/>
      <c r="B44" s="144"/>
      <c r="C44" s="207" t="s">
        <v>76</v>
      </c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145"/>
      <c r="W44" s="146"/>
    </row>
    <row r="45" spans="1:23" s="139" customFormat="1" ht="41.25" customHeight="1">
      <c r="A45" s="147"/>
      <c r="B45" s="148"/>
      <c r="C45" s="207" t="s">
        <v>77</v>
      </c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149"/>
    </row>
    <row r="46" spans="1:23" s="139" customFormat="1" ht="41.25" customHeight="1">
      <c r="A46" s="150"/>
      <c r="B46" s="148"/>
      <c r="C46" s="207" t="s">
        <v>108</v>
      </c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149"/>
    </row>
    <row r="47" spans="1:23" s="139" customFormat="1" ht="32.25" customHeight="1" thickBot="1">
      <c r="A47" s="150"/>
      <c r="B47" s="151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3"/>
    </row>
    <row r="48" spans="1:23" s="139" customFormat="1">
      <c r="A48" s="85"/>
    </row>
    <row r="49" spans="1:1" s="139" customFormat="1">
      <c r="A49" s="85"/>
    </row>
    <row r="50" spans="1:1" s="139" customFormat="1">
      <c r="A50" s="154"/>
    </row>
    <row r="51" spans="1:1" s="139" customFormat="1">
      <c r="A51" s="154"/>
    </row>
    <row r="52" spans="1:1" s="139" customFormat="1">
      <c r="A52" s="154"/>
    </row>
    <row r="53" spans="1:1" s="139" customFormat="1">
      <c r="A53" s="154"/>
    </row>
    <row r="54" spans="1:1" s="139" customFormat="1">
      <c r="A54" s="154"/>
    </row>
    <row r="55" spans="1:1" s="139" customFormat="1">
      <c r="A55" s="154"/>
    </row>
    <row r="56" spans="1:1" s="139" customFormat="1">
      <c r="A56" s="154"/>
    </row>
    <row r="57" spans="1:1" s="139" customFormat="1">
      <c r="A57" s="154"/>
    </row>
    <row r="58" spans="1:1" s="139" customFormat="1">
      <c r="A58" s="154"/>
    </row>
    <row r="59" spans="1:1" s="139" customFormat="1">
      <c r="A59" s="154"/>
    </row>
    <row r="60" spans="1:1" s="139" customFormat="1">
      <c r="A60" s="154"/>
    </row>
    <row r="61" spans="1:1" s="139" customFormat="1">
      <c r="A61" s="154"/>
    </row>
    <row r="62" spans="1:1" s="139" customFormat="1">
      <c r="A62" s="154"/>
    </row>
    <row r="63" spans="1:1" s="139" customFormat="1">
      <c r="A63" s="154"/>
    </row>
    <row r="64" spans="1:1" s="139" customFormat="1">
      <c r="A64" s="154"/>
    </row>
    <row r="65" spans="1:23" s="139" customFormat="1">
      <c r="A65" s="154"/>
    </row>
    <row r="66" spans="1:23" s="139" customFormat="1">
      <c r="A66" s="154"/>
    </row>
    <row r="67" spans="1:23" s="139" customFormat="1">
      <c r="A67" s="154"/>
    </row>
    <row r="68" spans="1:23" ht="32.25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</row>
    <row r="69" spans="1:23" ht="15.75" customHeight="1">
      <c r="A69" s="85"/>
      <c r="T69" s="86"/>
      <c r="U69" s="86"/>
      <c r="V69" s="86"/>
      <c r="W69" s="86"/>
    </row>
    <row r="70" spans="1:23" ht="19.5" customHeight="1">
      <c r="A70" s="204" t="s">
        <v>55</v>
      </c>
      <c r="B70" s="204"/>
      <c r="C70" s="205">
        <f>MakeUp!A9+32</f>
        <v>41401</v>
      </c>
      <c r="D70" s="205"/>
      <c r="E70" s="205"/>
      <c r="F70" s="205"/>
      <c r="G70" s="205"/>
      <c r="H70" s="87"/>
      <c r="I70" s="87"/>
    </row>
    <row r="71" spans="1:23" ht="15" customHeight="1">
      <c r="A71" s="199" t="s">
        <v>116</v>
      </c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</row>
    <row r="72" spans="1:23" ht="15" customHeight="1">
      <c r="A72" s="210" t="s">
        <v>117</v>
      </c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</row>
    <row r="73" spans="1:23" ht="15" customHeight="1">
      <c r="A73" s="210" t="s">
        <v>118</v>
      </c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</row>
    <row r="74" spans="1:23">
      <c r="A74" s="88"/>
    </row>
    <row r="75" spans="1:23" ht="32.25" customHeight="1">
      <c r="A75" s="241" t="s">
        <v>129</v>
      </c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</row>
    <row r="76" spans="1:23" ht="20.25" customHeight="1">
      <c r="A76" s="200" t="s">
        <v>121</v>
      </c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</row>
    <row r="77" spans="1:23" s="97" customFormat="1" ht="19.5" customHeight="1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</row>
    <row r="78" spans="1:23" ht="30" customHeight="1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</row>
    <row r="79" spans="1:23" ht="30.75" customHeight="1">
      <c r="A79" s="201" t="s">
        <v>38</v>
      </c>
      <c r="B79" s="201"/>
      <c r="C79" s="201"/>
      <c r="D79" s="201"/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</row>
    <row r="80" spans="1:23" ht="20.25" customHeight="1">
      <c r="A80" s="201" t="s">
        <v>122</v>
      </c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</row>
    <row r="81" spans="1:23" ht="17.25" customHeight="1">
      <c r="A81" s="239" t="s">
        <v>123</v>
      </c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239"/>
      <c r="N81" s="240">
        <f>A11</f>
        <v>41369</v>
      </c>
      <c r="O81" s="240"/>
      <c r="P81" s="240"/>
      <c r="Q81" s="240"/>
      <c r="R81" s="240"/>
      <c r="S81" s="240"/>
      <c r="T81" s="240"/>
      <c r="U81" s="240"/>
      <c r="V81" s="240"/>
      <c r="W81" s="240"/>
    </row>
    <row r="82" spans="1:23" ht="9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9"/>
      <c r="S82" s="99"/>
      <c r="T82" s="99"/>
      <c r="U82" s="99"/>
      <c r="V82" s="99"/>
      <c r="W82" s="99"/>
    </row>
    <row r="83" spans="1:23" ht="18.75" customHeight="1">
      <c r="A83" s="201" t="s">
        <v>54</v>
      </c>
      <c r="B83" s="201"/>
      <c r="C83" s="201"/>
      <c r="D83" s="201"/>
      <c r="E83" s="201"/>
      <c r="F83" s="201"/>
      <c r="G83" s="201"/>
      <c r="H83" s="201"/>
      <c r="I83" s="201"/>
      <c r="J83" s="201">
        <f>A11</f>
        <v>41369</v>
      </c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</row>
    <row r="84" spans="1:23" ht="18" customHeight="1">
      <c r="A84" s="201" t="s">
        <v>53</v>
      </c>
      <c r="B84" s="201"/>
      <c r="C84" s="201"/>
      <c r="D84" s="201"/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</row>
    <row r="85" spans="1:23" ht="18.75" customHeight="1">
      <c r="A85" s="201" t="s">
        <v>124</v>
      </c>
      <c r="B85" s="201"/>
      <c r="C85" s="201"/>
      <c r="D85" s="201"/>
      <c r="E85" s="201"/>
      <c r="F85" s="201"/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</row>
    <row r="86" spans="1:23" ht="33.75" customHeight="1">
      <c r="A86" s="201" t="s">
        <v>39</v>
      </c>
      <c r="B86" s="201"/>
      <c r="C86" s="201"/>
      <c r="D86" s="201"/>
      <c r="E86" s="201"/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</row>
    <row r="87" spans="1:23" ht="28.5" customHeight="1">
      <c r="A87" s="201" t="s">
        <v>40</v>
      </c>
      <c r="B87" s="201"/>
      <c r="C87" s="201"/>
      <c r="D87" s="201"/>
      <c r="E87" s="201"/>
      <c r="F87" s="201"/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</row>
    <row r="88" spans="1:23" ht="27.75" customHeight="1">
      <c r="A88" s="215" t="s">
        <v>41</v>
      </c>
      <c r="B88" s="215"/>
      <c r="C88" s="215"/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</row>
    <row r="89" spans="1:23" ht="27.75" customHeight="1">
      <c r="A89" s="215" t="s">
        <v>42</v>
      </c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</row>
    <row r="90" spans="1:23" ht="27.75" customHeight="1">
      <c r="A90" s="215" t="s">
        <v>50</v>
      </c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</row>
    <row r="91" spans="1:23" ht="24" customHeight="1">
      <c r="A91" s="215"/>
      <c r="B91" s="215"/>
      <c r="C91" s="215"/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</row>
    <row r="92" spans="1:23" ht="25.5" customHeight="1">
      <c r="A92" s="215" t="s">
        <v>119</v>
      </c>
      <c r="B92" s="215"/>
      <c r="C92" s="215"/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</row>
    <row r="93" spans="1:23" ht="20.25" customHeight="1">
      <c r="A93" s="215" t="s">
        <v>120</v>
      </c>
      <c r="B93" s="215"/>
      <c r="C93" s="21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</row>
    <row r="94" spans="1:23" ht="25.5" customHeight="1">
      <c r="A94" s="215" t="s">
        <v>52</v>
      </c>
      <c r="B94" s="215" t="s">
        <v>51</v>
      </c>
      <c r="C94" s="215"/>
      <c r="D94" s="215"/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</row>
    <row r="95" spans="1:23" ht="18.75" customHeight="1">
      <c r="A95" s="238" t="s">
        <v>125</v>
      </c>
      <c r="B95" s="238"/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38"/>
      <c r="V95" s="238"/>
      <c r="W95" s="238"/>
    </row>
    <row r="96" spans="1:23" ht="18.75" customHeight="1">
      <c r="A96" s="215" t="s">
        <v>126</v>
      </c>
      <c r="B96" s="215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</row>
    <row r="97" spans="1:26" ht="18.75" customHeight="1">
      <c r="A97" s="215" t="s">
        <v>127</v>
      </c>
      <c r="B97" s="215"/>
      <c r="C97" s="215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</row>
    <row r="98" spans="1:26" ht="18.75" customHeight="1">
      <c r="A98" s="218" t="s">
        <v>128</v>
      </c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</row>
    <row r="99" spans="1:26" ht="21.75" customHeight="1">
      <c r="A99" s="193" t="s">
        <v>130</v>
      </c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</row>
    <row r="100" spans="1:26" ht="21.75" customHeight="1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</row>
    <row r="101" spans="1:26" ht="21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</row>
    <row r="102" spans="1:26" ht="25.5" customHeight="1">
      <c r="A102" s="217" t="s">
        <v>43</v>
      </c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</row>
    <row r="103" spans="1:26" ht="27" customHeight="1">
      <c r="A103" s="85" t="s">
        <v>44</v>
      </c>
      <c r="B103" s="211" t="s">
        <v>45</v>
      </c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</row>
    <row r="104" spans="1:26" ht="55.5" customHeight="1">
      <c r="A104" s="92" t="s">
        <v>46</v>
      </c>
      <c r="B104" s="216" t="s">
        <v>80</v>
      </c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</row>
    <row r="105" spans="1:26" ht="55.5" customHeight="1">
      <c r="A105" s="92" t="s">
        <v>46</v>
      </c>
      <c r="B105" s="216" t="s">
        <v>81</v>
      </c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</row>
    <row r="106" spans="1:26" ht="55.5" customHeight="1">
      <c r="A106" s="92" t="s">
        <v>46</v>
      </c>
      <c r="B106" s="216" t="s">
        <v>82</v>
      </c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</row>
    <row r="107" spans="1:26" ht="55.5" customHeight="1">
      <c r="A107" s="92" t="s">
        <v>46</v>
      </c>
      <c r="B107" s="216" t="s">
        <v>59</v>
      </c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</row>
    <row r="108" spans="1:26" ht="55.5" customHeight="1">
      <c r="A108" s="92" t="s">
        <v>46</v>
      </c>
      <c r="B108" s="216" t="s">
        <v>78</v>
      </c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</row>
    <row r="109" spans="1:26" ht="55.5" customHeight="1">
      <c r="A109" s="92" t="s">
        <v>46</v>
      </c>
      <c r="B109" s="216" t="s">
        <v>61</v>
      </c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</row>
    <row r="110" spans="1:26" ht="55.5" customHeight="1">
      <c r="A110" s="92" t="s">
        <v>46</v>
      </c>
      <c r="B110" s="216" t="s">
        <v>60</v>
      </c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</row>
    <row r="111" spans="1:26" ht="55.5" customHeight="1">
      <c r="A111" s="92" t="s">
        <v>46</v>
      </c>
      <c r="B111" s="216" t="s">
        <v>79</v>
      </c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</row>
    <row r="112" spans="1:26" ht="55.5" customHeight="1">
      <c r="A112" s="92" t="s">
        <v>46</v>
      </c>
      <c r="B112" s="204" t="s">
        <v>83</v>
      </c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</row>
    <row r="113" spans="1:23" ht="21" customHeight="1">
      <c r="B113" s="136"/>
      <c r="C113" s="136"/>
      <c r="D113" s="135"/>
      <c r="E113" s="135"/>
      <c r="F113" s="135"/>
      <c r="G113" s="135"/>
      <c r="H113" s="135"/>
      <c r="I113" s="135"/>
      <c r="J113" s="135"/>
      <c r="K113" s="136"/>
      <c r="L113" s="136"/>
      <c r="M113" s="136"/>
      <c r="N113" s="94"/>
      <c r="O113" s="94"/>
      <c r="P113" s="94"/>
      <c r="Q113" s="94"/>
      <c r="R113" s="94"/>
      <c r="S113" s="94"/>
      <c r="T113" s="94"/>
      <c r="U113" s="94"/>
      <c r="V113" s="94"/>
    </row>
    <row r="114" spans="1:23" ht="21" customHeight="1">
      <c r="B114" s="165"/>
      <c r="C114" s="165"/>
      <c r="D114" s="164"/>
      <c r="E114" s="164"/>
      <c r="F114" s="164"/>
      <c r="G114" s="164"/>
      <c r="H114" s="164"/>
      <c r="I114" s="164"/>
      <c r="J114" s="164"/>
      <c r="K114" s="165"/>
      <c r="L114" s="165"/>
      <c r="M114" s="165"/>
      <c r="N114" s="94"/>
      <c r="O114" s="94"/>
      <c r="P114" s="94"/>
      <c r="Q114" s="94"/>
      <c r="R114" s="94"/>
      <c r="S114" s="94"/>
      <c r="T114" s="94"/>
      <c r="U114" s="94"/>
      <c r="V114" s="94"/>
    </row>
    <row r="115" spans="1:23" ht="21" customHeight="1">
      <c r="B115" s="165"/>
      <c r="C115" s="165"/>
      <c r="D115" s="164"/>
      <c r="E115" s="164"/>
      <c r="F115" s="164"/>
      <c r="G115" s="164"/>
      <c r="H115" s="164"/>
      <c r="I115" s="164"/>
      <c r="J115" s="164"/>
      <c r="K115" s="165"/>
      <c r="L115" s="165"/>
      <c r="M115" s="165"/>
      <c r="N115" s="94"/>
      <c r="O115" s="94"/>
      <c r="P115" s="94"/>
      <c r="Q115" s="94"/>
      <c r="R115" s="94"/>
      <c r="S115" s="94"/>
      <c r="T115" s="94"/>
      <c r="U115" s="94"/>
      <c r="V115" s="94"/>
    </row>
    <row r="116" spans="1:23" ht="21" customHeight="1">
      <c r="B116" s="165"/>
      <c r="C116" s="165"/>
      <c r="D116" s="164"/>
      <c r="E116" s="164"/>
      <c r="F116" s="164"/>
      <c r="G116" s="164"/>
      <c r="H116" s="164"/>
      <c r="I116" s="164"/>
      <c r="J116" s="164"/>
      <c r="K116" s="165"/>
      <c r="L116" s="165"/>
      <c r="M116" s="165"/>
      <c r="N116" s="94"/>
      <c r="O116" s="94"/>
      <c r="P116" s="94"/>
      <c r="Q116" s="94"/>
      <c r="R116" s="94"/>
      <c r="S116" s="94"/>
      <c r="T116" s="94"/>
      <c r="U116" s="94"/>
      <c r="V116" s="94"/>
    </row>
    <row r="117" spans="1:23" ht="21" customHeight="1">
      <c r="B117" s="165"/>
      <c r="C117" s="165"/>
      <c r="D117" s="164"/>
      <c r="E117" s="164"/>
      <c r="F117" s="164"/>
      <c r="G117" s="164"/>
      <c r="H117" s="164"/>
      <c r="I117" s="164"/>
      <c r="J117" s="164"/>
      <c r="K117" s="165"/>
      <c r="L117" s="165"/>
      <c r="M117" s="165"/>
      <c r="N117" s="94"/>
      <c r="O117" s="94"/>
      <c r="P117" s="94"/>
      <c r="Q117" s="94"/>
      <c r="R117" s="94"/>
      <c r="S117" s="94"/>
      <c r="T117" s="94"/>
      <c r="U117" s="94"/>
      <c r="V117" s="94"/>
    </row>
    <row r="118" spans="1:23" ht="21" customHeight="1">
      <c r="B118" s="160"/>
      <c r="C118" s="160"/>
      <c r="D118" s="161"/>
      <c r="E118" s="161"/>
      <c r="F118" s="161"/>
      <c r="G118" s="161"/>
      <c r="H118" s="161"/>
      <c r="I118" s="161"/>
      <c r="J118" s="161"/>
      <c r="K118" s="160"/>
      <c r="L118" s="160"/>
      <c r="M118" s="160"/>
      <c r="N118" s="94"/>
      <c r="O118" s="94"/>
      <c r="P118" s="94"/>
      <c r="Q118" s="94"/>
      <c r="R118" s="94"/>
      <c r="S118" s="94"/>
      <c r="T118" s="94"/>
      <c r="U118" s="94"/>
      <c r="V118" s="94"/>
    </row>
    <row r="119" spans="1:23" ht="30.75" customHeight="1" thickBot="1">
      <c r="A119" s="85" t="s">
        <v>47</v>
      </c>
      <c r="B119" s="211" t="s">
        <v>56</v>
      </c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</row>
    <row r="120" spans="1:23" ht="39.75" customHeight="1" thickBot="1">
      <c r="B120" s="212" t="s">
        <v>25</v>
      </c>
      <c r="C120" s="213"/>
      <c r="D120" s="213" t="s">
        <v>32</v>
      </c>
      <c r="E120" s="213"/>
      <c r="F120" s="213"/>
      <c r="G120" s="213"/>
      <c r="H120" s="213"/>
      <c r="I120" s="213"/>
      <c r="J120" s="213" t="s">
        <v>74</v>
      </c>
      <c r="K120" s="213"/>
      <c r="L120" s="213"/>
      <c r="M120" s="213"/>
      <c r="N120" s="213" t="s">
        <v>26</v>
      </c>
      <c r="O120" s="213"/>
      <c r="P120" s="213"/>
      <c r="Q120" s="213" t="s">
        <v>27</v>
      </c>
      <c r="R120" s="213"/>
      <c r="S120" s="213"/>
      <c r="T120" s="213" t="s">
        <v>33</v>
      </c>
      <c r="U120" s="213"/>
      <c r="V120" s="214"/>
    </row>
    <row r="121" spans="1:23" ht="25.5" customHeight="1">
      <c r="B121" s="219">
        <v>1</v>
      </c>
      <c r="C121" s="220"/>
      <c r="D121" s="221" t="str">
        <f>'Cooling Tower'!B3</f>
        <v xml:space="preserve">pH </v>
      </c>
      <c r="E121" s="221"/>
      <c r="F121" s="221"/>
      <c r="G121" s="221"/>
      <c r="H121" s="221"/>
      <c r="I121" s="221"/>
      <c r="J121" s="222" t="str">
        <f>'Cooling Tower'!B4</f>
        <v>7.5-8.0</v>
      </c>
      <c r="K121" s="222"/>
      <c r="L121" s="222"/>
      <c r="M121" s="222"/>
      <c r="N121" s="223">
        <f>'Cooling Tower'!B36</f>
        <v>7.59</v>
      </c>
      <c r="O121" s="223"/>
      <c r="P121" s="223"/>
      <c r="Q121" s="223">
        <f>'Cooling Tower'!B37</f>
        <v>8.1199999999999992</v>
      </c>
      <c r="R121" s="223"/>
      <c r="S121" s="223"/>
      <c r="T121" s="223">
        <f>'Cooling Tower'!B38</f>
        <v>7.9390000000000009</v>
      </c>
      <c r="U121" s="223"/>
      <c r="V121" s="224"/>
    </row>
    <row r="122" spans="1:23" ht="25.5" customHeight="1">
      <c r="B122" s="225">
        <v>2</v>
      </c>
      <c r="C122" s="226"/>
      <c r="D122" s="227" t="str">
        <f>'Cooling Tower'!C3</f>
        <v>Turbidity</v>
      </c>
      <c r="E122" s="227"/>
      <c r="F122" s="227"/>
      <c r="G122" s="227"/>
      <c r="H122" s="227"/>
      <c r="I122" s="227"/>
      <c r="J122" s="228" t="str">
        <f>'Cooling Tower'!C4</f>
        <v>Max. 20 NTU</v>
      </c>
      <c r="K122" s="228"/>
      <c r="L122" s="228"/>
      <c r="M122" s="228"/>
      <c r="N122" s="229">
        <f>'Cooling Tower'!C36</f>
        <v>18</v>
      </c>
      <c r="O122" s="229"/>
      <c r="P122" s="229"/>
      <c r="Q122" s="229">
        <f>'Cooling Tower'!C37</f>
        <v>121</v>
      </c>
      <c r="R122" s="229"/>
      <c r="S122" s="229"/>
      <c r="T122" s="229">
        <f>'Cooling Tower'!C38</f>
        <v>45.833333333333336</v>
      </c>
      <c r="U122" s="229"/>
      <c r="V122" s="230"/>
    </row>
    <row r="123" spans="1:23" ht="25.5" customHeight="1">
      <c r="B123" s="225">
        <v>3</v>
      </c>
      <c r="C123" s="226"/>
      <c r="D123" s="227" t="str">
        <f>'Cooling Tower'!D3</f>
        <v>FRC</v>
      </c>
      <c r="E123" s="227"/>
      <c r="F123" s="227"/>
      <c r="G123" s="227"/>
      <c r="H123" s="227"/>
      <c r="I123" s="227"/>
      <c r="J123" s="228" t="str">
        <f>'Cooling Tower'!D4</f>
        <v>0.2 - 0.5 ppm</v>
      </c>
      <c r="K123" s="228"/>
      <c r="L123" s="228"/>
      <c r="M123" s="228"/>
      <c r="N123" s="229">
        <f>'Cooling Tower'!D36</f>
        <v>0.1</v>
      </c>
      <c r="O123" s="229"/>
      <c r="P123" s="229"/>
      <c r="Q123" s="229">
        <f>'Cooling Tower'!D37</f>
        <v>0.2</v>
      </c>
      <c r="R123" s="229"/>
      <c r="S123" s="229"/>
      <c r="T123" s="229">
        <f>'Cooling Tower'!D38</f>
        <v>0.19666666666666677</v>
      </c>
      <c r="U123" s="229"/>
      <c r="V123" s="230"/>
    </row>
    <row r="124" spans="1:23" ht="25.5" customHeight="1">
      <c r="B124" s="225">
        <v>4</v>
      </c>
      <c r="C124" s="226"/>
      <c r="D124" s="227" t="str">
        <f>'Cooling Tower'!F3</f>
        <v>TDS</v>
      </c>
      <c r="E124" s="227"/>
      <c r="F124" s="227"/>
      <c r="G124" s="227"/>
      <c r="H124" s="227"/>
      <c r="I124" s="227"/>
      <c r="J124" s="228" t="str">
        <f>'Cooling Tower'!F4</f>
        <v>Max. 2100 ppm</v>
      </c>
      <c r="K124" s="228"/>
      <c r="L124" s="228"/>
      <c r="M124" s="228"/>
      <c r="N124" s="231">
        <f>'Cooling Tower'!F36</f>
        <v>1218</v>
      </c>
      <c r="O124" s="232"/>
      <c r="P124" s="232"/>
      <c r="Q124" s="231">
        <f>'Cooling Tower'!F37</f>
        <v>1995</v>
      </c>
      <c r="R124" s="232"/>
      <c r="S124" s="232"/>
      <c r="T124" s="231">
        <f>'Cooling Tower'!F38</f>
        <v>1560.4</v>
      </c>
      <c r="U124" s="231"/>
      <c r="V124" s="233"/>
    </row>
    <row r="125" spans="1:23" ht="25.5" customHeight="1">
      <c r="B125" s="225">
        <v>5</v>
      </c>
      <c r="C125" s="226"/>
      <c r="D125" s="227" t="str">
        <f>'Cooling Tower'!G3</f>
        <v>TH</v>
      </c>
      <c r="E125" s="227"/>
      <c r="F125" s="227"/>
      <c r="G125" s="227"/>
      <c r="H125" s="227"/>
      <c r="I125" s="227"/>
      <c r="J125" s="228" t="str">
        <f>'Cooling Tower'!G4</f>
        <v>Max. 1200 ppm</v>
      </c>
      <c r="K125" s="228"/>
      <c r="L125" s="228"/>
      <c r="M125" s="228"/>
      <c r="N125" s="231">
        <f>'Cooling Tower'!G36</f>
        <v>672</v>
      </c>
      <c r="O125" s="231"/>
      <c r="P125" s="231"/>
      <c r="Q125" s="231">
        <f>'Cooling Tower'!G37</f>
        <v>1102</v>
      </c>
      <c r="R125" s="231"/>
      <c r="S125" s="231"/>
      <c r="T125" s="231">
        <f>'Cooling Tower'!G38</f>
        <v>904.43333333333328</v>
      </c>
      <c r="U125" s="231"/>
      <c r="V125" s="233"/>
    </row>
    <row r="126" spans="1:23" ht="25.5" customHeight="1">
      <c r="B126" s="225">
        <v>6</v>
      </c>
      <c r="C126" s="226"/>
      <c r="D126" s="227" t="str">
        <f>'Cooling Tower'!J3</f>
        <v>Cl</v>
      </c>
      <c r="E126" s="227"/>
      <c r="F126" s="227"/>
      <c r="G126" s="227"/>
      <c r="H126" s="227"/>
      <c r="I126" s="227"/>
      <c r="J126" s="234" t="str">
        <f>'Cooling Tower'!J4</f>
        <v>Max. 500 ppm</v>
      </c>
      <c r="K126" s="228"/>
      <c r="L126" s="228"/>
      <c r="M126" s="228"/>
      <c r="N126" s="231">
        <f>'Cooling Tower'!J36</f>
        <v>103</v>
      </c>
      <c r="O126" s="231"/>
      <c r="P126" s="231"/>
      <c r="Q126" s="231">
        <f>'Cooling Tower'!J37</f>
        <v>196</v>
      </c>
      <c r="R126" s="231"/>
      <c r="S126" s="231"/>
      <c r="T126" s="231">
        <f>'Cooling Tower'!J38</f>
        <v>152.03333333333333</v>
      </c>
      <c r="U126" s="231"/>
      <c r="V126" s="233"/>
    </row>
    <row r="127" spans="1:23" ht="25.5" customHeight="1">
      <c r="B127" s="225">
        <v>7</v>
      </c>
      <c r="C127" s="226"/>
      <c r="D127" s="227" t="str">
        <f>'Cooling Tower'!K3</f>
        <v>Ortho PO4</v>
      </c>
      <c r="E127" s="227"/>
      <c r="F127" s="227"/>
      <c r="G127" s="227"/>
      <c r="H127" s="227"/>
      <c r="I127" s="227"/>
      <c r="J127" s="228" t="str">
        <f>'Cooling Tower'!K4</f>
        <v>4.0 - 6.0 ppm</v>
      </c>
      <c r="K127" s="228"/>
      <c r="L127" s="228"/>
      <c r="M127" s="228"/>
      <c r="N127" s="231">
        <f>'Cooling Tower'!K36</f>
        <v>5.7</v>
      </c>
      <c r="O127" s="231"/>
      <c r="P127" s="231"/>
      <c r="Q127" s="231">
        <f>'Cooling Tower'!K37</f>
        <v>8</v>
      </c>
      <c r="R127" s="231"/>
      <c r="S127" s="231"/>
      <c r="T127" s="231">
        <f>'Cooling Tower'!K38</f>
        <v>6.9399999999999986</v>
      </c>
      <c r="U127" s="231"/>
      <c r="V127" s="233"/>
    </row>
    <row r="128" spans="1:23" ht="25.5" customHeight="1">
      <c r="B128" s="225">
        <v>8</v>
      </c>
      <c r="C128" s="226"/>
      <c r="D128" s="227" t="str">
        <f>'Cooling Tower'!L3</f>
        <v>T. Alk.</v>
      </c>
      <c r="E128" s="227"/>
      <c r="F128" s="227"/>
      <c r="G128" s="227"/>
      <c r="H128" s="227"/>
      <c r="I128" s="227"/>
      <c r="J128" s="228" t="str">
        <f>'Cooling Tower'!L4</f>
        <v>Max. 200 ppm</v>
      </c>
      <c r="K128" s="228"/>
      <c r="L128" s="228"/>
      <c r="M128" s="228"/>
      <c r="N128" s="231">
        <f>'Cooling Tower'!L36</f>
        <v>120</v>
      </c>
      <c r="O128" s="231"/>
      <c r="P128" s="231"/>
      <c r="Q128" s="231">
        <f>'Cooling Tower'!L37</f>
        <v>185</v>
      </c>
      <c r="R128" s="231"/>
      <c r="S128" s="231"/>
      <c r="T128" s="231">
        <f>'Cooling Tower'!L38</f>
        <v>166.73333333333332</v>
      </c>
      <c r="U128" s="231"/>
      <c r="V128" s="233"/>
    </row>
    <row r="129" spans="1:23" ht="25.5" customHeight="1">
      <c r="B129" s="225">
        <v>9</v>
      </c>
      <c r="C129" s="226"/>
      <c r="D129" s="227" t="str">
        <f>'Cooling Tower'!N3</f>
        <v>Total Iron</v>
      </c>
      <c r="E129" s="227"/>
      <c r="F129" s="227"/>
      <c r="G129" s="227"/>
      <c r="H129" s="227"/>
      <c r="I129" s="227"/>
      <c r="J129" s="228" t="str">
        <f>'Cooling Tower'!N4</f>
        <v>Max. 2 ppm</v>
      </c>
      <c r="K129" s="228"/>
      <c r="L129" s="228"/>
      <c r="M129" s="228"/>
      <c r="N129" s="229">
        <f>'Cooling Tower'!N36</f>
        <v>0.2</v>
      </c>
      <c r="O129" s="229"/>
      <c r="P129" s="229"/>
      <c r="Q129" s="229">
        <f>'Cooling Tower'!N37</f>
        <v>0.3</v>
      </c>
      <c r="R129" s="229"/>
      <c r="S129" s="229"/>
      <c r="T129" s="229">
        <f>'Cooling Tower'!N38</f>
        <v>0.20666666666666672</v>
      </c>
      <c r="U129" s="229"/>
      <c r="V129" s="230"/>
    </row>
    <row r="130" spans="1:23" ht="25.5" customHeight="1">
      <c r="B130" s="225">
        <v>10</v>
      </c>
      <c r="C130" s="226"/>
      <c r="D130" s="227" t="str">
        <f>'Cooling Tower'!P3</f>
        <v>Sulphate</v>
      </c>
      <c r="E130" s="227"/>
      <c r="F130" s="227"/>
      <c r="G130" s="227"/>
      <c r="H130" s="227"/>
      <c r="I130" s="227"/>
      <c r="J130" s="228" t="str">
        <f>'Cooling Tower'!P4</f>
        <v>Max. 1000 ppm</v>
      </c>
      <c r="K130" s="228"/>
      <c r="L130" s="228"/>
      <c r="M130" s="228"/>
      <c r="N130" s="229">
        <f>'Cooling Tower'!P36</f>
        <v>893</v>
      </c>
      <c r="O130" s="229"/>
      <c r="P130" s="229"/>
      <c r="Q130" s="229">
        <f>'Cooling Tower'!P37</f>
        <v>984</v>
      </c>
      <c r="R130" s="229"/>
      <c r="S130" s="229"/>
      <c r="T130" s="229">
        <f>'Cooling Tower'!P38</f>
        <v>932.8</v>
      </c>
      <c r="U130" s="229"/>
      <c r="V130" s="230"/>
    </row>
    <row r="131" spans="1:23" ht="25.5" customHeight="1" thickBot="1">
      <c r="B131" s="235">
        <v>11</v>
      </c>
      <c r="C131" s="236"/>
      <c r="D131" s="237" t="str">
        <f>'Cooling Tower'!Q3</f>
        <v>Silica</v>
      </c>
      <c r="E131" s="237"/>
      <c r="F131" s="237"/>
      <c r="G131" s="237"/>
      <c r="H131" s="237"/>
      <c r="I131" s="237"/>
      <c r="J131" s="246" t="str">
        <f>'Cooling Tower'!Q4</f>
        <v>180 ppm</v>
      </c>
      <c r="K131" s="247"/>
      <c r="L131" s="247"/>
      <c r="M131" s="247"/>
      <c r="N131" s="242">
        <f>'Cooling Tower'!Q36</f>
        <v>91</v>
      </c>
      <c r="O131" s="242"/>
      <c r="P131" s="242"/>
      <c r="Q131" s="242">
        <f>'Cooling Tower'!Q37</f>
        <v>121</v>
      </c>
      <c r="R131" s="242"/>
      <c r="S131" s="242"/>
      <c r="T131" s="242">
        <f>'Cooling Tower'!Q38</f>
        <v>109.03333333333333</v>
      </c>
      <c r="U131" s="242"/>
      <c r="V131" s="243"/>
    </row>
    <row r="132" spans="1:23" ht="43.5" customHeight="1" thickBot="1">
      <c r="A132" s="85" t="s">
        <v>48</v>
      </c>
      <c r="B132" s="211" t="s">
        <v>57</v>
      </c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</row>
    <row r="133" spans="1:23" ht="29.25" customHeight="1" thickBot="1">
      <c r="B133" s="212" t="s">
        <v>25</v>
      </c>
      <c r="C133" s="213"/>
      <c r="D133" s="213" t="s">
        <v>32</v>
      </c>
      <c r="E133" s="213"/>
      <c r="F133" s="213"/>
      <c r="G133" s="213"/>
      <c r="H133" s="213"/>
      <c r="I133" s="213"/>
      <c r="J133" s="213" t="s">
        <v>34</v>
      </c>
      <c r="K133" s="213"/>
      <c r="L133" s="213"/>
      <c r="M133" s="213"/>
      <c r="N133" s="213" t="s">
        <v>26</v>
      </c>
      <c r="O133" s="213"/>
      <c r="P133" s="213"/>
      <c r="Q133" s="213" t="s">
        <v>27</v>
      </c>
      <c r="R133" s="213"/>
      <c r="S133" s="213"/>
      <c r="T133" s="213" t="s">
        <v>33</v>
      </c>
      <c r="U133" s="213"/>
      <c r="V133" s="214"/>
    </row>
    <row r="134" spans="1:23" ht="24" customHeight="1">
      <c r="B134" s="219">
        <v>1</v>
      </c>
      <c r="C134" s="220"/>
      <c r="D134" s="221" t="str">
        <f>MakeUp!B3</f>
        <v>pH</v>
      </c>
      <c r="E134" s="221"/>
      <c r="F134" s="221"/>
      <c r="G134" s="221"/>
      <c r="H134" s="221"/>
      <c r="I134" s="221"/>
      <c r="J134" s="220" t="s">
        <v>12</v>
      </c>
      <c r="K134" s="220"/>
      <c r="L134" s="220"/>
      <c r="M134" s="220"/>
      <c r="N134" s="223">
        <f>MakeUp!B36</f>
        <v>7.8</v>
      </c>
      <c r="O134" s="223"/>
      <c r="P134" s="223"/>
      <c r="Q134" s="223">
        <f>MakeUp!B37</f>
        <v>8.1199999999999992</v>
      </c>
      <c r="R134" s="223"/>
      <c r="S134" s="223"/>
      <c r="T134" s="223">
        <f>MakeUp!B38</f>
        <v>8.0116666666666685</v>
      </c>
      <c r="U134" s="223"/>
      <c r="V134" s="224"/>
    </row>
    <row r="135" spans="1:23" ht="24" customHeight="1">
      <c r="B135" s="225">
        <v>2</v>
      </c>
      <c r="C135" s="226"/>
      <c r="D135" s="227" t="str">
        <f>MakeUp!C3</f>
        <v>Turb.</v>
      </c>
      <c r="E135" s="227"/>
      <c r="F135" s="227"/>
      <c r="G135" s="227"/>
      <c r="H135" s="227"/>
      <c r="I135" s="227"/>
      <c r="J135" s="226" t="s">
        <v>35</v>
      </c>
      <c r="K135" s="226"/>
      <c r="L135" s="226"/>
      <c r="M135" s="226"/>
      <c r="N135" s="229">
        <f>MakeUp!C36</f>
        <v>2</v>
      </c>
      <c r="O135" s="229"/>
      <c r="P135" s="229"/>
      <c r="Q135" s="229">
        <f>MakeUp!C37</f>
        <v>3</v>
      </c>
      <c r="R135" s="229"/>
      <c r="S135" s="229"/>
      <c r="T135" s="229">
        <f>MakeUp!C38</f>
        <v>2.3666666666666667</v>
      </c>
      <c r="U135" s="229"/>
      <c r="V135" s="230"/>
    </row>
    <row r="136" spans="1:23" ht="24" customHeight="1">
      <c r="B136" s="225">
        <v>3</v>
      </c>
      <c r="C136" s="226"/>
      <c r="D136" s="227" t="str">
        <f>MakeUp!D3</f>
        <v>Cond</v>
      </c>
      <c r="E136" s="227"/>
      <c r="F136" s="227"/>
      <c r="G136" s="227"/>
      <c r="H136" s="227"/>
      <c r="I136" s="227"/>
      <c r="J136" s="228" t="s">
        <v>75</v>
      </c>
      <c r="K136" s="228"/>
      <c r="L136" s="228"/>
      <c r="M136" s="228"/>
      <c r="N136" s="229">
        <f>MakeUp!D36</f>
        <v>250</v>
      </c>
      <c r="O136" s="229"/>
      <c r="P136" s="229"/>
      <c r="Q136" s="229">
        <f>MakeUp!D37</f>
        <v>365</v>
      </c>
      <c r="R136" s="229"/>
      <c r="S136" s="229"/>
      <c r="T136" s="229">
        <f>MakeUp!D38</f>
        <v>283.76666666666665</v>
      </c>
      <c r="U136" s="229"/>
      <c r="V136" s="230"/>
    </row>
    <row r="137" spans="1:23" ht="24" customHeight="1">
      <c r="B137" s="225">
        <v>4</v>
      </c>
      <c r="C137" s="226"/>
      <c r="D137" s="227" t="str">
        <f>MakeUp!E3</f>
        <v>TDS</v>
      </c>
      <c r="E137" s="227"/>
      <c r="F137" s="227"/>
      <c r="G137" s="227"/>
      <c r="H137" s="227"/>
      <c r="I137" s="227"/>
      <c r="J137" s="226" t="s">
        <v>11</v>
      </c>
      <c r="K137" s="226"/>
      <c r="L137" s="226"/>
      <c r="M137" s="226"/>
      <c r="N137" s="229">
        <f>MakeUp!E36</f>
        <v>170</v>
      </c>
      <c r="O137" s="229"/>
      <c r="P137" s="229"/>
      <c r="Q137" s="229">
        <f>MakeUp!E37</f>
        <v>220</v>
      </c>
      <c r="R137" s="229"/>
      <c r="S137" s="229"/>
      <c r="T137" s="229">
        <f>MakeUp!E38</f>
        <v>190.33333333333334</v>
      </c>
      <c r="U137" s="229"/>
      <c r="V137" s="230"/>
    </row>
    <row r="138" spans="1:23" ht="24" customHeight="1">
      <c r="B138" s="225">
        <v>5</v>
      </c>
      <c r="C138" s="226"/>
      <c r="D138" s="227" t="str">
        <f>MakeUp!F3</f>
        <v>TH</v>
      </c>
      <c r="E138" s="227"/>
      <c r="F138" s="227"/>
      <c r="G138" s="227"/>
      <c r="H138" s="227"/>
      <c r="I138" s="227"/>
      <c r="J138" s="226" t="s">
        <v>11</v>
      </c>
      <c r="K138" s="226"/>
      <c r="L138" s="226"/>
      <c r="M138" s="226"/>
      <c r="N138" s="229">
        <f>MakeUp!F36</f>
        <v>112</v>
      </c>
      <c r="O138" s="229"/>
      <c r="P138" s="229"/>
      <c r="Q138" s="229">
        <f>MakeUp!F37</f>
        <v>128</v>
      </c>
      <c r="R138" s="229"/>
      <c r="S138" s="229"/>
      <c r="T138" s="229">
        <f>MakeUp!F38</f>
        <v>120.46666666666667</v>
      </c>
      <c r="U138" s="229"/>
      <c r="V138" s="230"/>
    </row>
    <row r="139" spans="1:23" ht="24" customHeight="1">
      <c r="B139" s="225">
        <v>6</v>
      </c>
      <c r="C139" s="226"/>
      <c r="D139" s="227" t="str">
        <f>MakeUp!H3</f>
        <v>Cl</v>
      </c>
      <c r="E139" s="227"/>
      <c r="F139" s="227"/>
      <c r="G139" s="227"/>
      <c r="H139" s="227"/>
      <c r="I139" s="227"/>
      <c r="J139" s="226" t="s">
        <v>11</v>
      </c>
      <c r="K139" s="226"/>
      <c r="L139" s="226"/>
      <c r="M139" s="226"/>
      <c r="N139" s="229">
        <f>MakeUp!H36</f>
        <v>36</v>
      </c>
      <c r="O139" s="229"/>
      <c r="P139" s="229"/>
      <c r="Q139" s="229">
        <f>MakeUp!H37</f>
        <v>36</v>
      </c>
      <c r="R139" s="229"/>
      <c r="S139" s="229"/>
      <c r="T139" s="229">
        <f>MakeUp!H38</f>
        <v>33</v>
      </c>
      <c r="U139" s="229"/>
      <c r="V139" s="230"/>
    </row>
    <row r="140" spans="1:23" ht="24" customHeight="1">
      <c r="B140" s="225">
        <v>7</v>
      </c>
      <c r="C140" s="226"/>
      <c r="D140" s="227" t="str">
        <f>MakeUp!I3</f>
        <v>Silica</v>
      </c>
      <c r="E140" s="227"/>
      <c r="F140" s="227"/>
      <c r="G140" s="227"/>
      <c r="H140" s="227"/>
      <c r="I140" s="227"/>
      <c r="J140" s="226" t="s">
        <v>11</v>
      </c>
      <c r="K140" s="226"/>
      <c r="L140" s="226"/>
      <c r="M140" s="226"/>
      <c r="N140" s="229">
        <f>MakeUp!I36</f>
        <v>17</v>
      </c>
      <c r="O140" s="229"/>
      <c r="P140" s="229"/>
      <c r="Q140" s="229">
        <f>MakeUp!I37</f>
        <v>21</v>
      </c>
      <c r="R140" s="229"/>
      <c r="S140" s="229"/>
      <c r="T140" s="229">
        <f>MakeUp!I38</f>
        <v>18.966666666666665</v>
      </c>
      <c r="U140" s="229"/>
      <c r="V140" s="230"/>
    </row>
    <row r="141" spans="1:23" ht="24" customHeight="1" thickBot="1">
      <c r="B141" s="235">
        <v>8</v>
      </c>
      <c r="C141" s="236"/>
      <c r="D141" s="237" t="str">
        <f>MakeUp!J3</f>
        <v>T. Alk.</v>
      </c>
      <c r="E141" s="237"/>
      <c r="F141" s="237"/>
      <c r="G141" s="237"/>
      <c r="H141" s="237"/>
      <c r="I141" s="237"/>
      <c r="J141" s="236" t="s">
        <v>11</v>
      </c>
      <c r="K141" s="236"/>
      <c r="L141" s="236"/>
      <c r="M141" s="236"/>
      <c r="N141" s="242">
        <f>MakeUp!J36</f>
        <v>155</v>
      </c>
      <c r="O141" s="242"/>
      <c r="P141" s="242"/>
      <c r="Q141" s="242">
        <f>MakeUp!J37</f>
        <v>172</v>
      </c>
      <c r="R141" s="242"/>
      <c r="S141" s="242"/>
      <c r="T141" s="242">
        <f>MakeUp!J38</f>
        <v>164.83333333333334</v>
      </c>
      <c r="U141" s="242"/>
      <c r="V141" s="243"/>
    </row>
    <row r="142" spans="1:23" ht="19.5" customHeight="1">
      <c r="B142" s="91"/>
      <c r="C142" s="91"/>
      <c r="D142" s="93"/>
      <c r="E142" s="93"/>
      <c r="F142" s="93"/>
      <c r="G142" s="93"/>
      <c r="H142" s="93"/>
      <c r="I142" s="93"/>
      <c r="J142" s="91"/>
      <c r="K142" s="91"/>
      <c r="L142" s="91"/>
      <c r="M142" s="91"/>
      <c r="N142" s="90"/>
      <c r="O142" s="90"/>
      <c r="P142" s="90"/>
      <c r="Q142" s="90"/>
      <c r="R142" s="90"/>
      <c r="S142" s="90"/>
      <c r="T142" s="95"/>
      <c r="U142" s="95"/>
      <c r="V142" s="95"/>
      <c r="W142" s="100"/>
    </row>
    <row r="143" spans="1:23" ht="19.5" customHeight="1">
      <c r="B143" s="160"/>
      <c r="C143" s="160"/>
      <c r="D143" s="161"/>
      <c r="E143" s="161"/>
      <c r="F143" s="161"/>
      <c r="G143" s="161"/>
      <c r="H143" s="161"/>
      <c r="I143" s="161"/>
      <c r="J143" s="160"/>
      <c r="K143" s="160"/>
      <c r="L143" s="160"/>
      <c r="M143" s="160"/>
      <c r="N143" s="90"/>
      <c r="O143" s="90"/>
      <c r="P143" s="90"/>
      <c r="Q143" s="90"/>
      <c r="R143" s="90"/>
      <c r="S143" s="90"/>
      <c r="T143" s="95"/>
      <c r="U143" s="95"/>
      <c r="V143" s="95"/>
      <c r="W143" s="100"/>
    </row>
    <row r="144" spans="1:23" ht="19.5" customHeight="1">
      <c r="B144" s="91"/>
      <c r="C144" s="91"/>
      <c r="D144" s="93"/>
      <c r="E144" s="93"/>
      <c r="F144" s="93"/>
      <c r="G144" s="93"/>
      <c r="H144" s="93"/>
      <c r="I144" s="93"/>
      <c r="J144" s="91"/>
      <c r="K144" s="91"/>
      <c r="L144" s="91"/>
      <c r="M144" s="91"/>
      <c r="N144" s="90"/>
      <c r="O144" s="90"/>
      <c r="P144" s="90"/>
      <c r="Q144" s="90"/>
      <c r="R144" s="90"/>
      <c r="S144" s="90"/>
      <c r="T144" s="95"/>
      <c r="U144" s="95"/>
      <c r="V144" s="95"/>
      <c r="W144" s="100"/>
    </row>
    <row r="147" spans="1:23" ht="43.5" customHeight="1" thickBot="1">
      <c r="A147" s="85" t="s">
        <v>48</v>
      </c>
      <c r="B147" s="211" t="s">
        <v>115</v>
      </c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</row>
    <row r="148" spans="1:23" ht="50.1" customHeight="1" thickBot="1">
      <c r="B148" s="212" t="s">
        <v>25</v>
      </c>
      <c r="C148" s="213"/>
      <c r="D148" s="213" t="s">
        <v>32</v>
      </c>
      <c r="E148" s="213"/>
      <c r="F148" s="213"/>
      <c r="G148" s="213"/>
      <c r="H148" s="213"/>
      <c r="I148" s="213"/>
      <c r="J148" s="213" t="s">
        <v>74</v>
      </c>
      <c r="K148" s="213"/>
      <c r="L148" s="213"/>
      <c r="M148" s="213"/>
      <c r="N148" s="213" t="s">
        <v>111</v>
      </c>
      <c r="O148" s="213"/>
      <c r="P148" s="213"/>
      <c r="Q148" s="213" t="s">
        <v>110</v>
      </c>
      <c r="R148" s="213"/>
      <c r="S148" s="213"/>
      <c r="T148" s="213" t="s">
        <v>112</v>
      </c>
      <c r="U148" s="213"/>
      <c r="V148" s="214"/>
    </row>
    <row r="149" spans="1:23" ht="32.450000000000003" customHeight="1">
      <c r="B149" s="219">
        <v>1</v>
      </c>
      <c r="C149" s="220"/>
      <c r="D149" s="221" t="str">
        <f>D121</f>
        <v xml:space="preserve">pH </v>
      </c>
      <c r="E149" s="221"/>
      <c r="F149" s="221"/>
      <c r="G149" s="221"/>
      <c r="H149" s="221"/>
      <c r="I149" s="221"/>
      <c r="J149" s="222" t="str">
        <f>J121</f>
        <v>7.5-8.0</v>
      </c>
      <c r="K149" s="222"/>
      <c r="L149" s="222"/>
      <c r="M149" s="222"/>
      <c r="N149" s="244">
        <f>'Cooling Tower'!B39</f>
        <v>0</v>
      </c>
      <c r="O149" s="244"/>
      <c r="P149" s="244"/>
      <c r="Q149" s="244">
        <f>'Cooling Tower'!B40</f>
        <v>6</v>
      </c>
      <c r="R149" s="244"/>
      <c r="S149" s="244"/>
      <c r="T149" s="244">
        <f>((COUNT('Cooling Tower'!A5:A35)-(N149+Q149))/COUNT('Cooling Tower'!A5:A35))*100</f>
        <v>80</v>
      </c>
      <c r="U149" s="244"/>
      <c r="V149" s="245"/>
    </row>
    <row r="150" spans="1:23" ht="32.450000000000003" customHeight="1">
      <c r="B150" s="225">
        <v>2</v>
      </c>
      <c r="C150" s="226"/>
      <c r="D150" s="227" t="str">
        <f t="shared" ref="D150:D159" si="0">D122</f>
        <v>Turbidity</v>
      </c>
      <c r="E150" s="227"/>
      <c r="F150" s="227"/>
      <c r="G150" s="227"/>
      <c r="H150" s="227"/>
      <c r="I150" s="227"/>
      <c r="J150" s="228" t="str">
        <f t="shared" ref="J150:J159" si="1">J122</f>
        <v>Max. 20 NTU</v>
      </c>
      <c r="K150" s="228"/>
      <c r="L150" s="228"/>
      <c r="M150" s="228"/>
      <c r="N150" s="231" t="str">
        <f>'Cooling Tower'!C39</f>
        <v>--</v>
      </c>
      <c r="O150" s="231"/>
      <c r="P150" s="231"/>
      <c r="Q150" s="231">
        <f>'Cooling Tower'!C40</f>
        <v>28</v>
      </c>
      <c r="R150" s="231"/>
      <c r="S150" s="231"/>
      <c r="T150" s="231">
        <f>((COUNT('Cooling Tower'!A6:A36)-(Q150))/COUNT('Cooling Tower'!A6:A36))*100</f>
        <v>3.4482758620689653</v>
      </c>
      <c r="U150" s="231"/>
      <c r="V150" s="233"/>
    </row>
    <row r="151" spans="1:23" ht="32.450000000000003" customHeight="1">
      <c r="B151" s="225">
        <v>3</v>
      </c>
      <c r="C151" s="226"/>
      <c r="D151" s="227" t="str">
        <f t="shared" si="0"/>
        <v>FRC</v>
      </c>
      <c r="E151" s="227"/>
      <c r="F151" s="227"/>
      <c r="G151" s="227"/>
      <c r="H151" s="227"/>
      <c r="I151" s="227"/>
      <c r="J151" s="228" t="str">
        <f t="shared" si="1"/>
        <v>0.2 - 0.5 ppm</v>
      </c>
      <c r="K151" s="228"/>
      <c r="L151" s="228"/>
      <c r="M151" s="228"/>
      <c r="N151" s="231">
        <f>'Cooling Tower'!D39</f>
        <v>1</v>
      </c>
      <c r="O151" s="231"/>
      <c r="P151" s="231"/>
      <c r="Q151" s="231">
        <f>'Cooling Tower'!D40</f>
        <v>0</v>
      </c>
      <c r="R151" s="231"/>
      <c r="S151" s="231"/>
      <c r="T151" s="231">
        <f>((COUNT('Cooling Tower'!A7:A37)-(N151+Q151))/COUNT('Cooling Tower'!A7:A37))*100</f>
        <v>96.428571428571431</v>
      </c>
      <c r="U151" s="231"/>
      <c r="V151" s="233"/>
    </row>
    <row r="152" spans="1:23" ht="32.450000000000003" customHeight="1">
      <c r="B152" s="225">
        <v>4</v>
      </c>
      <c r="C152" s="226"/>
      <c r="D152" s="227" t="str">
        <f t="shared" si="0"/>
        <v>TDS</v>
      </c>
      <c r="E152" s="227"/>
      <c r="F152" s="227"/>
      <c r="G152" s="227"/>
      <c r="H152" s="227"/>
      <c r="I152" s="227"/>
      <c r="J152" s="228" t="str">
        <f t="shared" si="1"/>
        <v>Max. 2100 ppm</v>
      </c>
      <c r="K152" s="228"/>
      <c r="L152" s="228"/>
      <c r="M152" s="228"/>
      <c r="N152" s="231" t="str">
        <f>'Cooling Tower'!F39</f>
        <v>--</v>
      </c>
      <c r="O152" s="231"/>
      <c r="P152" s="231"/>
      <c r="Q152" s="231">
        <f>'Cooling Tower'!F40</f>
        <v>0</v>
      </c>
      <c r="R152" s="231"/>
      <c r="S152" s="231"/>
      <c r="T152" s="231">
        <f>((COUNT('Cooling Tower'!A8:A38)-(Q152))/COUNT('Cooling Tower'!A8:A38))*100</f>
        <v>100</v>
      </c>
      <c r="U152" s="231"/>
      <c r="V152" s="233"/>
    </row>
    <row r="153" spans="1:23" ht="32.450000000000003" customHeight="1">
      <c r="B153" s="225">
        <v>5</v>
      </c>
      <c r="C153" s="226"/>
      <c r="D153" s="227" t="str">
        <f t="shared" si="0"/>
        <v>TH</v>
      </c>
      <c r="E153" s="227"/>
      <c r="F153" s="227"/>
      <c r="G153" s="227"/>
      <c r="H153" s="227"/>
      <c r="I153" s="227"/>
      <c r="J153" s="228" t="str">
        <f t="shared" si="1"/>
        <v>Max. 1200 ppm</v>
      </c>
      <c r="K153" s="228"/>
      <c r="L153" s="228"/>
      <c r="M153" s="228"/>
      <c r="N153" s="231" t="str">
        <f>'Cooling Tower'!G39</f>
        <v>--</v>
      </c>
      <c r="O153" s="231"/>
      <c r="P153" s="231"/>
      <c r="Q153" s="231">
        <f>'Cooling Tower'!G40</f>
        <v>0</v>
      </c>
      <c r="R153" s="231"/>
      <c r="S153" s="231"/>
      <c r="T153" s="231">
        <f>((COUNT('Cooling Tower'!A9:A39)-(Q153))/COUNT('Cooling Tower'!A9:A39))*100</f>
        <v>100</v>
      </c>
      <c r="U153" s="231"/>
      <c r="V153" s="233"/>
    </row>
    <row r="154" spans="1:23" ht="32.450000000000003" customHeight="1">
      <c r="B154" s="225">
        <v>6</v>
      </c>
      <c r="C154" s="226"/>
      <c r="D154" s="227" t="str">
        <f t="shared" si="0"/>
        <v>Cl</v>
      </c>
      <c r="E154" s="227"/>
      <c r="F154" s="227"/>
      <c r="G154" s="227"/>
      <c r="H154" s="227"/>
      <c r="I154" s="227"/>
      <c r="J154" s="228" t="str">
        <f t="shared" si="1"/>
        <v>Max. 500 ppm</v>
      </c>
      <c r="K154" s="228"/>
      <c r="L154" s="228"/>
      <c r="M154" s="228"/>
      <c r="N154" s="231" t="str">
        <f>'Cooling Tower'!J39</f>
        <v>--</v>
      </c>
      <c r="O154" s="231"/>
      <c r="P154" s="231"/>
      <c r="Q154" s="231">
        <f>'Cooling Tower'!J40</f>
        <v>0</v>
      </c>
      <c r="R154" s="231"/>
      <c r="S154" s="231"/>
      <c r="T154" s="231">
        <f>((COUNT('Cooling Tower'!A10:A40)-(Q154))/COUNT('Cooling Tower'!A10:A40))*100</f>
        <v>100</v>
      </c>
      <c r="U154" s="231"/>
      <c r="V154" s="233"/>
    </row>
    <row r="155" spans="1:23" ht="32.450000000000003" customHeight="1">
      <c r="B155" s="225">
        <v>7</v>
      </c>
      <c r="C155" s="226"/>
      <c r="D155" s="227" t="str">
        <f t="shared" si="0"/>
        <v>Ortho PO4</v>
      </c>
      <c r="E155" s="227"/>
      <c r="F155" s="227"/>
      <c r="G155" s="227"/>
      <c r="H155" s="227"/>
      <c r="I155" s="227"/>
      <c r="J155" s="228" t="str">
        <f t="shared" si="1"/>
        <v>4.0 - 6.0 ppm</v>
      </c>
      <c r="K155" s="228"/>
      <c r="L155" s="228"/>
      <c r="M155" s="228"/>
      <c r="N155" s="231">
        <f>'Cooling Tower'!K39</f>
        <v>0</v>
      </c>
      <c r="O155" s="231"/>
      <c r="P155" s="231"/>
      <c r="Q155" s="231">
        <f>'Cooling Tower'!K40</f>
        <v>27</v>
      </c>
      <c r="R155" s="231"/>
      <c r="S155" s="231"/>
      <c r="T155" s="231">
        <f>((COUNT('Cooling Tower'!A11:A41)-(N155+Q155))/COUNT('Cooling Tower'!A11:A41))*100</f>
        <v>-12.5</v>
      </c>
      <c r="U155" s="231"/>
      <c r="V155" s="233"/>
    </row>
    <row r="156" spans="1:23" ht="32.450000000000003" customHeight="1">
      <c r="B156" s="225">
        <v>8</v>
      </c>
      <c r="C156" s="226"/>
      <c r="D156" s="227" t="str">
        <f t="shared" si="0"/>
        <v>T. Alk.</v>
      </c>
      <c r="E156" s="227"/>
      <c r="F156" s="227"/>
      <c r="G156" s="227"/>
      <c r="H156" s="227"/>
      <c r="I156" s="227"/>
      <c r="J156" s="228" t="str">
        <f t="shared" si="1"/>
        <v>Max. 200 ppm</v>
      </c>
      <c r="K156" s="228"/>
      <c r="L156" s="228"/>
      <c r="M156" s="228"/>
      <c r="N156" s="231" t="str">
        <f>'Cooling Tower'!L39</f>
        <v>--</v>
      </c>
      <c r="O156" s="231"/>
      <c r="P156" s="231"/>
      <c r="Q156" s="231">
        <f>'Cooling Tower'!L40</f>
        <v>0</v>
      </c>
      <c r="R156" s="231"/>
      <c r="S156" s="231"/>
      <c r="T156" s="231">
        <f>((COUNT('Cooling Tower'!A12:A42)-(Q156))/COUNT('Cooling Tower'!A12:A42))*100</f>
        <v>100</v>
      </c>
      <c r="U156" s="231"/>
      <c r="V156" s="233"/>
    </row>
    <row r="157" spans="1:23" ht="32.450000000000003" customHeight="1">
      <c r="B157" s="225">
        <v>9</v>
      </c>
      <c r="C157" s="226"/>
      <c r="D157" s="227" t="str">
        <f t="shared" si="0"/>
        <v>Total Iron</v>
      </c>
      <c r="E157" s="227"/>
      <c r="F157" s="227"/>
      <c r="G157" s="227"/>
      <c r="H157" s="227"/>
      <c r="I157" s="227"/>
      <c r="J157" s="228" t="str">
        <f t="shared" si="1"/>
        <v>Max. 2 ppm</v>
      </c>
      <c r="K157" s="228"/>
      <c r="L157" s="228"/>
      <c r="M157" s="228"/>
      <c r="N157" s="231" t="str">
        <f>'Cooling Tower'!N39</f>
        <v>--</v>
      </c>
      <c r="O157" s="231"/>
      <c r="P157" s="231"/>
      <c r="Q157" s="231">
        <f>'Cooling Tower'!N40</f>
        <v>0</v>
      </c>
      <c r="R157" s="231"/>
      <c r="S157" s="231"/>
      <c r="T157" s="231">
        <f>((COUNT('Cooling Tower'!A13:A43)-(Q157))/COUNT('Cooling Tower'!A13:A43))*100</f>
        <v>100</v>
      </c>
      <c r="U157" s="231"/>
      <c r="V157" s="233"/>
    </row>
    <row r="158" spans="1:23" ht="32.450000000000003" customHeight="1">
      <c r="B158" s="225">
        <v>10</v>
      </c>
      <c r="C158" s="226"/>
      <c r="D158" s="227" t="str">
        <f t="shared" si="0"/>
        <v>Sulphate</v>
      </c>
      <c r="E158" s="227"/>
      <c r="F158" s="227"/>
      <c r="G158" s="227"/>
      <c r="H158" s="227"/>
      <c r="I158" s="227"/>
      <c r="J158" s="228" t="str">
        <f t="shared" si="1"/>
        <v>Max. 1000 ppm</v>
      </c>
      <c r="K158" s="228"/>
      <c r="L158" s="228"/>
      <c r="M158" s="228"/>
      <c r="N158" s="231" t="str">
        <f>'Cooling Tower'!P39</f>
        <v>--</v>
      </c>
      <c r="O158" s="231"/>
      <c r="P158" s="231"/>
      <c r="Q158" s="231">
        <f>'Cooling Tower'!P40</f>
        <v>0</v>
      </c>
      <c r="R158" s="231"/>
      <c r="S158" s="231"/>
      <c r="T158" s="231">
        <f>((COUNT('Cooling Tower'!A14:A44)-(Q158))/COUNT('Cooling Tower'!A14:A44))*100</f>
        <v>100</v>
      </c>
      <c r="U158" s="231"/>
      <c r="V158" s="233"/>
    </row>
    <row r="159" spans="1:23" ht="32.450000000000003" customHeight="1" thickBot="1">
      <c r="B159" s="235">
        <v>11</v>
      </c>
      <c r="C159" s="236"/>
      <c r="D159" s="237" t="str">
        <f t="shared" si="0"/>
        <v>Silica</v>
      </c>
      <c r="E159" s="237"/>
      <c r="F159" s="237"/>
      <c r="G159" s="237"/>
      <c r="H159" s="237"/>
      <c r="I159" s="237"/>
      <c r="J159" s="247" t="str">
        <f t="shared" si="1"/>
        <v>180 ppm</v>
      </c>
      <c r="K159" s="247"/>
      <c r="L159" s="247"/>
      <c r="M159" s="247"/>
      <c r="N159" s="248" t="str">
        <f>'Cooling Tower'!Q39</f>
        <v>--</v>
      </c>
      <c r="O159" s="248"/>
      <c r="P159" s="248"/>
      <c r="Q159" s="248">
        <f>'Cooling Tower'!P40</f>
        <v>0</v>
      </c>
      <c r="R159" s="248"/>
      <c r="S159" s="248"/>
      <c r="T159" s="248">
        <f>((COUNT('Cooling Tower'!A15:A45)-(Q159))/COUNT('Cooling Tower'!A15:A45))*100</f>
        <v>100</v>
      </c>
      <c r="U159" s="248"/>
      <c r="V159" s="249"/>
    </row>
  </sheetData>
  <mergeCells count="258">
    <mergeCell ref="B159:C159"/>
    <mergeCell ref="D159:I159"/>
    <mergeCell ref="J159:M159"/>
    <mergeCell ref="N159:P159"/>
    <mergeCell ref="Q159:S159"/>
    <mergeCell ref="T159:V159"/>
    <mergeCell ref="B147:W147"/>
    <mergeCell ref="B157:C157"/>
    <mergeCell ref="D157:I157"/>
    <mergeCell ref="J157:M157"/>
    <mergeCell ref="N157:P157"/>
    <mergeCell ref="Q157:S157"/>
    <mergeCell ref="T157:V157"/>
    <mergeCell ref="B158:C158"/>
    <mergeCell ref="D158:I158"/>
    <mergeCell ref="J158:M158"/>
    <mergeCell ref="N158:P158"/>
    <mergeCell ref="Q158:S158"/>
    <mergeCell ref="T158:V158"/>
    <mergeCell ref="B150:C150"/>
    <mergeCell ref="D150:I150"/>
    <mergeCell ref="J150:M150"/>
    <mergeCell ref="T150:V150"/>
    <mergeCell ref="N150:P150"/>
    <mergeCell ref="Q137:S137"/>
    <mergeCell ref="B135:C135"/>
    <mergeCell ref="D135:I135"/>
    <mergeCell ref="D133:I133"/>
    <mergeCell ref="J133:M133"/>
    <mergeCell ref="J131:M131"/>
    <mergeCell ref="N131:P131"/>
    <mergeCell ref="Q131:S131"/>
    <mergeCell ref="Q134:S134"/>
    <mergeCell ref="B134:C134"/>
    <mergeCell ref="D134:I134"/>
    <mergeCell ref="J134:M134"/>
    <mergeCell ref="B132:W132"/>
    <mergeCell ref="B133:C133"/>
    <mergeCell ref="N134:P134"/>
    <mergeCell ref="T131:V131"/>
    <mergeCell ref="T135:V135"/>
    <mergeCell ref="D131:I131"/>
    <mergeCell ref="N133:P133"/>
    <mergeCell ref="Q133:S133"/>
    <mergeCell ref="T133:V133"/>
    <mergeCell ref="T136:V136"/>
    <mergeCell ref="J141:M141"/>
    <mergeCell ref="N141:P141"/>
    <mergeCell ref="Q141:S141"/>
    <mergeCell ref="T141:V141"/>
    <mergeCell ref="B149:C149"/>
    <mergeCell ref="D149:I149"/>
    <mergeCell ref="J149:M149"/>
    <mergeCell ref="T149:V149"/>
    <mergeCell ref="J139:M139"/>
    <mergeCell ref="B148:C148"/>
    <mergeCell ref="D148:I148"/>
    <mergeCell ref="J148:M148"/>
    <mergeCell ref="N148:P148"/>
    <mergeCell ref="Q148:S148"/>
    <mergeCell ref="T148:V148"/>
    <mergeCell ref="N149:P149"/>
    <mergeCell ref="Q149:S149"/>
    <mergeCell ref="A73:W73"/>
    <mergeCell ref="A75:W75"/>
    <mergeCell ref="A76:W76"/>
    <mergeCell ref="A93:W93"/>
    <mergeCell ref="A94:W94"/>
    <mergeCell ref="A88:W88"/>
    <mergeCell ref="A89:W89"/>
    <mergeCell ref="A90:W90"/>
    <mergeCell ref="N138:P138"/>
    <mergeCell ref="Q135:S135"/>
    <mergeCell ref="B131:C131"/>
    <mergeCell ref="T138:V138"/>
    <mergeCell ref="T137:V137"/>
    <mergeCell ref="N136:P136"/>
    <mergeCell ref="J135:M135"/>
    <mergeCell ref="B136:C136"/>
    <mergeCell ref="D136:I136"/>
    <mergeCell ref="J136:M136"/>
    <mergeCell ref="Q136:S136"/>
    <mergeCell ref="N137:P137"/>
    <mergeCell ref="Q138:S138"/>
    <mergeCell ref="B137:C137"/>
    <mergeCell ref="D137:I137"/>
    <mergeCell ref="J137:M137"/>
    <mergeCell ref="A95:W95"/>
    <mergeCell ref="A79:W79"/>
    <mergeCell ref="A80:W80"/>
    <mergeCell ref="A86:W86"/>
    <mergeCell ref="A84:W84"/>
    <mergeCell ref="A85:W85"/>
    <mergeCell ref="A92:W92"/>
    <mergeCell ref="A87:W87"/>
    <mergeCell ref="A91:W91"/>
    <mergeCell ref="A81:M81"/>
    <mergeCell ref="N81:W81"/>
    <mergeCell ref="B130:C130"/>
    <mergeCell ref="D130:I130"/>
    <mergeCell ref="J130:M130"/>
    <mergeCell ref="N140:P140"/>
    <mergeCell ref="Q140:S140"/>
    <mergeCell ref="T140:V140"/>
    <mergeCell ref="B141:C141"/>
    <mergeCell ref="D141:I141"/>
    <mergeCell ref="B140:C140"/>
    <mergeCell ref="D140:I140"/>
    <mergeCell ref="J140:M140"/>
    <mergeCell ref="T134:V134"/>
    <mergeCell ref="N135:P135"/>
    <mergeCell ref="N130:P130"/>
    <mergeCell ref="Q130:S130"/>
    <mergeCell ref="T130:V130"/>
    <mergeCell ref="N139:P139"/>
    <mergeCell ref="D139:I139"/>
    <mergeCell ref="Q139:S139"/>
    <mergeCell ref="T139:V139"/>
    <mergeCell ref="B138:C138"/>
    <mergeCell ref="D138:I138"/>
    <mergeCell ref="J138:M138"/>
    <mergeCell ref="B139:C139"/>
    <mergeCell ref="Q150:S150"/>
    <mergeCell ref="B151:C151"/>
    <mergeCell ref="D151:I151"/>
    <mergeCell ref="J151:M151"/>
    <mergeCell ref="T151:V151"/>
    <mergeCell ref="B153:C153"/>
    <mergeCell ref="D153:I153"/>
    <mergeCell ref="J153:M153"/>
    <mergeCell ref="T153:V153"/>
    <mergeCell ref="B152:C152"/>
    <mergeCell ref="D152:I152"/>
    <mergeCell ref="J152:M152"/>
    <mergeCell ref="T152:V152"/>
    <mergeCell ref="N151:P151"/>
    <mergeCell ref="Q151:S151"/>
    <mergeCell ref="N152:P152"/>
    <mergeCell ref="Q152:S152"/>
    <mergeCell ref="N153:P153"/>
    <mergeCell ref="Q153:S153"/>
    <mergeCell ref="B154:C154"/>
    <mergeCell ref="D154:I154"/>
    <mergeCell ref="J154:M154"/>
    <mergeCell ref="T154:V154"/>
    <mergeCell ref="B156:C156"/>
    <mergeCell ref="D156:I156"/>
    <mergeCell ref="J156:M156"/>
    <mergeCell ref="T156:V156"/>
    <mergeCell ref="N154:P154"/>
    <mergeCell ref="Q154:S154"/>
    <mergeCell ref="N155:P155"/>
    <mergeCell ref="Q155:S155"/>
    <mergeCell ref="N156:P156"/>
    <mergeCell ref="Q156:S156"/>
    <mergeCell ref="B155:C155"/>
    <mergeCell ref="D155:I155"/>
    <mergeCell ref="J155:M155"/>
    <mergeCell ref="T155:V155"/>
    <mergeCell ref="B129:C129"/>
    <mergeCell ref="D129:I129"/>
    <mergeCell ref="J129:M129"/>
    <mergeCell ref="B125:C125"/>
    <mergeCell ref="D125:I125"/>
    <mergeCell ref="J125:M125"/>
    <mergeCell ref="N125:P125"/>
    <mergeCell ref="Q125:S125"/>
    <mergeCell ref="T125:V125"/>
    <mergeCell ref="B126:C126"/>
    <mergeCell ref="D126:I126"/>
    <mergeCell ref="J126:M126"/>
    <mergeCell ref="N126:P126"/>
    <mergeCell ref="Q126:S126"/>
    <mergeCell ref="T126:V126"/>
    <mergeCell ref="B127:C127"/>
    <mergeCell ref="D127:I127"/>
    <mergeCell ref="J127:M127"/>
    <mergeCell ref="N127:P127"/>
    <mergeCell ref="Q127:S127"/>
    <mergeCell ref="T127:V127"/>
    <mergeCell ref="T129:V129"/>
    <mergeCell ref="N129:P129"/>
    <mergeCell ref="Q129:S129"/>
    <mergeCell ref="B128:C128"/>
    <mergeCell ref="D128:I128"/>
    <mergeCell ref="J128:M128"/>
    <mergeCell ref="B123:C123"/>
    <mergeCell ref="D123:I123"/>
    <mergeCell ref="J123:M123"/>
    <mergeCell ref="N123:P123"/>
    <mergeCell ref="Q123:S123"/>
    <mergeCell ref="T123:V123"/>
    <mergeCell ref="B124:C124"/>
    <mergeCell ref="D124:I124"/>
    <mergeCell ref="J124:M124"/>
    <mergeCell ref="N124:P124"/>
    <mergeCell ref="Q124:S124"/>
    <mergeCell ref="T124:V124"/>
    <mergeCell ref="N128:P128"/>
    <mergeCell ref="Q128:S128"/>
    <mergeCell ref="T128:V128"/>
    <mergeCell ref="B121:C121"/>
    <mergeCell ref="D121:I121"/>
    <mergeCell ref="J121:M121"/>
    <mergeCell ref="N121:P121"/>
    <mergeCell ref="Q121:S121"/>
    <mergeCell ref="T121:V121"/>
    <mergeCell ref="B122:C122"/>
    <mergeCell ref="D122:I122"/>
    <mergeCell ref="J122:M122"/>
    <mergeCell ref="N122:P122"/>
    <mergeCell ref="Q122:S122"/>
    <mergeCell ref="T122:V122"/>
    <mergeCell ref="B119:W119"/>
    <mergeCell ref="B120:C120"/>
    <mergeCell ref="D120:I120"/>
    <mergeCell ref="J120:M120"/>
    <mergeCell ref="N120:P120"/>
    <mergeCell ref="Q120:S120"/>
    <mergeCell ref="T120:V120"/>
    <mergeCell ref="A97:W97"/>
    <mergeCell ref="A96:W96"/>
    <mergeCell ref="B106:W106"/>
    <mergeCell ref="B109:W109"/>
    <mergeCell ref="B110:W110"/>
    <mergeCell ref="B111:W111"/>
    <mergeCell ref="B107:W107"/>
    <mergeCell ref="B108:W108"/>
    <mergeCell ref="B112:W112"/>
    <mergeCell ref="B103:W103"/>
    <mergeCell ref="B104:W104"/>
    <mergeCell ref="B105:W105"/>
    <mergeCell ref="A102:W102"/>
    <mergeCell ref="A98:W98"/>
    <mergeCell ref="A71:W71"/>
    <mergeCell ref="A78:W78"/>
    <mergeCell ref="A77:W77"/>
    <mergeCell ref="A83:W83"/>
    <mergeCell ref="A3:W3"/>
    <mergeCell ref="A16:W16"/>
    <mergeCell ref="A17:W17"/>
    <mergeCell ref="A24:W24"/>
    <mergeCell ref="A68:W68"/>
    <mergeCell ref="A70:B70"/>
    <mergeCell ref="C70:G70"/>
    <mergeCell ref="A18:W18"/>
    <mergeCell ref="A19:W19"/>
    <mergeCell ref="A20:W20"/>
    <mergeCell ref="A21:W21"/>
    <mergeCell ref="A22:W22"/>
    <mergeCell ref="A23:W23"/>
    <mergeCell ref="T29:W29"/>
    <mergeCell ref="C44:U44"/>
    <mergeCell ref="C45:U45"/>
    <mergeCell ref="C46:U46"/>
    <mergeCell ref="H10:P10"/>
    <mergeCell ref="A11:W11"/>
    <mergeCell ref="A72:W72"/>
  </mergeCells>
  <conditionalFormatting sqref="N149 Q149:S159 N155 N151">
    <cfRule type="cellIs" dxfId="13" priority="4" operator="greaterThan">
      <formula>0</formula>
    </cfRule>
  </conditionalFormatting>
  <conditionalFormatting sqref="N149:P149 Q149:S159 N155:P155 N151:P151">
    <cfRule type="cellIs" dxfId="12" priority="3" operator="greaterThan">
      <formula>5</formula>
    </cfRule>
  </conditionalFormatting>
  <conditionalFormatting sqref="T149:V159">
    <cfRule type="cellIs" dxfId="11" priority="1" operator="lessThan">
      <formula>80</formula>
    </cfRule>
    <cfRule type="cellIs" dxfId="10" priority="2" operator="lessThan">
      <formula>95</formula>
    </cfRule>
  </conditionalFormatting>
  <pageMargins left="1.25" right="0.8" top="0.75" bottom="0.5" header="0.55000000000000004" footer="0.3"/>
  <pageSetup orientation="portrait" horizontalDpi="300" verticalDpi="300" r:id="rId1"/>
  <headerFooter differentFirst="1">
    <oddHeader xml:space="preserve">&amp;R&amp;G
  </oddHeader>
    <oddFooter>&amp;R&amp;"Verdana,Italic"&amp;K0000FFCWT Monthly Report - October-2012</oddFooter>
  </headerFooter>
  <legacyDrawing r:id="rId2"/>
  <legacyDrawingHF r:id="rId3"/>
  <oleObjects>
    <oleObject progId="Word.Picture.8" shapeId="256007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Q317"/>
  <sheetViews>
    <sheetView showGridLines="0" zoomScale="75" zoomScaleNormal="75" zoomScaleSheetLayoutView="64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9" sqref="O9"/>
    </sheetView>
  </sheetViews>
  <sheetFormatPr defaultColWidth="9.140625" defaultRowHeight="12.75"/>
  <cols>
    <col min="1" max="1" width="13.140625" style="4" customWidth="1"/>
    <col min="2" max="2" width="11.42578125" style="4" customWidth="1"/>
    <col min="3" max="3" width="14.7109375" style="4" customWidth="1"/>
    <col min="4" max="4" width="14" style="4" customWidth="1"/>
    <col min="5" max="5" width="14.5703125" style="4" customWidth="1"/>
    <col min="6" max="6" width="13.28515625" style="4" customWidth="1"/>
    <col min="7" max="7" width="13.7109375" style="4" customWidth="1"/>
    <col min="8" max="8" width="11.85546875" style="4" customWidth="1"/>
    <col min="9" max="10" width="14.140625" style="4" customWidth="1"/>
    <col min="11" max="11" width="13.42578125" style="4" customWidth="1"/>
    <col min="12" max="16384" width="9.140625" style="4"/>
  </cols>
  <sheetData>
    <row r="1" spans="1:11" ht="23.25" customHeight="1">
      <c r="A1" s="250" t="s">
        <v>13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</row>
    <row r="2" spans="1:11" ht="7.5" customHeight="1" thickBot="1">
      <c r="A2" s="5"/>
      <c r="B2" s="5"/>
      <c r="C2" s="5"/>
      <c r="D2" s="5"/>
      <c r="E2" s="5"/>
      <c r="F2" s="5"/>
      <c r="G2" s="5"/>
      <c r="H2" s="5"/>
      <c r="I2" s="5"/>
      <c r="J2" s="5"/>
    </row>
    <row r="3" spans="1:11" s="6" customFormat="1" ht="35.25" customHeight="1" thickBot="1">
      <c r="A3" s="56" t="s">
        <v>14</v>
      </c>
      <c r="B3" s="60" t="s">
        <v>15</v>
      </c>
      <c r="C3" s="57" t="s">
        <v>17</v>
      </c>
      <c r="D3" s="194" t="s">
        <v>16</v>
      </c>
      <c r="E3" s="194" t="s">
        <v>84</v>
      </c>
      <c r="F3" s="195" t="s">
        <v>4</v>
      </c>
      <c r="G3" s="194" t="s">
        <v>19</v>
      </c>
      <c r="H3" s="194" t="s">
        <v>7</v>
      </c>
      <c r="I3" s="196" t="s">
        <v>20</v>
      </c>
      <c r="J3" s="58" t="s">
        <v>86</v>
      </c>
      <c r="K3" s="59" t="s">
        <v>87</v>
      </c>
    </row>
    <row r="4" spans="1:11" s="6" customFormat="1" ht="23.25" customHeight="1" thickBot="1">
      <c r="A4" s="172" t="s">
        <v>34</v>
      </c>
      <c r="B4" s="176" t="s">
        <v>12</v>
      </c>
      <c r="C4" s="173" t="s">
        <v>35</v>
      </c>
      <c r="D4" s="173" t="s">
        <v>85</v>
      </c>
      <c r="E4" s="173" t="s">
        <v>11</v>
      </c>
      <c r="F4" s="174" t="s">
        <v>11</v>
      </c>
      <c r="G4" s="173" t="s">
        <v>11</v>
      </c>
      <c r="H4" s="173" t="s">
        <v>11</v>
      </c>
      <c r="I4" s="173" t="s">
        <v>11</v>
      </c>
      <c r="J4" s="173" t="s">
        <v>11</v>
      </c>
      <c r="K4" s="175" t="s">
        <v>11</v>
      </c>
    </row>
    <row r="5" spans="1:11" s="11" customFormat="1" ht="28.5" customHeight="1">
      <c r="A5" s="34">
        <v>41365</v>
      </c>
      <c r="B5" s="169">
        <v>8.0299999999999994</v>
      </c>
      <c r="C5" s="170">
        <v>3</v>
      </c>
      <c r="D5" s="171">
        <v>325</v>
      </c>
      <c r="E5" s="177">
        <v>220</v>
      </c>
      <c r="F5" s="31">
        <v>128</v>
      </c>
      <c r="G5" s="68">
        <v>71</v>
      </c>
      <c r="H5" s="68">
        <v>28</v>
      </c>
      <c r="I5" s="179">
        <v>20</v>
      </c>
      <c r="J5" s="179">
        <v>165</v>
      </c>
      <c r="K5" s="77" t="s">
        <v>88</v>
      </c>
    </row>
    <row r="6" spans="1:11" s="11" customFormat="1" ht="28.5" customHeight="1">
      <c r="A6" s="34">
        <v>41366</v>
      </c>
      <c r="B6" s="53">
        <v>8.08</v>
      </c>
      <c r="C6" s="162">
        <v>3</v>
      </c>
      <c r="D6" s="33">
        <v>365</v>
      </c>
      <c r="E6" s="178">
        <v>180</v>
      </c>
      <c r="F6" s="32">
        <v>122</v>
      </c>
      <c r="G6" s="20">
        <v>70</v>
      </c>
      <c r="H6" s="20">
        <v>25</v>
      </c>
      <c r="I6" s="180">
        <v>20</v>
      </c>
      <c r="J6" s="180">
        <v>170</v>
      </c>
      <c r="K6" s="163" t="s">
        <v>88</v>
      </c>
    </row>
    <row r="7" spans="1:11" s="11" customFormat="1" ht="28.5" customHeight="1">
      <c r="A7" s="34">
        <v>41367</v>
      </c>
      <c r="B7" s="53">
        <v>8.0500000000000007</v>
      </c>
      <c r="C7" s="162">
        <v>2</v>
      </c>
      <c r="D7" s="33">
        <v>258</v>
      </c>
      <c r="E7" s="178">
        <v>175</v>
      </c>
      <c r="F7" s="32">
        <v>120</v>
      </c>
      <c r="G7" s="20">
        <v>70</v>
      </c>
      <c r="H7" s="20">
        <v>25</v>
      </c>
      <c r="I7" s="180">
        <v>18</v>
      </c>
      <c r="J7" s="180">
        <v>165</v>
      </c>
      <c r="K7" s="163" t="s">
        <v>88</v>
      </c>
    </row>
    <row r="8" spans="1:11" s="11" customFormat="1" ht="28.5" customHeight="1">
      <c r="A8" s="34">
        <v>41368</v>
      </c>
      <c r="B8" s="53">
        <v>8.01</v>
      </c>
      <c r="C8" s="162">
        <v>2</v>
      </c>
      <c r="D8" s="33">
        <v>273</v>
      </c>
      <c r="E8" s="178">
        <v>185</v>
      </c>
      <c r="F8" s="32">
        <v>125</v>
      </c>
      <c r="G8" s="20">
        <v>71</v>
      </c>
      <c r="H8" s="20">
        <v>26</v>
      </c>
      <c r="I8" s="180">
        <v>18</v>
      </c>
      <c r="J8" s="180">
        <v>165</v>
      </c>
      <c r="K8" s="163" t="s">
        <v>88</v>
      </c>
    </row>
    <row r="9" spans="1:11" s="11" customFormat="1" ht="28.5" customHeight="1">
      <c r="A9" s="34">
        <v>41369</v>
      </c>
      <c r="B9" s="53">
        <v>8.07</v>
      </c>
      <c r="C9" s="162">
        <v>2</v>
      </c>
      <c r="D9" s="33">
        <v>266</v>
      </c>
      <c r="E9" s="178">
        <v>180</v>
      </c>
      <c r="F9" s="32">
        <v>122</v>
      </c>
      <c r="G9" s="20">
        <v>70</v>
      </c>
      <c r="H9" s="20">
        <v>26</v>
      </c>
      <c r="I9" s="180">
        <v>19</v>
      </c>
      <c r="J9" s="180">
        <v>170</v>
      </c>
      <c r="K9" s="70" t="s">
        <v>88</v>
      </c>
    </row>
    <row r="10" spans="1:11" s="11" customFormat="1" ht="28.5" customHeight="1">
      <c r="A10" s="34">
        <v>41370</v>
      </c>
      <c r="B10" s="53">
        <v>8.1199999999999992</v>
      </c>
      <c r="C10" s="162">
        <v>2</v>
      </c>
      <c r="D10" s="33">
        <v>280</v>
      </c>
      <c r="E10" s="178">
        <v>190</v>
      </c>
      <c r="F10" s="32">
        <v>123</v>
      </c>
      <c r="G10" s="20">
        <v>70</v>
      </c>
      <c r="H10" s="20">
        <v>25</v>
      </c>
      <c r="I10" s="180">
        <v>19</v>
      </c>
      <c r="J10" s="180">
        <v>172</v>
      </c>
      <c r="K10" s="70" t="s">
        <v>88</v>
      </c>
    </row>
    <row r="11" spans="1:11" s="11" customFormat="1" ht="28.5" customHeight="1">
      <c r="A11" s="34">
        <v>41371</v>
      </c>
      <c r="B11" s="53">
        <v>8.1</v>
      </c>
      <c r="C11" s="162">
        <v>3</v>
      </c>
      <c r="D11" s="33">
        <v>295</v>
      </c>
      <c r="E11" s="178">
        <v>200</v>
      </c>
      <c r="F11" s="32">
        <v>125</v>
      </c>
      <c r="G11" s="20">
        <v>71</v>
      </c>
      <c r="H11" s="20">
        <v>26</v>
      </c>
      <c r="I11" s="180">
        <v>19</v>
      </c>
      <c r="J11" s="180">
        <v>170</v>
      </c>
      <c r="K11" s="70" t="s">
        <v>88</v>
      </c>
    </row>
    <row r="12" spans="1:11" s="11" customFormat="1" ht="28.5" customHeight="1">
      <c r="A12" s="34">
        <v>41372</v>
      </c>
      <c r="B12" s="53">
        <v>8.1</v>
      </c>
      <c r="C12" s="8">
        <v>3</v>
      </c>
      <c r="D12" s="33">
        <v>310</v>
      </c>
      <c r="E12" s="178">
        <v>210</v>
      </c>
      <c r="F12" s="32">
        <v>127</v>
      </c>
      <c r="G12" s="20">
        <v>72</v>
      </c>
      <c r="H12" s="20">
        <v>27</v>
      </c>
      <c r="I12" s="180">
        <v>20</v>
      </c>
      <c r="J12" s="180">
        <v>170</v>
      </c>
      <c r="K12" s="70" t="s">
        <v>88</v>
      </c>
    </row>
    <row r="13" spans="1:11" s="11" customFormat="1" ht="28.5" customHeight="1">
      <c r="A13" s="34">
        <v>41373</v>
      </c>
      <c r="B13" s="53">
        <v>8.06</v>
      </c>
      <c r="C13" s="162">
        <v>3</v>
      </c>
      <c r="D13" s="33">
        <v>295</v>
      </c>
      <c r="E13" s="178">
        <v>200</v>
      </c>
      <c r="F13" s="32">
        <v>125</v>
      </c>
      <c r="G13" s="20">
        <v>71</v>
      </c>
      <c r="H13" s="20">
        <v>26</v>
      </c>
      <c r="I13" s="180">
        <v>20</v>
      </c>
      <c r="J13" s="180">
        <v>168</v>
      </c>
      <c r="K13" s="70" t="s">
        <v>88</v>
      </c>
    </row>
    <row r="14" spans="1:11" s="11" customFormat="1" ht="28.5" customHeight="1">
      <c r="A14" s="34">
        <v>41374</v>
      </c>
      <c r="B14" s="53">
        <v>8.02</v>
      </c>
      <c r="C14" s="162">
        <v>3</v>
      </c>
      <c r="D14" s="33">
        <v>303</v>
      </c>
      <c r="E14" s="178">
        <v>205</v>
      </c>
      <c r="F14" s="32">
        <v>122</v>
      </c>
      <c r="G14" s="20">
        <v>70</v>
      </c>
      <c r="H14" s="20">
        <v>27</v>
      </c>
      <c r="I14" s="180">
        <v>20</v>
      </c>
      <c r="J14" s="180">
        <v>165</v>
      </c>
      <c r="K14" s="70" t="s">
        <v>88</v>
      </c>
    </row>
    <row r="15" spans="1:11" s="11" customFormat="1" ht="28.5" customHeight="1">
      <c r="A15" s="34">
        <v>41375</v>
      </c>
      <c r="B15" s="53">
        <v>7.98</v>
      </c>
      <c r="C15" s="162">
        <v>2</v>
      </c>
      <c r="D15" s="33">
        <v>295</v>
      </c>
      <c r="E15" s="178">
        <v>200</v>
      </c>
      <c r="F15" s="32">
        <v>121</v>
      </c>
      <c r="G15" s="20">
        <v>70</v>
      </c>
      <c r="H15" s="20">
        <v>26</v>
      </c>
      <c r="I15" s="180">
        <v>19</v>
      </c>
      <c r="J15" s="180">
        <v>162</v>
      </c>
      <c r="K15" s="70" t="s">
        <v>88</v>
      </c>
    </row>
    <row r="16" spans="1:11" s="11" customFormat="1" ht="28.5" customHeight="1">
      <c r="A16" s="34">
        <v>41376</v>
      </c>
      <c r="B16" s="53">
        <v>8.0500000000000007</v>
      </c>
      <c r="C16" s="8">
        <v>2</v>
      </c>
      <c r="D16" s="33">
        <v>273</v>
      </c>
      <c r="E16" s="178">
        <v>185</v>
      </c>
      <c r="F16" s="32">
        <v>122</v>
      </c>
      <c r="G16" s="20">
        <v>70</v>
      </c>
      <c r="H16" s="20">
        <v>25</v>
      </c>
      <c r="I16" s="180">
        <v>19</v>
      </c>
      <c r="J16" s="180">
        <v>165</v>
      </c>
      <c r="K16" s="70" t="s">
        <v>88</v>
      </c>
    </row>
    <row r="17" spans="1:11" s="11" customFormat="1" ht="28.5" customHeight="1">
      <c r="A17" s="34">
        <v>41377</v>
      </c>
      <c r="B17" s="53">
        <v>8.07</v>
      </c>
      <c r="C17" s="8">
        <v>3</v>
      </c>
      <c r="D17" s="33">
        <v>295</v>
      </c>
      <c r="E17" s="178">
        <v>200</v>
      </c>
      <c r="F17" s="32">
        <v>125</v>
      </c>
      <c r="G17" s="20">
        <v>71</v>
      </c>
      <c r="H17" s="20">
        <v>26</v>
      </c>
      <c r="I17" s="180">
        <v>20</v>
      </c>
      <c r="J17" s="180">
        <v>165</v>
      </c>
      <c r="K17" s="70" t="s">
        <v>88</v>
      </c>
    </row>
    <row r="18" spans="1:11" s="11" customFormat="1" ht="28.5" customHeight="1">
      <c r="A18" s="34">
        <v>41378</v>
      </c>
      <c r="B18" s="53">
        <v>8.0500000000000007</v>
      </c>
      <c r="C18" s="8">
        <v>3</v>
      </c>
      <c r="D18" s="33">
        <v>288</v>
      </c>
      <c r="E18" s="178">
        <v>195</v>
      </c>
      <c r="F18" s="32">
        <v>125</v>
      </c>
      <c r="G18" s="20">
        <v>71</v>
      </c>
      <c r="H18" s="20">
        <v>25</v>
      </c>
      <c r="I18" s="180">
        <v>20</v>
      </c>
      <c r="J18" s="180">
        <v>162</v>
      </c>
      <c r="K18" s="70" t="s">
        <v>88</v>
      </c>
    </row>
    <row r="19" spans="1:11" s="11" customFormat="1" ht="28.5" customHeight="1">
      <c r="A19" s="34">
        <v>41379</v>
      </c>
      <c r="B19" s="53">
        <v>8.02</v>
      </c>
      <c r="C19" s="8">
        <v>3</v>
      </c>
      <c r="D19" s="33">
        <v>280</v>
      </c>
      <c r="E19" s="178">
        <v>190</v>
      </c>
      <c r="F19" s="32">
        <v>124</v>
      </c>
      <c r="G19" s="20">
        <v>70</v>
      </c>
      <c r="H19" s="20">
        <v>25</v>
      </c>
      <c r="I19" s="180">
        <v>19</v>
      </c>
      <c r="J19" s="180">
        <v>162</v>
      </c>
      <c r="K19" s="70" t="s">
        <v>88</v>
      </c>
    </row>
    <row r="20" spans="1:11" s="11" customFormat="1" ht="28.5" customHeight="1">
      <c r="A20" s="34">
        <v>41380</v>
      </c>
      <c r="B20" s="53">
        <v>8.08</v>
      </c>
      <c r="C20" s="8">
        <v>2</v>
      </c>
      <c r="D20" s="33">
        <v>295</v>
      </c>
      <c r="E20" s="178">
        <v>200</v>
      </c>
      <c r="F20" s="32">
        <v>128</v>
      </c>
      <c r="G20" s="20">
        <v>72</v>
      </c>
      <c r="H20" s="20">
        <v>26</v>
      </c>
      <c r="I20" s="180">
        <v>20</v>
      </c>
      <c r="J20" s="180">
        <v>170</v>
      </c>
      <c r="K20" s="70" t="s">
        <v>88</v>
      </c>
    </row>
    <row r="21" spans="1:11" s="11" customFormat="1" ht="28.5" customHeight="1">
      <c r="A21" s="34">
        <v>41381</v>
      </c>
      <c r="B21" s="53">
        <v>7.9</v>
      </c>
      <c r="C21" s="162">
        <v>2</v>
      </c>
      <c r="D21" s="33">
        <v>273</v>
      </c>
      <c r="E21" s="178">
        <v>185</v>
      </c>
      <c r="F21" s="32">
        <v>125</v>
      </c>
      <c r="G21" s="20">
        <v>71</v>
      </c>
      <c r="H21" s="20">
        <v>25</v>
      </c>
      <c r="I21" s="180">
        <v>18</v>
      </c>
      <c r="J21" s="180">
        <v>160</v>
      </c>
      <c r="K21" s="70" t="s">
        <v>88</v>
      </c>
    </row>
    <row r="22" spans="1:11" s="11" customFormat="1" ht="28.5" customHeight="1">
      <c r="A22" s="34">
        <v>41382</v>
      </c>
      <c r="B22" s="53">
        <v>7.95</v>
      </c>
      <c r="C22" s="162">
        <v>2</v>
      </c>
      <c r="D22" s="33">
        <v>266</v>
      </c>
      <c r="E22" s="178">
        <v>180</v>
      </c>
      <c r="F22" s="32">
        <v>120</v>
      </c>
      <c r="G22" s="20">
        <v>69</v>
      </c>
      <c r="H22" s="20">
        <v>28</v>
      </c>
      <c r="I22" s="180">
        <v>19</v>
      </c>
      <c r="J22" s="180">
        <v>162</v>
      </c>
      <c r="K22" s="70" t="s">
        <v>88</v>
      </c>
    </row>
    <row r="23" spans="1:11" s="11" customFormat="1" ht="28.5" customHeight="1">
      <c r="A23" s="34">
        <v>41383</v>
      </c>
      <c r="B23" s="53">
        <v>7.9</v>
      </c>
      <c r="C23" s="8">
        <v>2</v>
      </c>
      <c r="D23" s="33">
        <v>273</v>
      </c>
      <c r="E23" s="178">
        <v>185</v>
      </c>
      <c r="F23" s="32">
        <v>118</v>
      </c>
      <c r="G23" s="20">
        <v>69</v>
      </c>
      <c r="H23" s="20">
        <v>27</v>
      </c>
      <c r="I23" s="180">
        <v>20</v>
      </c>
      <c r="J23" s="180">
        <v>160</v>
      </c>
      <c r="K23" s="70" t="s">
        <v>88</v>
      </c>
    </row>
    <row r="24" spans="1:11" s="11" customFormat="1" ht="28.5" customHeight="1">
      <c r="A24" s="34">
        <v>41384</v>
      </c>
      <c r="B24" s="53">
        <v>7.8</v>
      </c>
      <c r="C24" s="162">
        <v>2</v>
      </c>
      <c r="D24" s="33">
        <v>280</v>
      </c>
      <c r="E24" s="178">
        <v>190</v>
      </c>
      <c r="F24" s="32">
        <v>115</v>
      </c>
      <c r="G24" s="20">
        <v>68</v>
      </c>
      <c r="H24" s="20">
        <v>26</v>
      </c>
      <c r="I24" s="180">
        <v>20</v>
      </c>
      <c r="J24" s="180">
        <v>155</v>
      </c>
      <c r="K24" s="70" t="s">
        <v>88</v>
      </c>
    </row>
    <row r="25" spans="1:11" s="11" customFormat="1" ht="28.5" customHeight="1">
      <c r="A25" s="34">
        <v>41385</v>
      </c>
      <c r="B25" s="53">
        <v>7.95</v>
      </c>
      <c r="C25" s="162">
        <v>3</v>
      </c>
      <c r="D25" s="33">
        <v>295</v>
      </c>
      <c r="E25" s="178">
        <v>200</v>
      </c>
      <c r="F25" s="32">
        <v>115</v>
      </c>
      <c r="G25" s="20">
        <v>68</v>
      </c>
      <c r="H25" s="20">
        <v>25</v>
      </c>
      <c r="I25" s="180">
        <v>21</v>
      </c>
      <c r="J25" s="180">
        <v>165</v>
      </c>
      <c r="K25" s="70" t="s">
        <v>88</v>
      </c>
    </row>
    <row r="26" spans="1:11" s="11" customFormat="1" ht="28.5" customHeight="1">
      <c r="A26" s="34">
        <v>41386</v>
      </c>
      <c r="B26" s="53">
        <v>7.9</v>
      </c>
      <c r="C26" s="8">
        <v>3</v>
      </c>
      <c r="D26" s="33">
        <v>310</v>
      </c>
      <c r="E26" s="178">
        <v>210</v>
      </c>
      <c r="F26" s="32">
        <v>117</v>
      </c>
      <c r="G26" s="20">
        <v>68</v>
      </c>
      <c r="H26" s="20">
        <v>25</v>
      </c>
      <c r="I26" s="180">
        <v>19</v>
      </c>
      <c r="J26" s="180">
        <v>160</v>
      </c>
      <c r="K26" s="70" t="s">
        <v>88</v>
      </c>
    </row>
    <row r="27" spans="1:11" s="11" customFormat="1" ht="28.5" customHeight="1">
      <c r="A27" s="34">
        <v>41387</v>
      </c>
      <c r="B27" s="53">
        <v>8.02</v>
      </c>
      <c r="C27" s="162">
        <v>2</v>
      </c>
      <c r="D27" s="33">
        <v>288</v>
      </c>
      <c r="E27" s="178">
        <v>195</v>
      </c>
      <c r="F27" s="32">
        <v>120</v>
      </c>
      <c r="G27" s="20">
        <v>69</v>
      </c>
      <c r="H27" s="20">
        <v>21</v>
      </c>
      <c r="I27" s="180">
        <v>19</v>
      </c>
      <c r="J27" s="180">
        <v>165</v>
      </c>
      <c r="K27" s="70" t="s">
        <v>88</v>
      </c>
    </row>
    <row r="28" spans="1:11" s="11" customFormat="1" ht="28.5" customHeight="1">
      <c r="A28" s="34">
        <v>41388</v>
      </c>
      <c r="B28" s="53">
        <v>8.06</v>
      </c>
      <c r="C28" s="162">
        <v>2</v>
      </c>
      <c r="D28" s="33">
        <v>280</v>
      </c>
      <c r="E28" s="178">
        <v>190</v>
      </c>
      <c r="F28" s="32">
        <v>117</v>
      </c>
      <c r="G28" s="20">
        <v>68</v>
      </c>
      <c r="H28" s="20">
        <v>21</v>
      </c>
      <c r="I28" s="180">
        <v>18</v>
      </c>
      <c r="J28" s="180">
        <v>168</v>
      </c>
      <c r="K28" s="70" t="s">
        <v>88</v>
      </c>
    </row>
    <row r="29" spans="1:11" s="11" customFormat="1" ht="28.5" customHeight="1">
      <c r="A29" s="34">
        <v>41389</v>
      </c>
      <c r="B29" s="53">
        <v>8.08</v>
      </c>
      <c r="C29" s="162">
        <v>2</v>
      </c>
      <c r="D29" s="33">
        <v>258</v>
      </c>
      <c r="E29" s="178">
        <v>175</v>
      </c>
      <c r="F29" s="32">
        <v>114</v>
      </c>
      <c r="G29" s="20">
        <v>67</v>
      </c>
      <c r="H29" s="20">
        <v>18</v>
      </c>
      <c r="I29" s="180">
        <v>17</v>
      </c>
      <c r="J29" s="180">
        <v>170</v>
      </c>
      <c r="K29" s="70" t="s">
        <v>88</v>
      </c>
    </row>
    <row r="30" spans="1:11" s="11" customFormat="1" ht="28.5" customHeight="1">
      <c r="A30" s="34">
        <v>41390</v>
      </c>
      <c r="B30" s="53">
        <v>8.0500000000000007</v>
      </c>
      <c r="C30" s="162">
        <v>2</v>
      </c>
      <c r="D30" s="33">
        <v>251</v>
      </c>
      <c r="E30" s="178">
        <v>170</v>
      </c>
      <c r="F30" s="32">
        <v>113</v>
      </c>
      <c r="G30" s="20">
        <v>67</v>
      </c>
      <c r="H30" s="20">
        <v>18</v>
      </c>
      <c r="I30" s="180">
        <v>17</v>
      </c>
      <c r="J30" s="180">
        <v>165</v>
      </c>
      <c r="K30" s="70" t="s">
        <v>88</v>
      </c>
    </row>
    <row r="31" spans="1:11" s="11" customFormat="1" ht="28.5" customHeight="1">
      <c r="A31" s="34">
        <v>41391</v>
      </c>
      <c r="B31" s="53">
        <v>7.98</v>
      </c>
      <c r="C31" s="162">
        <v>2</v>
      </c>
      <c r="D31" s="33">
        <v>266</v>
      </c>
      <c r="E31" s="178">
        <v>180</v>
      </c>
      <c r="F31" s="32">
        <v>114</v>
      </c>
      <c r="G31" s="20">
        <v>67</v>
      </c>
      <c r="H31" s="20">
        <v>18</v>
      </c>
      <c r="I31" s="180">
        <v>17</v>
      </c>
      <c r="J31" s="180">
        <v>162</v>
      </c>
      <c r="K31" s="70" t="s">
        <v>88</v>
      </c>
    </row>
    <row r="32" spans="1:11" s="11" customFormat="1" ht="28.5" customHeight="1">
      <c r="A32" s="34">
        <v>41392</v>
      </c>
      <c r="B32" s="53">
        <v>7.95</v>
      </c>
      <c r="C32" s="162">
        <v>2</v>
      </c>
      <c r="D32" s="33">
        <v>250</v>
      </c>
      <c r="E32" s="178">
        <v>178</v>
      </c>
      <c r="F32" s="32">
        <v>113</v>
      </c>
      <c r="G32" s="20">
        <v>66</v>
      </c>
      <c r="H32" s="20">
        <v>16</v>
      </c>
      <c r="I32" s="180">
        <v>18</v>
      </c>
      <c r="J32" s="180">
        <v>162</v>
      </c>
      <c r="K32" s="70" t="s">
        <v>88</v>
      </c>
    </row>
    <row r="33" spans="1:11" s="11" customFormat="1" ht="28.5" customHeight="1">
      <c r="A33" s="34">
        <v>41393</v>
      </c>
      <c r="B33" s="53">
        <v>7.9</v>
      </c>
      <c r="C33" s="162">
        <v>2</v>
      </c>
      <c r="D33" s="33">
        <v>258</v>
      </c>
      <c r="E33" s="178">
        <v>175</v>
      </c>
      <c r="F33" s="32">
        <v>112</v>
      </c>
      <c r="G33" s="20">
        <v>66</v>
      </c>
      <c r="H33" s="20">
        <v>16</v>
      </c>
      <c r="I33" s="180">
        <v>18</v>
      </c>
      <c r="J33" s="180">
        <v>160</v>
      </c>
      <c r="K33" s="70" t="s">
        <v>88</v>
      </c>
    </row>
    <row r="34" spans="1:11" s="11" customFormat="1" ht="28.5" customHeight="1">
      <c r="A34" s="34">
        <v>41394</v>
      </c>
      <c r="B34" s="53">
        <v>8.02</v>
      </c>
      <c r="C34" s="162">
        <v>2</v>
      </c>
      <c r="D34" s="33">
        <v>269</v>
      </c>
      <c r="E34" s="178">
        <v>182</v>
      </c>
      <c r="F34" s="32">
        <v>117</v>
      </c>
      <c r="G34" s="20">
        <v>68</v>
      </c>
      <c r="H34" s="20">
        <v>16</v>
      </c>
      <c r="I34" s="180">
        <v>18</v>
      </c>
      <c r="J34" s="180">
        <v>165</v>
      </c>
      <c r="K34" s="70" t="s">
        <v>88</v>
      </c>
    </row>
    <row r="35" spans="1:11" s="11" customFormat="1" ht="28.5" customHeight="1" thickBot="1">
      <c r="A35" s="34"/>
      <c r="B35" s="53"/>
      <c r="C35" s="162"/>
      <c r="D35" s="33"/>
      <c r="E35" s="178"/>
      <c r="F35" s="32"/>
      <c r="G35" s="20"/>
      <c r="H35" s="20"/>
      <c r="I35" s="180"/>
      <c r="J35" s="180"/>
      <c r="K35" s="70"/>
    </row>
    <row r="36" spans="1:11" s="11" customFormat="1" ht="21.95" customHeight="1">
      <c r="A36" s="22" t="s">
        <v>10</v>
      </c>
      <c r="B36" s="55">
        <f t="shared" ref="B36:J36" si="0">MIN(B5:B35)</f>
        <v>7.8</v>
      </c>
      <c r="C36" s="1">
        <f t="shared" si="0"/>
        <v>2</v>
      </c>
      <c r="D36" s="13">
        <f t="shared" si="0"/>
        <v>250</v>
      </c>
      <c r="E36" s="1">
        <f t="shared" si="0"/>
        <v>170</v>
      </c>
      <c r="F36" s="13">
        <f t="shared" si="0"/>
        <v>112</v>
      </c>
      <c r="G36" s="13">
        <f t="shared" si="0"/>
        <v>66</v>
      </c>
      <c r="H36" s="13">
        <v>36</v>
      </c>
      <c r="I36" s="181">
        <f t="shared" si="0"/>
        <v>17</v>
      </c>
      <c r="J36" s="181">
        <f t="shared" si="0"/>
        <v>155</v>
      </c>
      <c r="K36" s="75" t="s">
        <v>88</v>
      </c>
    </row>
    <row r="37" spans="1:11" s="11" customFormat="1" ht="21.95" customHeight="1">
      <c r="A37" s="23" t="s">
        <v>9</v>
      </c>
      <c r="B37" s="52">
        <f t="shared" ref="B37:J37" si="1">MAX(B5:B35)</f>
        <v>8.1199999999999992</v>
      </c>
      <c r="C37" s="2">
        <f t="shared" si="1"/>
        <v>3</v>
      </c>
      <c r="D37" s="20">
        <f t="shared" si="1"/>
        <v>365</v>
      </c>
      <c r="E37" s="2">
        <f t="shared" si="1"/>
        <v>220</v>
      </c>
      <c r="F37" s="20">
        <f t="shared" si="1"/>
        <v>128</v>
      </c>
      <c r="G37" s="20">
        <f t="shared" si="1"/>
        <v>72</v>
      </c>
      <c r="H37" s="20">
        <v>36</v>
      </c>
      <c r="I37" s="180">
        <f t="shared" si="1"/>
        <v>21</v>
      </c>
      <c r="J37" s="180">
        <f t="shared" si="1"/>
        <v>172</v>
      </c>
      <c r="K37" s="70" t="s">
        <v>88</v>
      </c>
    </row>
    <row r="38" spans="1:11" s="11" customFormat="1" ht="21.95" customHeight="1" thickBot="1">
      <c r="A38" s="24" t="s">
        <v>8</v>
      </c>
      <c r="B38" s="54">
        <f t="shared" ref="B38:K38" si="2">AVERAGE(B5:B35)</f>
        <v>8.0116666666666685</v>
      </c>
      <c r="C38" s="3">
        <f t="shared" si="2"/>
        <v>2.3666666666666667</v>
      </c>
      <c r="D38" s="15">
        <f t="shared" si="2"/>
        <v>283.76666666666665</v>
      </c>
      <c r="E38" s="3">
        <f t="shared" si="2"/>
        <v>190.33333333333334</v>
      </c>
      <c r="F38" s="15">
        <f t="shared" si="2"/>
        <v>120.46666666666667</v>
      </c>
      <c r="G38" s="15">
        <f t="shared" si="2"/>
        <v>69.36666666666666</v>
      </c>
      <c r="H38" s="15">
        <v>33</v>
      </c>
      <c r="I38" s="182">
        <f t="shared" si="2"/>
        <v>18.966666666666665</v>
      </c>
      <c r="J38" s="182">
        <f t="shared" si="2"/>
        <v>164.83333333333334</v>
      </c>
      <c r="K38" s="76" t="e">
        <f t="shared" si="2"/>
        <v>#DIV/0!</v>
      </c>
    </row>
    <row r="39" spans="1:11" s="11" customFormat="1" ht="21.95" customHeight="1"/>
    <row r="40" spans="1:11" s="11" customFormat="1" ht="21.95" customHeight="1"/>
    <row r="41" spans="1:11" s="11" customFormat="1" ht="21.95" customHeight="1"/>
    <row r="42" spans="1:11" s="11" customFormat="1" ht="21.95" customHeight="1"/>
    <row r="43" spans="1:11" s="11" customFormat="1" ht="21.95" customHeight="1"/>
    <row r="44" spans="1:11" s="11" customFormat="1" ht="21.95" customHeight="1"/>
    <row r="45" spans="1:11" s="11" customFormat="1" ht="21.95" customHeight="1"/>
    <row r="46" spans="1:11" s="11" customFormat="1" ht="21.95" customHeight="1"/>
    <row r="47" spans="1:11" s="11" customFormat="1" ht="21.95" customHeight="1"/>
    <row r="48" spans="1:11" s="11" customFormat="1" ht="21.95" customHeight="1"/>
    <row r="49" spans="1:17" s="11" customFormat="1" ht="14.25">
      <c r="N49" s="12"/>
      <c r="O49" s="12"/>
      <c r="P49" s="12"/>
      <c r="Q49" s="12"/>
    </row>
    <row r="50" spans="1:17" s="11" customFormat="1" ht="14.25">
      <c r="N50" s="12"/>
      <c r="O50" s="12"/>
      <c r="P50" s="12"/>
      <c r="Q50" s="12"/>
    </row>
    <row r="51" spans="1:17" s="11" customFormat="1" ht="14.25">
      <c r="N51" s="12"/>
      <c r="O51" s="12"/>
      <c r="P51" s="12"/>
      <c r="Q51" s="12"/>
    </row>
    <row r="52" spans="1:17" s="11" customFormat="1" ht="14.25">
      <c r="N52" s="12"/>
      <c r="O52" s="12"/>
      <c r="P52" s="12"/>
      <c r="Q52" s="12"/>
    </row>
    <row r="53" spans="1:17" s="12" customFormat="1" ht="14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spans="1:17" s="12" customFormat="1" ht="14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7" s="12" customFormat="1" ht="14.25"/>
    <row r="56" spans="1:17" s="12" customFormat="1" ht="14.25"/>
    <row r="57" spans="1:17" s="12" customFormat="1" ht="14.25"/>
    <row r="58" spans="1:17" s="12" customFormat="1" ht="14.25"/>
    <row r="59" spans="1:17" s="12" customFormat="1" ht="14.25"/>
    <row r="60" spans="1:17" s="12" customFormat="1" ht="14.25"/>
    <row r="61" spans="1:17" s="12" customFormat="1" ht="14.25"/>
    <row r="62" spans="1:17" s="12" customFormat="1" ht="14.25"/>
    <row r="63" spans="1:17" s="12" customFormat="1" ht="14.25"/>
    <row r="64" spans="1:17" s="12" customFormat="1" ht="14.25"/>
    <row r="65" s="12" customFormat="1" ht="14.25"/>
    <row r="66" s="12" customFormat="1" ht="14.25"/>
    <row r="67" s="12" customFormat="1" ht="14.25"/>
    <row r="68" s="12" customFormat="1" ht="14.25"/>
    <row r="69" s="12" customFormat="1" ht="14.25"/>
    <row r="70" s="12" customFormat="1" ht="14.25"/>
    <row r="71" s="12" customFormat="1" ht="14.25"/>
    <row r="72" s="12" customFormat="1" ht="14.25"/>
    <row r="73" s="12" customFormat="1" ht="14.25"/>
    <row r="74" s="12" customFormat="1" ht="14.25"/>
    <row r="75" s="12" customFormat="1" ht="14.25"/>
    <row r="76" s="12" customFormat="1" ht="14.25"/>
    <row r="77" s="12" customFormat="1" ht="14.25"/>
    <row r="78" s="12" customFormat="1" ht="14.25"/>
    <row r="79" s="12" customFormat="1" ht="14.25"/>
    <row r="80" s="12" customFormat="1" ht="14.25"/>
    <row r="81" s="12" customFormat="1" ht="14.25"/>
    <row r="82" s="12" customFormat="1" ht="14.25"/>
    <row r="83" s="12" customFormat="1" ht="14.25"/>
    <row r="84" s="12" customFormat="1" ht="14.25"/>
    <row r="85" s="12" customFormat="1" ht="14.25"/>
    <row r="86" s="12" customFormat="1" ht="14.25"/>
    <row r="87" s="12" customFormat="1" ht="14.25"/>
    <row r="88" s="12" customFormat="1" ht="14.25"/>
    <row r="89" s="12" customFormat="1" ht="14.25"/>
    <row r="90" s="12" customFormat="1" ht="14.25"/>
    <row r="91" s="12" customFormat="1" ht="14.25"/>
    <row r="92" s="12" customFormat="1" ht="14.25"/>
    <row r="93" s="12" customFormat="1" ht="14.25"/>
    <row r="94" s="12" customFormat="1" ht="14.25"/>
    <row r="95" s="12" customFormat="1" ht="14.25"/>
    <row r="96" s="12" customFormat="1" ht="14.25"/>
    <row r="97" s="12" customFormat="1" ht="14.25"/>
    <row r="98" s="12" customFormat="1" ht="14.25"/>
    <row r="99" s="12" customFormat="1" ht="14.25"/>
    <row r="100" s="12" customFormat="1" ht="14.25"/>
    <row r="101" s="12" customFormat="1" ht="14.25"/>
    <row r="102" s="12" customFormat="1" ht="14.25"/>
    <row r="103" s="12" customFormat="1" ht="14.25"/>
    <row r="104" s="12" customFormat="1" ht="14.25"/>
    <row r="105" s="12" customFormat="1" ht="14.25"/>
    <row r="106" s="12" customFormat="1" ht="14.25"/>
    <row r="107" s="12" customFormat="1" ht="14.25"/>
    <row r="108" s="12" customFormat="1" ht="14.25"/>
    <row r="109" s="12" customFormat="1" ht="14.25"/>
    <row r="110" s="12" customFormat="1" ht="14.25"/>
    <row r="111" s="12" customFormat="1" ht="14.25"/>
    <row r="112" s="12" customFormat="1" ht="14.25"/>
    <row r="113" s="12" customFormat="1" ht="14.25"/>
    <row r="114" s="12" customFormat="1" ht="14.25"/>
    <row r="115" s="12" customFormat="1" ht="14.25"/>
    <row r="116" s="12" customFormat="1" ht="14.25"/>
    <row r="117" s="12" customFormat="1" ht="14.25"/>
    <row r="118" s="12" customFormat="1" ht="14.25"/>
    <row r="119" s="12" customFormat="1" ht="14.25"/>
    <row r="120" s="12" customFormat="1" ht="14.25"/>
    <row r="121" s="12" customFormat="1" ht="14.25"/>
    <row r="122" s="12" customFormat="1" ht="14.25"/>
    <row r="123" s="12" customFormat="1" ht="14.25"/>
    <row r="124" s="12" customFormat="1" ht="14.25"/>
    <row r="125" s="12" customFormat="1" ht="14.25"/>
    <row r="126" s="12" customFormat="1" ht="14.25"/>
    <row r="127" s="12" customFormat="1" ht="14.25"/>
    <row r="128" s="12" customFormat="1" ht="14.25"/>
    <row r="129" s="12" customFormat="1" ht="14.25"/>
    <row r="130" s="12" customFormat="1" ht="14.25"/>
    <row r="131" s="12" customFormat="1" ht="14.25"/>
    <row r="132" s="12" customFormat="1" ht="14.25"/>
    <row r="133" s="12" customFormat="1" ht="14.25"/>
    <row r="134" s="12" customFormat="1" ht="14.25"/>
    <row r="135" s="12" customFormat="1" ht="14.25"/>
    <row r="136" s="12" customFormat="1" ht="14.25"/>
    <row r="137" s="12" customFormat="1" ht="14.25"/>
    <row r="138" s="12" customFormat="1" ht="14.25"/>
    <row r="139" s="12" customFormat="1" ht="14.25"/>
    <row r="140" s="12" customFormat="1" ht="14.25"/>
    <row r="141" s="12" customFormat="1" ht="14.25"/>
    <row r="142" s="12" customFormat="1" ht="14.25"/>
    <row r="143" s="12" customFormat="1" ht="14.25"/>
    <row r="144" s="12" customFormat="1" ht="14.25"/>
    <row r="145" s="12" customFormat="1" ht="14.25"/>
    <row r="146" s="12" customFormat="1" ht="14.25"/>
    <row r="147" s="12" customFormat="1" ht="14.25"/>
    <row r="148" s="12" customFormat="1" ht="14.25"/>
    <row r="149" s="12" customFormat="1" ht="14.25"/>
    <row r="150" s="12" customFormat="1" ht="14.25"/>
    <row r="151" s="12" customFormat="1" ht="14.25"/>
    <row r="152" s="12" customFormat="1" ht="14.25"/>
    <row r="153" s="12" customFormat="1" ht="14.25"/>
    <row r="154" s="12" customFormat="1" ht="14.25"/>
    <row r="155" s="12" customFormat="1" ht="14.25"/>
    <row r="156" s="12" customFormat="1" ht="14.25"/>
    <row r="157" s="12" customFormat="1" ht="14.25"/>
    <row r="158" s="12" customFormat="1" ht="14.25"/>
    <row r="159" s="12" customFormat="1" ht="14.25"/>
    <row r="160" s="12" customFormat="1" ht="14.25"/>
    <row r="161" s="12" customFormat="1" ht="14.25"/>
    <row r="162" s="12" customFormat="1" ht="14.25"/>
    <row r="163" s="12" customFormat="1" ht="14.25"/>
    <row r="164" s="12" customFormat="1" ht="14.25"/>
    <row r="165" s="12" customFormat="1" ht="14.25"/>
    <row r="166" s="12" customFormat="1" ht="14.25"/>
    <row r="167" s="12" customFormat="1" ht="14.25"/>
    <row r="168" s="12" customFormat="1" ht="14.25"/>
    <row r="169" s="12" customFormat="1" ht="14.25"/>
    <row r="170" s="12" customFormat="1" ht="14.25"/>
    <row r="171" s="12" customFormat="1" ht="14.25"/>
    <row r="172" s="12" customFormat="1" ht="14.25"/>
    <row r="173" s="12" customFormat="1" ht="14.25"/>
    <row r="174" s="12" customFormat="1" ht="14.25"/>
    <row r="175" s="12" customFormat="1" ht="14.25"/>
    <row r="176" s="12" customFormat="1" ht="14.25"/>
    <row r="177" s="12" customFormat="1" ht="14.25"/>
    <row r="178" s="12" customFormat="1" ht="14.25"/>
    <row r="179" s="12" customFormat="1" ht="14.25"/>
    <row r="180" s="12" customFormat="1" ht="14.25"/>
    <row r="181" s="12" customFormat="1" ht="14.25"/>
    <row r="182" s="12" customFormat="1" ht="14.25"/>
    <row r="183" s="12" customFormat="1" ht="14.25"/>
    <row r="184" s="12" customFormat="1" ht="14.25"/>
    <row r="185" s="12" customFormat="1" ht="14.25"/>
    <row r="186" s="12" customFormat="1" ht="14.25"/>
    <row r="187" s="12" customFormat="1" ht="14.25"/>
    <row r="188" s="12" customFormat="1" ht="14.25"/>
    <row r="189" s="12" customFormat="1" ht="14.25"/>
    <row r="190" s="12" customFormat="1" ht="14.25"/>
    <row r="191" s="12" customFormat="1" ht="14.25"/>
    <row r="192" s="12" customFormat="1" ht="14.25"/>
    <row r="193" s="12" customFormat="1" ht="14.25"/>
    <row r="194" s="12" customFormat="1" ht="14.25"/>
    <row r="195" s="12" customFormat="1" ht="14.25"/>
    <row r="196" s="12" customFormat="1" ht="14.25"/>
    <row r="197" s="12" customFormat="1" ht="14.25"/>
    <row r="198" s="12" customFormat="1" ht="14.25"/>
    <row r="199" s="12" customFormat="1" ht="14.25"/>
    <row r="200" s="12" customFormat="1" ht="14.25"/>
    <row r="201" s="12" customFormat="1" ht="14.25"/>
    <row r="202" s="12" customFormat="1" ht="14.25"/>
    <row r="203" s="12" customFormat="1" ht="14.25"/>
    <row r="204" s="12" customFormat="1" ht="14.25"/>
    <row r="205" s="12" customFormat="1" ht="14.25"/>
    <row r="206" s="12" customFormat="1" ht="14.25"/>
    <row r="207" s="12" customFormat="1" ht="14.25"/>
    <row r="208" s="12" customFormat="1" ht="14.25"/>
    <row r="209" s="12" customFormat="1" ht="14.25"/>
    <row r="210" s="12" customFormat="1" ht="14.25"/>
    <row r="211" s="12" customFormat="1" ht="14.25"/>
    <row r="212" s="12" customFormat="1" ht="14.25"/>
    <row r="213" s="12" customFormat="1" ht="14.25"/>
    <row r="214" s="12" customFormat="1" ht="14.25"/>
    <row r="215" s="12" customFormat="1" ht="14.25"/>
    <row r="216" s="12" customFormat="1" ht="14.25"/>
    <row r="217" s="12" customFormat="1" ht="14.25"/>
    <row r="218" s="12" customFormat="1" ht="14.25"/>
    <row r="219" s="12" customFormat="1" ht="14.25"/>
    <row r="220" s="12" customFormat="1" ht="14.25"/>
    <row r="221" s="12" customFormat="1" ht="14.25"/>
    <row r="222" s="12" customFormat="1" ht="14.25"/>
    <row r="223" s="12" customFormat="1" ht="14.25"/>
    <row r="224" s="12" customFormat="1" ht="14.25"/>
    <row r="225" s="12" customFormat="1" ht="14.25"/>
    <row r="226" s="12" customFormat="1" ht="14.25"/>
    <row r="227" s="12" customFormat="1" ht="14.25"/>
    <row r="228" s="12" customFormat="1" ht="14.25"/>
    <row r="229" s="12" customFormat="1" ht="14.25"/>
    <row r="230" s="12" customFormat="1" ht="14.25"/>
    <row r="231" s="12" customFormat="1" ht="14.25"/>
    <row r="232" s="12" customFormat="1" ht="14.25"/>
    <row r="233" s="12" customFormat="1" ht="14.25"/>
    <row r="234" s="12" customFormat="1" ht="14.25"/>
    <row r="235" s="12" customFormat="1" ht="14.25"/>
    <row r="236" s="12" customFormat="1" ht="14.25"/>
    <row r="237" s="12" customFormat="1" ht="14.25"/>
    <row r="238" s="12" customFormat="1" ht="14.25"/>
    <row r="239" s="12" customFormat="1" ht="14.25"/>
    <row r="240" s="12" customFormat="1" ht="14.25"/>
    <row r="241" s="12" customFormat="1" ht="14.25"/>
    <row r="242" s="12" customFormat="1" ht="14.25"/>
    <row r="243" s="12" customFormat="1" ht="14.25"/>
    <row r="244" s="12" customFormat="1" ht="14.25"/>
    <row r="245" s="12" customFormat="1" ht="14.25"/>
    <row r="246" s="12" customFormat="1" ht="14.25"/>
    <row r="247" s="12" customFormat="1" ht="14.25"/>
    <row r="248" s="12" customFormat="1" ht="14.25"/>
    <row r="249" s="12" customFormat="1" ht="14.25"/>
    <row r="250" s="12" customFormat="1" ht="14.25"/>
    <row r="251" s="12" customFormat="1" ht="14.25"/>
    <row r="252" s="12" customFormat="1" ht="14.25"/>
    <row r="253" s="12" customFormat="1" ht="14.25"/>
    <row r="254" s="12" customFormat="1" ht="14.25"/>
    <row r="255" s="12" customFormat="1" ht="14.25"/>
    <row r="256" s="12" customFormat="1" ht="14.25"/>
    <row r="257" s="12" customFormat="1" ht="14.25"/>
    <row r="258" s="12" customFormat="1" ht="14.25"/>
    <row r="259" s="12" customFormat="1" ht="14.25"/>
    <row r="260" s="12" customFormat="1" ht="14.25"/>
    <row r="261" s="12" customFormat="1" ht="14.25"/>
    <row r="262" s="12" customFormat="1" ht="14.25"/>
    <row r="263" s="12" customFormat="1" ht="14.25"/>
    <row r="264" s="12" customFormat="1" ht="14.25"/>
    <row r="265" s="12" customFormat="1" ht="14.25"/>
    <row r="266" s="12" customFormat="1" ht="14.25"/>
    <row r="267" s="12" customFormat="1" ht="14.25"/>
    <row r="268" s="12" customFormat="1" ht="14.25"/>
    <row r="269" s="12" customFormat="1" ht="14.25"/>
    <row r="270" s="12" customFormat="1" ht="14.25"/>
    <row r="271" s="12" customFormat="1" ht="14.25"/>
    <row r="272" s="12" customFormat="1" ht="14.25"/>
    <row r="273" s="12" customFormat="1" ht="14.25"/>
    <row r="274" s="12" customFormat="1" ht="14.25"/>
    <row r="275" s="12" customFormat="1" ht="14.25"/>
    <row r="276" s="12" customFormat="1" ht="14.25"/>
    <row r="277" s="12" customFormat="1" ht="14.25"/>
    <row r="278" s="12" customFormat="1" ht="14.25"/>
    <row r="279" s="12" customFormat="1" ht="14.25"/>
    <row r="280" s="12" customFormat="1" ht="14.25"/>
    <row r="281" s="12" customFormat="1" ht="14.25"/>
    <row r="282" s="12" customFormat="1" ht="14.25"/>
    <row r="283" s="12" customFormat="1" ht="14.25"/>
    <row r="284" s="12" customFormat="1" ht="14.25"/>
    <row r="285" s="12" customFormat="1" ht="14.25"/>
    <row r="286" s="12" customFormat="1" ht="14.25"/>
    <row r="287" s="12" customFormat="1" ht="14.25"/>
    <row r="288" s="12" customFormat="1" ht="14.25"/>
    <row r="289" s="12" customFormat="1" ht="14.25"/>
    <row r="290" s="12" customFormat="1" ht="14.25"/>
    <row r="291" s="12" customFormat="1" ht="14.25"/>
    <row r="292" s="12" customFormat="1" ht="14.25"/>
    <row r="293" s="12" customFormat="1" ht="14.25"/>
    <row r="294" s="12" customFormat="1" ht="14.25"/>
    <row r="295" s="12" customFormat="1" ht="14.25"/>
    <row r="296" s="12" customFormat="1" ht="14.25"/>
    <row r="297" s="12" customFormat="1" ht="14.25"/>
    <row r="298" s="12" customFormat="1" ht="14.25"/>
    <row r="299" s="12" customFormat="1" ht="14.25"/>
    <row r="300" s="12" customFormat="1" ht="14.25"/>
    <row r="301" s="12" customFormat="1" ht="14.25"/>
    <row r="302" s="12" customFormat="1" ht="14.25"/>
    <row r="303" s="12" customFormat="1" ht="14.25"/>
    <row r="304" s="12" customFormat="1" ht="14.25"/>
    <row r="305" spans="1:17" s="12" customFormat="1" ht="14.25"/>
    <row r="306" spans="1:17" s="12" customFormat="1" ht="14.25"/>
    <row r="307" spans="1:17" s="12" customFormat="1" ht="14.25"/>
    <row r="308" spans="1:17" s="12" customFormat="1" ht="14.25"/>
    <row r="309" spans="1:17" s="12" customFormat="1" ht="14.25"/>
    <row r="310" spans="1:17" s="12" customFormat="1" ht="14.25"/>
    <row r="311" spans="1:17" s="12" customFormat="1" ht="14.25"/>
    <row r="312" spans="1:17" s="12" customFormat="1" ht="14.25">
      <c r="N312" s="4"/>
      <c r="O312" s="4"/>
      <c r="P312" s="4"/>
      <c r="Q312" s="4"/>
    </row>
    <row r="313" spans="1:17" s="12" customFormat="1" ht="14.25">
      <c r="N313" s="4"/>
      <c r="O313" s="4"/>
      <c r="P313" s="4"/>
      <c r="Q313" s="4"/>
    </row>
    <row r="314" spans="1:17" s="12" customFormat="1" ht="14.25">
      <c r="N314" s="4"/>
      <c r="O314" s="4"/>
      <c r="P314" s="4"/>
      <c r="Q314" s="4"/>
    </row>
    <row r="315" spans="1:17" s="12" customFormat="1" ht="14.25">
      <c r="N315" s="4"/>
      <c r="O315" s="4"/>
      <c r="P315" s="4"/>
      <c r="Q315" s="4"/>
    </row>
    <row r="316" spans="1:17" ht="14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</row>
    <row r="317" spans="1:17" ht="14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</row>
  </sheetData>
  <mergeCells count="1">
    <mergeCell ref="A1:K1"/>
  </mergeCells>
  <phoneticPr fontId="0" type="noConversion"/>
  <printOptions horizontalCentered="1" verticalCentered="1"/>
  <pageMargins left="0.35433070866141736" right="3.937007874015748E-2" top="0.31496062992125984" bottom="0" header="0.51181102362204722" footer="0.51181102362204722"/>
  <pageSetup scale="64" fitToWidth="2" fitToHeight="2" orientation="portrait" horizontalDpi="4294967295" verticalDpi="300" r:id="rId1"/>
  <headerFooter scaleWithDoc="0" alignWithMargins="0">
    <oddHeader>&amp;R&amp;G</oddHeader>
    <oddFooter>&amp;R&amp;"Verdana,Italic"&amp;K0033CCCWT Monthly Report - October-2012</oddFooter>
  </headerFooter>
  <ignoredErrors>
    <ignoredError sqref="B36:B38" formulaRange="1"/>
  </ignoredError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62"/>
  <sheetViews>
    <sheetView showGridLines="0" tabSelected="1" zoomScale="75" zoomScaleNormal="75" zoomScaleSheetLayoutView="75" workbookViewId="0">
      <pane xSplit="1" ySplit="4" topLeftCell="B5" activePane="bottomRight" state="frozen"/>
      <selection activeCell="A29" sqref="A29"/>
      <selection pane="topRight" activeCell="A29" sqref="A29"/>
      <selection pane="bottomLeft" activeCell="A29" sqref="A29"/>
      <selection pane="bottomRight" activeCell="U11" sqref="U11"/>
    </sheetView>
  </sheetViews>
  <sheetFormatPr defaultColWidth="9.140625" defaultRowHeight="14.25"/>
  <cols>
    <col min="1" max="1" width="12.140625" style="25" customWidth="1"/>
    <col min="2" max="2" width="9.28515625" style="25" customWidth="1"/>
    <col min="3" max="3" width="12.28515625" style="25" customWidth="1"/>
    <col min="4" max="4" width="11.140625" style="25" customWidth="1"/>
    <col min="5" max="6" width="13.42578125" style="25" customWidth="1"/>
    <col min="7" max="7" width="13.28515625" style="25" customWidth="1"/>
    <col min="8" max="8" width="8.5703125" style="25" customWidth="1"/>
    <col min="9" max="9" width="8.42578125" style="25" customWidth="1"/>
    <col min="10" max="10" width="11.5703125" style="25" customWidth="1"/>
    <col min="11" max="11" width="10.7109375" style="25" customWidth="1"/>
    <col min="12" max="12" width="11.5703125" style="25" customWidth="1"/>
    <col min="13" max="14" width="11.42578125" style="25" customWidth="1"/>
    <col min="15" max="15" width="11.140625" style="25" customWidth="1"/>
    <col min="16" max="16" width="13.140625" style="25" customWidth="1"/>
    <col min="17" max="17" width="9.28515625" style="25" customWidth="1"/>
    <col min="18" max="18" width="3.42578125" style="27" customWidth="1"/>
    <col min="19" max="40" width="8.85546875"/>
    <col min="41" max="41" width="4.42578125" style="25" customWidth="1"/>
    <col min="42" max="16384" width="9.140625" style="25"/>
  </cols>
  <sheetData>
    <row r="1" spans="1:52" s="27" customFormat="1" ht="19.5">
      <c r="A1" s="251" t="s">
        <v>89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7"/>
    </row>
    <row r="2" spans="1:52" s="27" customFormat="1" ht="15" thickBot="1"/>
    <row r="3" spans="1:52" ht="30" customHeight="1">
      <c r="A3" s="252" t="s">
        <v>0</v>
      </c>
      <c r="B3" s="198" t="s">
        <v>1</v>
      </c>
      <c r="C3" s="41" t="s">
        <v>2</v>
      </c>
      <c r="D3" s="41" t="s">
        <v>18</v>
      </c>
      <c r="E3" s="41" t="s">
        <v>3</v>
      </c>
      <c r="F3" s="41" t="s">
        <v>84</v>
      </c>
      <c r="G3" s="41" t="s">
        <v>4</v>
      </c>
      <c r="H3" s="41" t="s">
        <v>5</v>
      </c>
      <c r="I3" s="41" t="s">
        <v>6</v>
      </c>
      <c r="J3" s="41" t="s">
        <v>7</v>
      </c>
      <c r="K3" s="41" t="s">
        <v>28</v>
      </c>
      <c r="L3" s="41" t="s">
        <v>86</v>
      </c>
      <c r="M3" s="41" t="s">
        <v>87</v>
      </c>
      <c r="N3" s="41" t="s">
        <v>90</v>
      </c>
      <c r="O3" s="41" t="s">
        <v>91</v>
      </c>
      <c r="P3" s="41" t="s">
        <v>92</v>
      </c>
      <c r="Q3" s="42" t="s">
        <v>20</v>
      </c>
      <c r="R3" s="43"/>
      <c r="AO3" s="44"/>
    </row>
    <row r="4" spans="1:52" ht="36.75" customHeight="1" thickBot="1">
      <c r="A4" s="253"/>
      <c r="B4" s="45" t="s">
        <v>109</v>
      </c>
      <c r="C4" s="46" t="s">
        <v>93</v>
      </c>
      <c r="D4" s="71" t="s">
        <v>101</v>
      </c>
      <c r="E4" s="46" t="s">
        <v>102</v>
      </c>
      <c r="F4" s="46" t="s">
        <v>114</v>
      </c>
      <c r="G4" s="46" t="s">
        <v>94</v>
      </c>
      <c r="H4" s="46" t="s">
        <v>11</v>
      </c>
      <c r="I4" s="46" t="s">
        <v>11</v>
      </c>
      <c r="J4" s="46" t="s">
        <v>95</v>
      </c>
      <c r="K4" s="46" t="s">
        <v>96</v>
      </c>
      <c r="L4" s="46" t="s">
        <v>97</v>
      </c>
      <c r="M4" s="46" t="s">
        <v>98</v>
      </c>
      <c r="N4" s="46" t="s">
        <v>99</v>
      </c>
      <c r="O4" s="46" t="s">
        <v>11</v>
      </c>
      <c r="P4" s="46" t="s">
        <v>100</v>
      </c>
      <c r="Q4" s="47" t="s">
        <v>107</v>
      </c>
      <c r="R4" s="43"/>
      <c r="AO4" s="44"/>
    </row>
    <row r="5" spans="1:52" ht="18" customHeight="1">
      <c r="A5" s="34">
        <f>MakeUp!A5</f>
        <v>41365</v>
      </c>
      <c r="B5" s="35">
        <v>7.59</v>
      </c>
      <c r="C5" s="30">
        <v>121</v>
      </c>
      <c r="D5" s="30">
        <v>0.2</v>
      </c>
      <c r="E5" s="29">
        <v>2390</v>
      </c>
      <c r="F5" s="29">
        <v>1618</v>
      </c>
      <c r="G5" s="32">
        <v>1102</v>
      </c>
      <c r="H5" s="31">
        <v>672</v>
      </c>
      <c r="I5" s="32">
        <f t="shared" ref="I5:I33" si="0">G5-H5</f>
        <v>430</v>
      </c>
      <c r="J5" s="31">
        <v>146</v>
      </c>
      <c r="K5" s="80">
        <v>6.5</v>
      </c>
      <c r="L5" s="183">
        <v>120</v>
      </c>
      <c r="M5" s="80" t="s">
        <v>88</v>
      </c>
      <c r="N5" s="80">
        <v>0.2</v>
      </c>
      <c r="O5" s="272">
        <v>240</v>
      </c>
      <c r="P5" s="183">
        <v>893</v>
      </c>
      <c r="Q5" s="191">
        <v>95</v>
      </c>
      <c r="R5" s="48"/>
      <c r="AO5" s="49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</row>
    <row r="6" spans="1:52" ht="18" customHeight="1">
      <c r="A6" s="34">
        <f>MakeUp!A6</f>
        <v>41366</v>
      </c>
      <c r="B6" s="19">
        <v>7.86</v>
      </c>
      <c r="C6" s="162">
        <v>118</v>
      </c>
      <c r="D6" s="2">
        <v>0.2</v>
      </c>
      <c r="E6" s="79">
        <v>2190</v>
      </c>
      <c r="F6" s="79">
        <v>1479</v>
      </c>
      <c r="G6" s="32">
        <v>918</v>
      </c>
      <c r="H6" s="32">
        <v>560</v>
      </c>
      <c r="I6" s="32">
        <f t="shared" si="0"/>
        <v>358</v>
      </c>
      <c r="J6" s="32">
        <v>125</v>
      </c>
      <c r="K6" s="158">
        <v>7.2</v>
      </c>
      <c r="L6" s="184">
        <v>150</v>
      </c>
      <c r="M6" s="158" t="s">
        <v>88</v>
      </c>
      <c r="N6" s="158">
        <v>0.2</v>
      </c>
      <c r="O6" s="273">
        <v>236</v>
      </c>
      <c r="P6" s="184">
        <v>984</v>
      </c>
      <c r="Q6" s="191">
        <v>91</v>
      </c>
      <c r="R6" s="48"/>
      <c r="AO6" s="49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</row>
    <row r="7" spans="1:52" ht="18" customHeight="1">
      <c r="A7" s="34">
        <f>MakeUp!A7</f>
        <v>41367</v>
      </c>
      <c r="B7" s="19">
        <v>7.92</v>
      </c>
      <c r="C7" s="162">
        <v>104</v>
      </c>
      <c r="D7" s="2">
        <v>0.2</v>
      </c>
      <c r="E7" s="79">
        <v>2100</v>
      </c>
      <c r="F7" s="79">
        <v>1420</v>
      </c>
      <c r="G7" s="32">
        <v>898</v>
      </c>
      <c r="H7" s="32">
        <v>530</v>
      </c>
      <c r="I7" s="32">
        <f t="shared" si="0"/>
        <v>368</v>
      </c>
      <c r="J7" s="32">
        <v>132</v>
      </c>
      <c r="K7" s="158">
        <v>6.8</v>
      </c>
      <c r="L7" s="184">
        <v>160</v>
      </c>
      <c r="M7" s="158" t="s">
        <v>88</v>
      </c>
      <c r="N7" s="158">
        <v>0.2</v>
      </c>
      <c r="O7" s="273">
        <v>208</v>
      </c>
      <c r="P7" s="184">
        <v>916</v>
      </c>
      <c r="Q7" s="191">
        <v>98</v>
      </c>
      <c r="R7" s="48"/>
      <c r="AO7" s="49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</row>
    <row r="8" spans="1:52" ht="18" customHeight="1">
      <c r="A8" s="34">
        <f>MakeUp!A8</f>
        <v>41368</v>
      </c>
      <c r="B8" s="19">
        <v>7.98</v>
      </c>
      <c r="C8" s="162">
        <v>85</v>
      </c>
      <c r="D8" s="2">
        <v>0.2</v>
      </c>
      <c r="E8" s="79">
        <v>2180</v>
      </c>
      <c r="F8" s="79">
        <v>1470</v>
      </c>
      <c r="G8" s="32">
        <v>877</v>
      </c>
      <c r="H8" s="32">
        <v>510</v>
      </c>
      <c r="I8" s="32">
        <f t="shared" si="0"/>
        <v>367</v>
      </c>
      <c r="J8" s="32">
        <v>125</v>
      </c>
      <c r="K8" s="158">
        <v>8</v>
      </c>
      <c r="L8" s="184">
        <v>165</v>
      </c>
      <c r="M8" s="158" t="s">
        <v>88</v>
      </c>
      <c r="N8" s="158">
        <v>0.2</v>
      </c>
      <c r="O8" s="273">
        <v>170</v>
      </c>
      <c r="P8" s="184">
        <v>966</v>
      </c>
      <c r="Q8" s="191">
        <v>110</v>
      </c>
      <c r="R8" s="48"/>
      <c r="AO8" s="49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</row>
    <row r="9" spans="1:52" ht="18" customHeight="1">
      <c r="A9" s="34">
        <f>MakeUp!A9</f>
        <v>41369</v>
      </c>
      <c r="B9" s="19">
        <v>7.9</v>
      </c>
      <c r="C9" s="162">
        <v>77</v>
      </c>
      <c r="D9" s="2">
        <v>0.2</v>
      </c>
      <c r="E9" s="79">
        <v>2150</v>
      </c>
      <c r="F9" s="79">
        <v>1450</v>
      </c>
      <c r="G9" s="32">
        <v>816</v>
      </c>
      <c r="H9" s="32">
        <v>449</v>
      </c>
      <c r="I9" s="32">
        <f t="shared" si="0"/>
        <v>367</v>
      </c>
      <c r="J9" s="32">
        <v>114</v>
      </c>
      <c r="K9" s="158">
        <v>7.1</v>
      </c>
      <c r="L9" s="184">
        <v>160</v>
      </c>
      <c r="M9" s="158" t="s">
        <v>88</v>
      </c>
      <c r="N9" s="158">
        <v>0.2</v>
      </c>
      <c r="O9" s="273">
        <v>154</v>
      </c>
      <c r="P9" s="184">
        <v>952</v>
      </c>
      <c r="Q9" s="192">
        <v>113</v>
      </c>
      <c r="R9" s="48"/>
      <c r="AO9" s="49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</row>
    <row r="10" spans="1:52" ht="18" customHeight="1">
      <c r="A10" s="34">
        <f>MakeUp!A10</f>
        <v>41370</v>
      </c>
      <c r="B10" s="19">
        <v>7.8</v>
      </c>
      <c r="C10" s="162">
        <v>62</v>
      </c>
      <c r="D10" s="2">
        <v>0.2</v>
      </c>
      <c r="E10" s="79">
        <v>2010</v>
      </c>
      <c r="F10" s="79">
        <v>1360</v>
      </c>
      <c r="G10" s="32">
        <v>775</v>
      </c>
      <c r="H10" s="32">
        <v>428</v>
      </c>
      <c r="I10" s="32">
        <f t="shared" si="0"/>
        <v>347</v>
      </c>
      <c r="J10" s="32">
        <v>110</v>
      </c>
      <c r="K10" s="158">
        <v>7</v>
      </c>
      <c r="L10" s="184">
        <v>150</v>
      </c>
      <c r="M10" s="158" t="s">
        <v>88</v>
      </c>
      <c r="N10" s="158">
        <v>0.2</v>
      </c>
      <c r="O10" s="273">
        <v>120</v>
      </c>
      <c r="P10" s="184">
        <v>938</v>
      </c>
      <c r="Q10" s="192">
        <v>108</v>
      </c>
      <c r="R10" s="48"/>
      <c r="AO10" s="49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</row>
    <row r="11" spans="1:52" ht="18" customHeight="1">
      <c r="A11" s="34">
        <f>MakeUp!A11</f>
        <v>41371</v>
      </c>
      <c r="B11" s="19">
        <v>8.02</v>
      </c>
      <c r="C11" s="162">
        <v>50</v>
      </c>
      <c r="D11" s="2">
        <v>0.2</v>
      </c>
      <c r="E11" s="79">
        <v>2000</v>
      </c>
      <c r="F11" s="79">
        <v>1353</v>
      </c>
      <c r="G11" s="32">
        <v>672</v>
      </c>
      <c r="H11" s="32">
        <v>401</v>
      </c>
      <c r="I11" s="32">
        <f t="shared" si="0"/>
        <v>271</v>
      </c>
      <c r="J11" s="32">
        <v>103</v>
      </c>
      <c r="K11" s="158">
        <v>7</v>
      </c>
      <c r="L11" s="184">
        <v>170</v>
      </c>
      <c r="M11" s="158" t="s">
        <v>88</v>
      </c>
      <c r="N11" s="158">
        <v>0.2</v>
      </c>
      <c r="O11" s="273">
        <v>98</v>
      </c>
      <c r="P11" s="184">
        <v>942</v>
      </c>
      <c r="Q11" s="192">
        <v>110</v>
      </c>
      <c r="R11" s="48"/>
      <c r="AO11" s="49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</row>
    <row r="12" spans="1:52" ht="18" customHeight="1">
      <c r="A12" s="34">
        <f>MakeUp!A12</f>
        <v>41372</v>
      </c>
      <c r="B12" s="19">
        <v>8</v>
      </c>
      <c r="C12" s="8">
        <v>49</v>
      </c>
      <c r="D12" s="2">
        <v>0.2</v>
      </c>
      <c r="E12" s="79">
        <v>1995</v>
      </c>
      <c r="F12" s="79">
        <v>1348</v>
      </c>
      <c r="G12" s="32">
        <v>726</v>
      </c>
      <c r="H12" s="32">
        <v>416</v>
      </c>
      <c r="I12" s="32">
        <f t="shared" si="0"/>
        <v>310</v>
      </c>
      <c r="J12" s="32">
        <v>114</v>
      </c>
      <c r="K12" s="158">
        <v>7</v>
      </c>
      <c r="L12" s="184">
        <v>170</v>
      </c>
      <c r="M12" s="158" t="s">
        <v>88</v>
      </c>
      <c r="N12" s="158">
        <v>0.2</v>
      </c>
      <c r="O12" s="273">
        <v>90</v>
      </c>
      <c r="P12" s="184">
        <v>956</v>
      </c>
      <c r="Q12" s="192">
        <v>112</v>
      </c>
      <c r="R12" s="48"/>
      <c r="AO12" s="49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</row>
    <row r="13" spans="1:52" ht="18" customHeight="1">
      <c r="A13" s="34">
        <f>MakeUp!A13</f>
        <v>41373</v>
      </c>
      <c r="B13" s="19">
        <v>7.9</v>
      </c>
      <c r="C13" s="162">
        <v>41</v>
      </c>
      <c r="D13" s="2">
        <v>0.2</v>
      </c>
      <c r="E13" s="79">
        <v>2050</v>
      </c>
      <c r="F13" s="79">
        <v>1431</v>
      </c>
      <c r="G13" s="32">
        <v>747</v>
      </c>
      <c r="H13" s="32">
        <v>428</v>
      </c>
      <c r="I13" s="32">
        <f t="shared" si="0"/>
        <v>319</v>
      </c>
      <c r="J13" s="32">
        <v>117</v>
      </c>
      <c r="K13" s="158">
        <v>6.9</v>
      </c>
      <c r="L13" s="184">
        <v>160</v>
      </c>
      <c r="M13" s="158" t="s">
        <v>88</v>
      </c>
      <c r="N13" s="158">
        <v>0.2</v>
      </c>
      <c r="O13" s="273">
        <v>80</v>
      </c>
      <c r="P13" s="184">
        <v>943</v>
      </c>
      <c r="Q13" s="192">
        <v>110</v>
      </c>
      <c r="R13" s="48"/>
      <c r="AO13" s="49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</row>
    <row r="14" spans="1:52" ht="18" customHeight="1">
      <c r="A14" s="34">
        <f>MakeUp!A14</f>
        <v>41374</v>
      </c>
      <c r="B14" s="19">
        <v>7.88</v>
      </c>
      <c r="C14" s="162">
        <v>52</v>
      </c>
      <c r="D14" s="2">
        <v>0.1</v>
      </c>
      <c r="E14" s="79">
        <v>2215</v>
      </c>
      <c r="F14" s="79">
        <v>1550</v>
      </c>
      <c r="G14" s="32">
        <v>726</v>
      </c>
      <c r="H14" s="32">
        <v>420</v>
      </c>
      <c r="I14" s="32">
        <f t="shared" si="0"/>
        <v>306</v>
      </c>
      <c r="J14" s="32">
        <v>114</v>
      </c>
      <c r="K14" s="158">
        <v>6.8</v>
      </c>
      <c r="L14" s="184">
        <v>160</v>
      </c>
      <c r="M14" s="158" t="s">
        <v>88</v>
      </c>
      <c r="N14" s="158">
        <v>0.2</v>
      </c>
      <c r="O14" s="273">
        <v>101</v>
      </c>
      <c r="P14" s="184">
        <v>929</v>
      </c>
      <c r="Q14" s="192">
        <v>108</v>
      </c>
      <c r="R14" s="48"/>
      <c r="AO14" s="49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</row>
    <row r="15" spans="1:52" ht="18" customHeight="1">
      <c r="A15" s="34">
        <f>MakeUp!A15</f>
        <v>41375</v>
      </c>
      <c r="B15" s="19">
        <v>8.09</v>
      </c>
      <c r="C15" s="162">
        <v>45</v>
      </c>
      <c r="D15" s="2">
        <v>0.2</v>
      </c>
      <c r="E15" s="79">
        <v>1740</v>
      </c>
      <c r="F15" s="79">
        <v>1218</v>
      </c>
      <c r="G15" s="32">
        <v>734</v>
      </c>
      <c r="H15" s="32">
        <v>428</v>
      </c>
      <c r="I15" s="32">
        <f t="shared" si="0"/>
        <v>306</v>
      </c>
      <c r="J15" s="32">
        <v>117</v>
      </c>
      <c r="K15" s="158">
        <v>7</v>
      </c>
      <c r="L15" s="184">
        <v>170</v>
      </c>
      <c r="M15" s="158" t="s">
        <v>88</v>
      </c>
      <c r="N15" s="158">
        <v>0.2</v>
      </c>
      <c r="O15" s="273">
        <v>88</v>
      </c>
      <c r="P15" s="184">
        <v>910</v>
      </c>
      <c r="Q15" s="192">
        <v>110</v>
      </c>
      <c r="R15" s="48"/>
      <c r="AO15" s="49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</row>
    <row r="16" spans="1:52" ht="18" customHeight="1">
      <c r="A16" s="34">
        <f>MakeUp!A16</f>
        <v>41376</v>
      </c>
      <c r="B16" s="19">
        <v>7.98</v>
      </c>
      <c r="C16" s="162">
        <v>37</v>
      </c>
      <c r="D16" s="2">
        <v>0.2</v>
      </c>
      <c r="E16" s="79">
        <v>1795</v>
      </c>
      <c r="F16" s="79">
        <v>1256</v>
      </c>
      <c r="G16" s="32">
        <v>747</v>
      </c>
      <c r="H16" s="32">
        <v>428</v>
      </c>
      <c r="I16" s="32">
        <f t="shared" si="0"/>
        <v>319</v>
      </c>
      <c r="J16" s="32">
        <v>125</v>
      </c>
      <c r="K16" s="158">
        <v>6.8</v>
      </c>
      <c r="L16" s="184">
        <v>170</v>
      </c>
      <c r="M16" s="158" t="s">
        <v>88</v>
      </c>
      <c r="N16" s="158">
        <v>0.2</v>
      </c>
      <c r="O16" s="273">
        <v>74</v>
      </c>
      <c r="P16" s="184">
        <v>925</v>
      </c>
      <c r="Q16" s="192">
        <v>108</v>
      </c>
      <c r="R16" s="48"/>
      <c r="AO16" s="49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</row>
    <row r="17" spans="1:52" ht="18" customHeight="1">
      <c r="A17" s="34">
        <f>MakeUp!A17</f>
        <v>41377</v>
      </c>
      <c r="B17" s="19">
        <v>8.1199999999999992</v>
      </c>
      <c r="C17" s="162">
        <v>38</v>
      </c>
      <c r="D17" s="2">
        <v>0.2</v>
      </c>
      <c r="E17" s="79">
        <v>1968</v>
      </c>
      <c r="F17" s="79">
        <v>1378</v>
      </c>
      <c r="G17" s="32">
        <v>804</v>
      </c>
      <c r="H17" s="32">
        <v>469</v>
      </c>
      <c r="I17" s="32">
        <f t="shared" si="0"/>
        <v>335</v>
      </c>
      <c r="J17" s="32">
        <v>132</v>
      </c>
      <c r="K17" s="158">
        <v>7.1</v>
      </c>
      <c r="L17" s="184">
        <v>180</v>
      </c>
      <c r="M17" s="158" t="s">
        <v>88</v>
      </c>
      <c r="N17" s="158">
        <v>0.2</v>
      </c>
      <c r="O17" s="273">
        <v>60</v>
      </c>
      <c r="P17" s="184">
        <v>938</v>
      </c>
      <c r="Q17" s="192">
        <v>112</v>
      </c>
      <c r="R17" s="48"/>
      <c r="AO17" s="49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</row>
    <row r="18" spans="1:52" ht="18" customHeight="1">
      <c r="A18" s="34">
        <f>MakeUp!A18</f>
        <v>41378</v>
      </c>
      <c r="B18" s="19">
        <v>7.94</v>
      </c>
      <c r="C18" s="162">
        <v>22</v>
      </c>
      <c r="D18" s="2">
        <v>0.2</v>
      </c>
      <c r="E18" s="79">
        <v>2110</v>
      </c>
      <c r="F18" s="79">
        <v>1477</v>
      </c>
      <c r="G18" s="32">
        <v>849</v>
      </c>
      <c r="H18" s="32">
        <v>510</v>
      </c>
      <c r="I18" s="32">
        <f t="shared" si="0"/>
        <v>339</v>
      </c>
      <c r="J18" s="32">
        <v>189</v>
      </c>
      <c r="K18" s="158">
        <v>7.1</v>
      </c>
      <c r="L18" s="184">
        <v>165</v>
      </c>
      <c r="M18" s="158" t="s">
        <v>88</v>
      </c>
      <c r="N18" s="158">
        <v>0.2</v>
      </c>
      <c r="O18" s="273">
        <v>48</v>
      </c>
      <c r="P18" s="184">
        <v>949</v>
      </c>
      <c r="Q18" s="192">
        <v>110</v>
      </c>
      <c r="R18" s="48"/>
      <c r="AO18" s="49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</row>
    <row r="19" spans="1:52" ht="18" customHeight="1">
      <c r="A19" s="34">
        <f>MakeUp!A19</f>
        <v>41379</v>
      </c>
      <c r="B19" s="19">
        <v>7.98</v>
      </c>
      <c r="C19" s="8">
        <v>23</v>
      </c>
      <c r="D19" s="2">
        <v>0.2</v>
      </c>
      <c r="E19" s="79">
        <v>2128</v>
      </c>
      <c r="F19" s="79">
        <v>1490</v>
      </c>
      <c r="G19" s="32">
        <v>856</v>
      </c>
      <c r="H19" s="32">
        <v>518</v>
      </c>
      <c r="I19" s="32">
        <f t="shared" si="0"/>
        <v>338</v>
      </c>
      <c r="J19" s="32">
        <v>196</v>
      </c>
      <c r="K19" s="158">
        <v>7.2</v>
      </c>
      <c r="L19" s="184">
        <v>170</v>
      </c>
      <c r="M19" s="158" t="s">
        <v>88</v>
      </c>
      <c r="N19" s="158">
        <v>0.2</v>
      </c>
      <c r="O19" s="273">
        <v>40</v>
      </c>
      <c r="P19" s="184">
        <v>936</v>
      </c>
      <c r="Q19" s="192">
        <v>102</v>
      </c>
      <c r="R19" s="48"/>
      <c r="AO19" s="49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</row>
    <row r="20" spans="1:52" ht="18" customHeight="1">
      <c r="A20" s="34">
        <f>MakeUp!A20</f>
        <v>41380</v>
      </c>
      <c r="B20" s="19">
        <v>8.02</v>
      </c>
      <c r="C20" s="8">
        <v>38</v>
      </c>
      <c r="D20" s="2">
        <v>0.2</v>
      </c>
      <c r="E20" s="79">
        <v>1985</v>
      </c>
      <c r="F20" s="79">
        <v>1390</v>
      </c>
      <c r="G20" s="32">
        <v>918</v>
      </c>
      <c r="H20" s="32">
        <v>694</v>
      </c>
      <c r="I20" s="32">
        <f t="shared" si="0"/>
        <v>224</v>
      </c>
      <c r="J20" s="32">
        <v>160</v>
      </c>
      <c r="K20" s="158">
        <v>7.2</v>
      </c>
      <c r="L20" s="184">
        <v>180</v>
      </c>
      <c r="M20" s="158" t="s">
        <v>88</v>
      </c>
      <c r="N20" s="158">
        <v>0.3</v>
      </c>
      <c r="O20" s="273">
        <v>75</v>
      </c>
      <c r="P20" s="184">
        <v>921</v>
      </c>
      <c r="Q20" s="192">
        <v>108</v>
      </c>
      <c r="R20" s="48"/>
      <c r="AO20" s="49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</row>
    <row r="21" spans="1:52" ht="18" customHeight="1">
      <c r="A21" s="34">
        <f>MakeUp!A21</f>
        <v>41381</v>
      </c>
      <c r="B21" s="19">
        <v>7.89</v>
      </c>
      <c r="C21" s="162">
        <v>29</v>
      </c>
      <c r="D21" s="2">
        <v>0.2</v>
      </c>
      <c r="E21" s="79">
        <v>2084</v>
      </c>
      <c r="F21" s="79">
        <v>1459</v>
      </c>
      <c r="G21" s="32">
        <v>938</v>
      </c>
      <c r="H21" s="32">
        <v>550</v>
      </c>
      <c r="I21" s="32">
        <f t="shared" si="0"/>
        <v>388</v>
      </c>
      <c r="J21" s="32">
        <v>164</v>
      </c>
      <c r="K21" s="158">
        <v>7.1</v>
      </c>
      <c r="L21" s="184">
        <v>165</v>
      </c>
      <c r="M21" s="158" t="s">
        <v>88</v>
      </c>
      <c r="N21" s="158">
        <v>0.3</v>
      </c>
      <c r="O21" s="273">
        <v>76</v>
      </c>
      <c r="P21" s="184">
        <v>910</v>
      </c>
      <c r="Q21" s="192">
        <v>105</v>
      </c>
      <c r="R21" s="48"/>
      <c r="AO21" s="49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</row>
    <row r="22" spans="1:52" ht="18" customHeight="1">
      <c r="A22" s="34">
        <f>MakeUp!A22</f>
        <v>41382</v>
      </c>
      <c r="B22" s="19">
        <v>7.8</v>
      </c>
      <c r="C22" s="162">
        <v>24</v>
      </c>
      <c r="D22" s="2">
        <v>0.2</v>
      </c>
      <c r="E22" s="79">
        <v>2142</v>
      </c>
      <c r="F22" s="79">
        <v>1500</v>
      </c>
      <c r="G22" s="32">
        <v>971</v>
      </c>
      <c r="H22" s="32">
        <v>571</v>
      </c>
      <c r="I22" s="32">
        <f t="shared" si="0"/>
        <v>400</v>
      </c>
      <c r="J22" s="32">
        <v>171</v>
      </c>
      <c r="K22" s="158">
        <v>7</v>
      </c>
      <c r="L22" s="184">
        <v>160</v>
      </c>
      <c r="M22" s="158" t="s">
        <v>88</v>
      </c>
      <c r="N22" s="158">
        <v>0.2</v>
      </c>
      <c r="O22" s="273">
        <v>45</v>
      </c>
      <c r="P22" s="184">
        <v>924</v>
      </c>
      <c r="Q22" s="192">
        <v>108</v>
      </c>
      <c r="R22" s="48"/>
      <c r="AO22" s="49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</row>
    <row r="23" spans="1:52" ht="18" customHeight="1">
      <c r="A23" s="34">
        <f>MakeUp!A23</f>
        <v>41383</v>
      </c>
      <c r="B23" s="19">
        <v>7.8</v>
      </c>
      <c r="C23" s="8">
        <v>39</v>
      </c>
      <c r="D23" s="2">
        <v>0.2</v>
      </c>
      <c r="E23" s="79">
        <v>2150</v>
      </c>
      <c r="F23" s="79">
        <v>1504</v>
      </c>
      <c r="G23" s="32">
        <v>1089</v>
      </c>
      <c r="H23" s="32">
        <v>679</v>
      </c>
      <c r="I23" s="32">
        <f t="shared" si="0"/>
        <v>410</v>
      </c>
      <c r="J23" s="32">
        <v>175</v>
      </c>
      <c r="K23" s="158">
        <v>5.8</v>
      </c>
      <c r="L23" s="184">
        <v>160</v>
      </c>
      <c r="M23" s="158" t="s">
        <v>88</v>
      </c>
      <c r="N23" s="158">
        <v>0.2</v>
      </c>
      <c r="O23" s="273">
        <v>76</v>
      </c>
      <c r="P23" s="184">
        <v>930</v>
      </c>
      <c r="Q23" s="192">
        <v>110</v>
      </c>
      <c r="R23" s="48"/>
      <c r="AO23" s="49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</row>
    <row r="24" spans="1:52" ht="18" customHeight="1">
      <c r="A24" s="34">
        <f>MakeUp!A24</f>
        <v>41384</v>
      </c>
      <c r="B24" s="19">
        <v>7.96</v>
      </c>
      <c r="C24" s="162">
        <v>60</v>
      </c>
      <c r="D24" s="2">
        <v>0.2</v>
      </c>
      <c r="E24" s="79">
        <v>2140</v>
      </c>
      <c r="F24" s="79">
        <v>1495</v>
      </c>
      <c r="G24" s="32">
        <v>969</v>
      </c>
      <c r="H24" s="32">
        <v>575</v>
      </c>
      <c r="I24" s="32">
        <f t="shared" si="0"/>
        <v>394</v>
      </c>
      <c r="J24" s="32">
        <v>175</v>
      </c>
      <c r="K24" s="158">
        <v>5.7</v>
      </c>
      <c r="L24" s="184">
        <v>170</v>
      </c>
      <c r="M24" s="158" t="s">
        <v>88</v>
      </c>
      <c r="N24" s="158">
        <v>0.2</v>
      </c>
      <c r="O24" s="273">
        <v>110</v>
      </c>
      <c r="P24" s="184">
        <v>935</v>
      </c>
      <c r="Q24" s="192">
        <v>113</v>
      </c>
      <c r="R24" s="48"/>
      <c r="AO24" s="49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</row>
    <row r="25" spans="1:52" ht="18" customHeight="1">
      <c r="A25" s="34">
        <f>MakeUp!A25</f>
        <v>41385</v>
      </c>
      <c r="B25" s="19">
        <v>8.0500000000000007</v>
      </c>
      <c r="C25" s="162">
        <v>23</v>
      </c>
      <c r="D25" s="2">
        <v>0.2</v>
      </c>
      <c r="E25" s="79">
        <v>2142</v>
      </c>
      <c r="F25" s="79">
        <v>1500</v>
      </c>
      <c r="G25" s="32">
        <v>990</v>
      </c>
      <c r="H25" s="32">
        <v>580</v>
      </c>
      <c r="I25" s="32">
        <f t="shared" si="0"/>
        <v>410</v>
      </c>
      <c r="J25" s="32">
        <v>178</v>
      </c>
      <c r="K25" s="158">
        <v>5.9</v>
      </c>
      <c r="L25" s="184">
        <v>180</v>
      </c>
      <c r="M25" s="158" t="s">
        <v>88</v>
      </c>
      <c r="N25" s="158">
        <v>0.2</v>
      </c>
      <c r="O25" s="273">
        <v>50</v>
      </c>
      <c r="P25" s="184">
        <v>960</v>
      </c>
      <c r="Q25" s="192">
        <v>115</v>
      </c>
      <c r="R25" s="48"/>
      <c r="AO25" s="49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</row>
    <row r="26" spans="1:52" ht="18" customHeight="1">
      <c r="A26" s="34">
        <f>MakeUp!A26</f>
        <v>41386</v>
      </c>
      <c r="B26" s="19">
        <v>7.99</v>
      </c>
      <c r="C26" s="8">
        <v>26</v>
      </c>
      <c r="D26" s="2">
        <v>0.2</v>
      </c>
      <c r="E26" s="79">
        <v>2850</v>
      </c>
      <c r="F26" s="79">
        <v>1995</v>
      </c>
      <c r="G26" s="32">
        <v>1040</v>
      </c>
      <c r="H26" s="32">
        <v>582</v>
      </c>
      <c r="I26" s="32">
        <f t="shared" si="0"/>
        <v>458</v>
      </c>
      <c r="J26" s="32">
        <v>189</v>
      </c>
      <c r="K26" s="158">
        <v>7.2</v>
      </c>
      <c r="L26" s="184">
        <v>185</v>
      </c>
      <c r="M26" s="158" t="s">
        <v>88</v>
      </c>
      <c r="N26" s="158">
        <v>0.2</v>
      </c>
      <c r="O26" s="273">
        <v>45</v>
      </c>
      <c r="P26" s="184">
        <v>946</v>
      </c>
      <c r="Q26" s="192">
        <v>121</v>
      </c>
      <c r="R26" s="48"/>
      <c r="AO26" s="49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</row>
    <row r="27" spans="1:52" ht="18" customHeight="1">
      <c r="A27" s="34">
        <f>MakeUp!A27</f>
        <v>41387</v>
      </c>
      <c r="B27" s="19">
        <v>7.98</v>
      </c>
      <c r="C27" s="162">
        <v>23</v>
      </c>
      <c r="D27" s="2">
        <v>0.2</v>
      </c>
      <c r="E27" s="79">
        <v>2690</v>
      </c>
      <c r="F27" s="79">
        <v>1883</v>
      </c>
      <c r="G27" s="32">
        <v>986</v>
      </c>
      <c r="H27" s="32">
        <v>574</v>
      </c>
      <c r="I27" s="32">
        <f t="shared" si="0"/>
        <v>412</v>
      </c>
      <c r="J27" s="32">
        <v>178</v>
      </c>
      <c r="K27" s="158">
        <v>7.1</v>
      </c>
      <c r="L27" s="184">
        <v>182</v>
      </c>
      <c r="M27" s="158" t="s">
        <v>88</v>
      </c>
      <c r="N27" s="158">
        <v>0.2</v>
      </c>
      <c r="O27" s="273">
        <v>42</v>
      </c>
      <c r="P27" s="184">
        <v>930</v>
      </c>
      <c r="Q27" s="192">
        <v>118</v>
      </c>
      <c r="R27" s="48"/>
      <c r="AO27" s="49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</row>
    <row r="28" spans="1:52" ht="18" customHeight="1">
      <c r="A28" s="34">
        <f>MakeUp!A28</f>
        <v>41388</v>
      </c>
      <c r="B28" s="19">
        <v>7.97</v>
      </c>
      <c r="C28" s="162">
        <v>19</v>
      </c>
      <c r="D28" s="2">
        <v>0.2</v>
      </c>
      <c r="E28" s="79">
        <v>2880</v>
      </c>
      <c r="F28" s="79">
        <v>1960</v>
      </c>
      <c r="G28" s="32">
        <v>1019</v>
      </c>
      <c r="H28" s="32">
        <v>624</v>
      </c>
      <c r="I28" s="32">
        <f t="shared" si="0"/>
        <v>395</v>
      </c>
      <c r="J28" s="32">
        <v>189</v>
      </c>
      <c r="K28" s="158">
        <v>7</v>
      </c>
      <c r="L28" s="184">
        <v>180</v>
      </c>
      <c r="M28" s="158" t="s">
        <v>88</v>
      </c>
      <c r="N28" s="158">
        <v>0.2</v>
      </c>
      <c r="O28" s="273">
        <v>35</v>
      </c>
      <c r="P28" s="184">
        <v>912</v>
      </c>
      <c r="Q28" s="192">
        <v>111</v>
      </c>
      <c r="R28" s="48"/>
      <c r="AO28" s="49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</row>
    <row r="29" spans="1:52" ht="18" customHeight="1">
      <c r="A29" s="34">
        <f>MakeUp!A29</f>
        <v>41389</v>
      </c>
      <c r="B29" s="19">
        <v>8.02</v>
      </c>
      <c r="C29" s="162">
        <v>18</v>
      </c>
      <c r="D29" s="2">
        <v>0.2</v>
      </c>
      <c r="E29" s="79">
        <v>2571</v>
      </c>
      <c r="F29" s="79">
        <v>1800</v>
      </c>
      <c r="G29" s="32">
        <v>953</v>
      </c>
      <c r="H29" s="32">
        <v>562</v>
      </c>
      <c r="I29" s="32">
        <f t="shared" si="0"/>
        <v>391</v>
      </c>
      <c r="J29" s="32">
        <v>164</v>
      </c>
      <c r="K29" s="158">
        <v>7</v>
      </c>
      <c r="L29" s="184">
        <v>185</v>
      </c>
      <c r="M29" s="158" t="s">
        <v>88</v>
      </c>
      <c r="N29" s="158">
        <v>0.2</v>
      </c>
      <c r="O29" s="273">
        <v>30</v>
      </c>
      <c r="P29" s="184">
        <v>898</v>
      </c>
      <c r="Q29" s="192">
        <v>102</v>
      </c>
      <c r="R29" s="48"/>
      <c r="AO29" s="49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</row>
    <row r="30" spans="1:52" ht="18" customHeight="1">
      <c r="A30" s="34">
        <f>MakeUp!A30</f>
        <v>41390</v>
      </c>
      <c r="B30" s="19">
        <v>7.98</v>
      </c>
      <c r="C30" s="162">
        <v>35</v>
      </c>
      <c r="D30" s="2">
        <v>0.2</v>
      </c>
      <c r="E30" s="79">
        <v>2592</v>
      </c>
      <c r="F30" s="79">
        <v>1815</v>
      </c>
      <c r="G30" s="32">
        <v>1019</v>
      </c>
      <c r="H30" s="32">
        <v>603</v>
      </c>
      <c r="I30" s="32">
        <f t="shared" si="0"/>
        <v>416</v>
      </c>
      <c r="J30" s="32">
        <v>174</v>
      </c>
      <c r="K30" s="158">
        <v>7</v>
      </c>
      <c r="L30" s="184">
        <v>170</v>
      </c>
      <c r="M30" s="158" t="s">
        <v>88</v>
      </c>
      <c r="N30" s="158">
        <v>0.2</v>
      </c>
      <c r="O30" s="273">
        <v>62</v>
      </c>
      <c r="P30" s="184">
        <v>915</v>
      </c>
      <c r="Q30" s="192">
        <v>108</v>
      </c>
      <c r="R30" s="48"/>
      <c r="AO30" s="49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</row>
    <row r="31" spans="1:52" ht="18" customHeight="1">
      <c r="A31" s="34">
        <f>MakeUp!A31</f>
        <v>41391</v>
      </c>
      <c r="B31" s="19">
        <v>7.89</v>
      </c>
      <c r="C31" s="162">
        <v>30</v>
      </c>
      <c r="D31" s="2">
        <v>0.2</v>
      </c>
      <c r="E31" s="79">
        <v>2595</v>
      </c>
      <c r="F31" s="79">
        <v>1816</v>
      </c>
      <c r="G31" s="32">
        <v>1027</v>
      </c>
      <c r="H31" s="32">
        <v>611</v>
      </c>
      <c r="I31" s="32">
        <f t="shared" si="0"/>
        <v>416</v>
      </c>
      <c r="J31" s="32">
        <v>178</v>
      </c>
      <c r="K31" s="158">
        <v>7.1</v>
      </c>
      <c r="L31" s="184">
        <v>165</v>
      </c>
      <c r="M31" s="158" t="s">
        <v>88</v>
      </c>
      <c r="N31" s="158">
        <v>0.2</v>
      </c>
      <c r="O31" s="273">
        <v>60</v>
      </c>
      <c r="P31" s="184">
        <v>930</v>
      </c>
      <c r="Q31" s="192">
        <v>110</v>
      </c>
      <c r="R31" s="48"/>
      <c r="AO31" s="49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</row>
    <row r="32" spans="1:52" ht="18" customHeight="1">
      <c r="A32" s="34">
        <f>MakeUp!A32</f>
        <v>41392</v>
      </c>
      <c r="B32" s="19">
        <v>7.9</v>
      </c>
      <c r="C32" s="162">
        <v>32</v>
      </c>
      <c r="D32" s="2">
        <v>0.2</v>
      </c>
      <c r="E32" s="79">
        <v>2600</v>
      </c>
      <c r="F32" s="79">
        <v>1818</v>
      </c>
      <c r="G32" s="32">
        <v>1028</v>
      </c>
      <c r="H32" s="32">
        <v>613</v>
      </c>
      <c r="I32" s="32">
        <f t="shared" si="0"/>
        <v>415</v>
      </c>
      <c r="J32" s="32">
        <v>176</v>
      </c>
      <c r="K32" s="158">
        <v>7.3</v>
      </c>
      <c r="L32" s="184">
        <v>160</v>
      </c>
      <c r="M32" s="158" t="s">
        <v>88</v>
      </c>
      <c r="N32" s="158">
        <v>0.2</v>
      </c>
      <c r="O32" s="273">
        <v>62</v>
      </c>
      <c r="P32" s="184">
        <v>935</v>
      </c>
      <c r="Q32" s="192">
        <v>115</v>
      </c>
      <c r="R32" s="48"/>
      <c r="AO32" s="49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</row>
    <row r="33" spans="1:52" ht="18" customHeight="1">
      <c r="A33" s="34">
        <f>MakeUp!A33</f>
        <v>41393</v>
      </c>
      <c r="B33" s="19">
        <v>7.98</v>
      </c>
      <c r="C33" s="162">
        <v>31</v>
      </c>
      <c r="D33" s="2">
        <v>0.2</v>
      </c>
      <c r="E33" s="79">
        <v>2685</v>
      </c>
      <c r="F33" s="79">
        <v>1880</v>
      </c>
      <c r="G33" s="32">
        <v>1040</v>
      </c>
      <c r="H33" s="32">
        <v>624</v>
      </c>
      <c r="I33" s="32">
        <f t="shared" si="0"/>
        <v>416</v>
      </c>
      <c r="J33" s="32">
        <v>178</v>
      </c>
      <c r="K33" s="158">
        <v>7.1</v>
      </c>
      <c r="L33" s="184">
        <v>170</v>
      </c>
      <c r="M33" s="158" t="s">
        <v>88</v>
      </c>
      <c r="N33" s="158">
        <v>0.2</v>
      </c>
      <c r="O33" s="273">
        <v>63</v>
      </c>
      <c r="P33" s="184">
        <v>943</v>
      </c>
      <c r="Q33" s="192">
        <v>120</v>
      </c>
      <c r="R33" s="48"/>
      <c r="AO33" s="49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</row>
    <row r="34" spans="1:52" ht="18" customHeight="1">
      <c r="A34" s="34">
        <f>MakeUp!A34</f>
        <v>41394</v>
      </c>
      <c r="B34" s="19">
        <v>7.98</v>
      </c>
      <c r="C34" s="162">
        <v>24</v>
      </c>
      <c r="D34" s="2">
        <v>0.2</v>
      </c>
      <c r="E34" s="79">
        <v>2427</v>
      </c>
      <c r="F34" s="79">
        <v>1699</v>
      </c>
      <c r="G34" s="32">
        <v>899</v>
      </c>
      <c r="H34" s="32">
        <v>556</v>
      </c>
      <c r="I34" s="32">
        <f t="shared" ref="I34:I35" si="1">G34-H34</f>
        <v>343</v>
      </c>
      <c r="J34" s="32">
        <v>153</v>
      </c>
      <c r="K34" s="158">
        <v>7.2</v>
      </c>
      <c r="L34" s="184">
        <v>170</v>
      </c>
      <c r="M34" s="158" t="s">
        <v>88</v>
      </c>
      <c r="N34" s="158">
        <v>0.2</v>
      </c>
      <c r="O34" s="273">
        <v>44</v>
      </c>
      <c r="P34" s="184">
        <v>918</v>
      </c>
      <c r="Q34" s="192">
        <v>110</v>
      </c>
      <c r="R34" s="48"/>
      <c r="AO34" s="49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</row>
    <row r="35" spans="1:52" ht="18" customHeight="1" thickBot="1">
      <c r="A35" s="34"/>
      <c r="B35" s="19"/>
      <c r="C35" s="162"/>
      <c r="D35" s="2"/>
      <c r="E35" s="79"/>
      <c r="F35" s="79"/>
      <c r="G35" s="32"/>
      <c r="H35" s="32"/>
      <c r="I35" s="32"/>
      <c r="J35" s="32"/>
      <c r="K35" s="158"/>
      <c r="L35" s="184"/>
      <c r="M35" s="158"/>
      <c r="N35" s="158"/>
      <c r="O35" s="158"/>
      <c r="P35" s="184"/>
      <c r="Q35" s="192"/>
      <c r="R35" s="48"/>
      <c r="AO35" s="49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</row>
    <row r="36" spans="1:52" ht="22.5" customHeight="1">
      <c r="A36" s="38" t="str">
        <f>MakeUp!A36</f>
        <v>MIN.</v>
      </c>
      <c r="B36" s="18">
        <f t="shared" ref="B36:K36" si="2">MIN(B5:B35)</f>
        <v>7.59</v>
      </c>
      <c r="C36" s="1">
        <f t="shared" si="2"/>
        <v>18</v>
      </c>
      <c r="D36" s="1">
        <f t="shared" si="2"/>
        <v>0.1</v>
      </c>
      <c r="E36" s="13">
        <f t="shared" si="2"/>
        <v>1740</v>
      </c>
      <c r="F36" s="13">
        <f t="shared" si="2"/>
        <v>1218</v>
      </c>
      <c r="G36" s="13">
        <f t="shared" si="2"/>
        <v>672</v>
      </c>
      <c r="H36" s="13">
        <f t="shared" si="2"/>
        <v>401</v>
      </c>
      <c r="I36" s="13">
        <f t="shared" si="2"/>
        <v>224</v>
      </c>
      <c r="J36" s="13">
        <f t="shared" si="2"/>
        <v>103</v>
      </c>
      <c r="K36" s="1">
        <f t="shared" si="2"/>
        <v>5.7</v>
      </c>
      <c r="L36" s="13">
        <f t="shared" ref="L36:P36" si="3">MIN(L5:L35)</f>
        <v>120</v>
      </c>
      <c r="M36" s="1">
        <f t="shared" si="3"/>
        <v>0</v>
      </c>
      <c r="N36" s="1">
        <f t="shared" si="3"/>
        <v>0.2</v>
      </c>
      <c r="O36" s="1">
        <f t="shared" si="3"/>
        <v>30</v>
      </c>
      <c r="P36" s="13">
        <f t="shared" si="3"/>
        <v>893</v>
      </c>
      <c r="Q36" s="189">
        <f>MIN(Q5:Q35)</f>
        <v>91</v>
      </c>
      <c r="R36" s="10"/>
      <c r="AO36" s="27"/>
    </row>
    <row r="37" spans="1:52" ht="22.5" customHeight="1">
      <c r="A37" s="34" t="str">
        <f>MakeUp!A37</f>
        <v>MAX.</v>
      </c>
      <c r="B37" s="19">
        <f t="shared" ref="B37:K37" si="4">MAX(B5:B35)</f>
        <v>8.1199999999999992</v>
      </c>
      <c r="C37" s="2">
        <f t="shared" si="4"/>
        <v>121</v>
      </c>
      <c r="D37" s="2">
        <f t="shared" si="4"/>
        <v>0.2</v>
      </c>
      <c r="E37" s="20">
        <f t="shared" si="4"/>
        <v>2880</v>
      </c>
      <c r="F37" s="20">
        <f t="shared" si="4"/>
        <v>1995</v>
      </c>
      <c r="G37" s="20">
        <f t="shared" si="4"/>
        <v>1102</v>
      </c>
      <c r="H37" s="20">
        <f t="shared" si="4"/>
        <v>694</v>
      </c>
      <c r="I37" s="20">
        <f t="shared" si="4"/>
        <v>458</v>
      </c>
      <c r="J37" s="20">
        <f t="shared" si="4"/>
        <v>196</v>
      </c>
      <c r="K37" s="2">
        <f t="shared" si="4"/>
        <v>8</v>
      </c>
      <c r="L37" s="20">
        <f t="shared" ref="L37:O37" si="5">MAX(L5:L35)</f>
        <v>185</v>
      </c>
      <c r="M37" s="2">
        <f t="shared" si="5"/>
        <v>0</v>
      </c>
      <c r="N37" s="2">
        <f t="shared" si="5"/>
        <v>0.3</v>
      </c>
      <c r="O37" s="2">
        <f t="shared" si="5"/>
        <v>240</v>
      </c>
      <c r="P37" s="20">
        <f t="shared" ref="P37" si="6">MAX(P5:P35)</f>
        <v>984</v>
      </c>
      <c r="Q37" s="190">
        <f>MAX(Q5:Q35)</f>
        <v>121</v>
      </c>
      <c r="R37" s="10"/>
      <c r="AO37" s="27"/>
    </row>
    <row r="38" spans="1:52" ht="22.5" customHeight="1" thickBot="1">
      <c r="A38" s="69" t="str">
        <f>MakeUp!A38</f>
        <v>AVG.</v>
      </c>
      <c r="B38" s="66">
        <f t="shared" ref="B38:K38" si="7">AVERAGE(B5:B35)</f>
        <v>7.9390000000000009</v>
      </c>
      <c r="C38" s="3">
        <f t="shared" si="7"/>
        <v>45.833333333333336</v>
      </c>
      <c r="D38" s="3">
        <f t="shared" si="7"/>
        <v>0.19666666666666677</v>
      </c>
      <c r="E38" s="15">
        <f t="shared" si="7"/>
        <v>2251.8000000000002</v>
      </c>
      <c r="F38" s="15">
        <f t="shared" si="7"/>
        <v>1560.4</v>
      </c>
      <c r="G38" s="15">
        <f t="shared" si="7"/>
        <v>904.43333333333328</v>
      </c>
      <c r="H38" s="15">
        <f t="shared" si="7"/>
        <v>538.83333333333337</v>
      </c>
      <c r="I38" s="15">
        <f t="shared" si="7"/>
        <v>365.6</v>
      </c>
      <c r="J38" s="15">
        <f t="shared" si="7"/>
        <v>152.03333333333333</v>
      </c>
      <c r="K38" s="3">
        <f t="shared" si="7"/>
        <v>6.9399999999999986</v>
      </c>
      <c r="L38" s="15">
        <f t="shared" ref="L38:O38" si="8">AVERAGE(L5:L35)</f>
        <v>166.73333333333332</v>
      </c>
      <c r="M38" s="3" t="e">
        <f t="shared" si="8"/>
        <v>#DIV/0!</v>
      </c>
      <c r="N38" s="3">
        <f t="shared" si="8"/>
        <v>0.20666666666666672</v>
      </c>
      <c r="O38" s="3">
        <f t="shared" si="8"/>
        <v>89.4</v>
      </c>
      <c r="P38" s="15">
        <f t="shared" ref="P38" si="9">AVERAGE(P5:P35)</f>
        <v>932.8</v>
      </c>
      <c r="Q38" s="17">
        <f>AVERAGE(Q5:Q35)</f>
        <v>109.03333333333333</v>
      </c>
      <c r="R38" s="10"/>
      <c r="AO38" s="27"/>
    </row>
    <row r="39" spans="1:52" ht="32.25" customHeight="1">
      <c r="A39" s="50" t="s">
        <v>21</v>
      </c>
      <c r="B39" s="72">
        <f>COUNTIF(B5:B35,"&lt;7.5")</f>
        <v>0</v>
      </c>
      <c r="C39" s="73" t="s">
        <v>12</v>
      </c>
      <c r="D39" s="68">
        <f>COUNTIF(D5:D35,"&lt;0.2")</f>
        <v>1</v>
      </c>
      <c r="E39" s="73" t="s">
        <v>12</v>
      </c>
      <c r="F39" s="73" t="s">
        <v>12</v>
      </c>
      <c r="G39" s="73" t="s">
        <v>12</v>
      </c>
      <c r="H39" s="73" t="s">
        <v>12</v>
      </c>
      <c r="I39" s="73" t="s">
        <v>12</v>
      </c>
      <c r="J39" s="73" t="s">
        <v>12</v>
      </c>
      <c r="K39" s="68">
        <f>COUNTIF(K5:K35,"&lt;4")</f>
        <v>0</v>
      </c>
      <c r="L39" s="73" t="s">
        <v>12</v>
      </c>
      <c r="M39" s="73" t="s">
        <v>12</v>
      </c>
      <c r="N39" s="73" t="s">
        <v>12</v>
      </c>
      <c r="O39" s="73" t="s">
        <v>12</v>
      </c>
      <c r="P39" s="73" t="s">
        <v>12</v>
      </c>
      <c r="Q39" s="74" t="s">
        <v>12</v>
      </c>
      <c r="R39" s="9"/>
    </row>
    <row r="40" spans="1:52" ht="33.75" customHeight="1" thickBot="1">
      <c r="A40" s="51" t="s">
        <v>22</v>
      </c>
      <c r="B40" s="37">
        <f>COUNTIF(B5:B35,"&gt;8.0")</f>
        <v>6</v>
      </c>
      <c r="C40" s="15">
        <f>COUNTIF(C5:C35,"&gt;20")</f>
        <v>28</v>
      </c>
      <c r="D40" s="15">
        <f>COUNTIF(D5:D35,"&gt;0.5")</f>
        <v>0</v>
      </c>
      <c r="E40" s="16" t="s">
        <v>12</v>
      </c>
      <c r="F40" s="15">
        <f>COUNTIF(F5:F35,"&gt;2100")</f>
        <v>0</v>
      </c>
      <c r="G40" s="15">
        <f>COUNTIF(G5:G35,"&gt;1200")</f>
        <v>0</v>
      </c>
      <c r="H40" s="16" t="s">
        <v>12</v>
      </c>
      <c r="I40" s="16" t="s">
        <v>12</v>
      </c>
      <c r="J40" s="15">
        <f>COUNTIF(J5:J35,"&gt;500")</f>
        <v>0</v>
      </c>
      <c r="K40" s="15">
        <f>COUNTIF(K5:K35,"&gt;6.0")</f>
        <v>27</v>
      </c>
      <c r="L40" s="15">
        <f>COUNTIF(L5:L35,"&gt;200")</f>
        <v>0</v>
      </c>
      <c r="M40" s="16" t="s">
        <v>12</v>
      </c>
      <c r="N40" s="15">
        <f>COUNTIF(N5:N35,"&gt;2.0")</f>
        <v>0</v>
      </c>
      <c r="O40" s="16" t="s">
        <v>12</v>
      </c>
      <c r="P40" s="15">
        <f>COUNTIF(P5:P35,"&gt;1000")</f>
        <v>0</v>
      </c>
      <c r="Q40" s="17">
        <f>COUNTIF(Q5:Q35,"&gt;180")</f>
        <v>0</v>
      </c>
      <c r="R40" s="9"/>
    </row>
    <row r="41" spans="1:52" ht="36" customHeight="1">
      <c r="A41" s="50" t="s">
        <v>23</v>
      </c>
      <c r="B41" s="36">
        <f>(100/(COUNT(B5:B35)))*B39</f>
        <v>0</v>
      </c>
      <c r="C41" s="14" t="s">
        <v>12</v>
      </c>
      <c r="D41" s="13">
        <f>(100/(COUNT(D5:D35)))*D39</f>
        <v>3.3333333333333335</v>
      </c>
      <c r="E41" s="14" t="s">
        <v>12</v>
      </c>
      <c r="F41" s="14" t="s">
        <v>12</v>
      </c>
      <c r="G41" s="14" t="s">
        <v>12</v>
      </c>
      <c r="H41" s="14" t="s">
        <v>12</v>
      </c>
      <c r="I41" s="14" t="s">
        <v>12</v>
      </c>
      <c r="J41" s="14" t="s">
        <v>12</v>
      </c>
      <c r="K41" s="13">
        <f>(100/(COUNT(K5:K35)))*K39</f>
        <v>0</v>
      </c>
      <c r="L41" s="13" t="e">
        <f t="shared" ref="L41:O41" si="10">(100/(COUNT(L5:L35)))*L39</f>
        <v>#VALUE!</v>
      </c>
      <c r="M41" s="13" t="e">
        <f t="shared" si="10"/>
        <v>#DIV/0!</v>
      </c>
      <c r="N41" s="13" t="e">
        <f t="shared" si="10"/>
        <v>#VALUE!</v>
      </c>
      <c r="O41" s="13" t="e">
        <f t="shared" si="10"/>
        <v>#VALUE!</v>
      </c>
      <c r="P41" s="13" t="e">
        <f t="shared" ref="P41" si="11">(100/(COUNT(P5:P35)))*P39</f>
        <v>#VALUE!</v>
      </c>
      <c r="Q41" s="40" t="s">
        <v>12</v>
      </c>
      <c r="R41" s="9"/>
    </row>
    <row r="42" spans="1:52" ht="31.5" customHeight="1" thickBot="1">
      <c r="A42" s="51" t="s">
        <v>24</v>
      </c>
      <c r="B42" s="37">
        <f t="shared" ref="B42:H42" si="12">(100/(COUNT(B5:B35)))*B40</f>
        <v>20</v>
      </c>
      <c r="C42" s="15">
        <f t="shared" si="12"/>
        <v>93.333333333333343</v>
      </c>
      <c r="D42" s="15">
        <f t="shared" si="12"/>
        <v>0</v>
      </c>
      <c r="E42" s="15" t="e">
        <f t="shared" si="12"/>
        <v>#VALUE!</v>
      </c>
      <c r="F42" s="15">
        <f t="shared" si="12"/>
        <v>0</v>
      </c>
      <c r="G42" s="15">
        <f t="shared" si="12"/>
        <v>0</v>
      </c>
      <c r="H42" s="15" t="e">
        <f t="shared" si="12"/>
        <v>#VALUE!</v>
      </c>
      <c r="I42" s="16" t="s">
        <v>12</v>
      </c>
      <c r="J42" s="15">
        <f>(100/(COUNT(J5:J35)))*J40</f>
        <v>0</v>
      </c>
      <c r="K42" s="15">
        <f>(100/(COUNT(K5:K35)))*K40</f>
        <v>90</v>
      </c>
      <c r="L42" s="15">
        <f t="shared" ref="L42:O42" si="13">(100/(COUNT(L5:L35)))*L40</f>
        <v>0</v>
      </c>
      <c r="M42" s="15" t="e">
        <f t="shared" si="13"/>
        <v>#DIV/0!</v>
      </c>
      <c r="N42" s="15">
        <f t="shared" si="13"/>
        <v>0</v>
      </c>
      <c r="O42" s="15" t="e">
        <f t="shared" si="13"/>
        <v>#VALUE!</v>
      </c>
      <c r="P42" s="15">
        <f t="shared" ref="P42" si="14">(100/(COUNT(P5:P35)))*P40</f>
        <v>0</v>
      </c>
      <c r="Q42" s="17">
        <f>(100/(COUNT(Q5:Q35)))*Q40</f>
        <v>0</v>
      </c>
      <c r="R42" s="9"/>
    </row>
    <row r="48" spans="1:52">
      <c r="B48" s="27"/>
      <c r="C48" s="27"/>
      <c r="D48" s="27"/>
      <c r="E48" s="27"/>
      <c r="F48" s="27"/>
      <c r="G48" s="27"/>
    </row>
    <row r="49" spans="2:40">
      <c r="B49" s="27"/>
      <c r="C49" s="27"/>
      <c r="D49" s="28"/>
      <c r="E49" s="27"/>
      <c r="F49" s="27"/>
      <c r="G49" s="27"/>
    </row>
    <row r="50" spans="2:40">
      <c r="B50" s="27"/>
      <c r="C50" s="27"/>
      <c r="D50" s="28"/>
      <c r="E50" s="27"/>
      <c r="F50" s="27"/>
      <c r="G50" s="27"/>
    </row>
    <row r="51" spans="2:40">
      <c r="B51" s="27"/>
      <c r="C51" s="27"/>
      <c r="D51" s="28"/>
      <c r="E51" s="27"/>
      <c r="F51" s="27"/>
      <c r="G51" s="27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2:40">
      <c r="B52" s="27"/>
      <c r="C52" s="27"/>
      <c r="D52" s="28"/>
      <c r="E52" s="27"/>
      <c r="F52" s="27"/>
      <c r="G52" s="27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2:40">
      <c r="B53" s="27"/>
      <c r="C53" s="27"/>
      <c r="D53" s="28"/>
      <c r="E53" s="27"/>
      <c r="F53" s="27"/>
      <c r="G53" s="27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2:40">
      <c r="B54" s="27"/>
      <c r="C54" s="27"/>
      <c r="D54" s="28"/>
      <c r="E54" s="27"/>
      <c r="F54" s="27"/>
      <c r="G54" s="27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</row>
    <row r="55" spans="2:40">
      <c r="B55" s="27"/>
      <c r="C55" s="27"/>
      <c r="D55" s="28"/>
      <c r="E55" s="27"/>
      <c r="F55" s="27"/>
      <c r="G55" s="27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</row>
    <row r="56" spans="2:40">
      <c r="B56" s="27"/>
      <c r="C56" s="27"/>
      <c r="D56" s="27"/>
      <c r="E56" s="27"/>
      <c r="F56" s="27"/>
      <c r="G56" s="27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</row>
    <row r="57" spans="2:40">
      <c r="B57" s="27"/>
      <c r="C57" s="27"/>
      <c r="D57" s="27"/>
      <c r="E57" s="27"/>
      <c r="F57" s="27"/>
      <c r="G57" s="27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</row>
    <row r="58" spans="2:40">
      <c r="B58" s="27"/>
      <c r="C58" s="27"/>
      <c r="D58" s="27"/>
      <c r="E58" s="27"/>
      <c r="F58" s="27"/>
      <c r="G58" s="27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</row>
    <row r="59" spans="2:40">
      <c r="B59" s="27"/>
      <c r="C59" s="27"/>
      <c r="D59" s="27"/>
      <c r="E59" s="27"/>
      <c r="F59" s="27"/>
      <c r="G59" s="27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</row>
    <row r="60" spans="2:40">
      <c r="B60" s="27"/>
      <c r="C60" s="27"/>
      <c r="D60" s="27"/>
      <c r="E60" s="27"/>
      <c r="F60" s="27"/>
      <c r="G60" s="27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</row>
    <row r="61" spans="2:40">
      <c r="B61" s="27"/>
      <c r="C61" s="27"/>
      <c r="D61" s="27"/>
      <c r="E61" s="27"/>
      <c r="F61" s="27"/>
      <c r="G61" s="27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2:40">
      <c r="B62" s="27"/>
      <c r="C62" s="27"/>
      <c r="D62" s="27"/>
      <c r="E62" s="27"/>
      <c r="F62" s="27"/>
      <c r="G62" s="27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</sheetData>
  <mergeCells count="2">
    <mergeCell ref="A1:Q1"/>
    <mergeCell ref="A3:A4"/>
  </mergeCells>
  <phoneticPr fontId="0" type="noConversion"/>
  <conditionalFormatting sqref="D49:D55">
    <cfRule type="cellIs" dxfId="9" priority="5" stopIfTrue="1" operator="notBetween">
      <formula>0.2</formula>
      <formula>0.5</formula>
    </cfRule>
  </conditionalFormatting>
  <conditionalFormatting sqref="R39:R42 Q40 Q42 J40 J42 D39:D42 B39:B42 C40 C42 E40:H40 E42:H42 K39:P42">
    <cfRule type="cellIs" dxfId="8" priority="6" stopIfTrue="1" operator="greaterThan">
      <formula>0</formula>
    </cfRule>
  </conditionalFormatting>
  <conditionalFormatting sqref="R5:R35">
    <cfRule type="cellIs" dxfId="7" priority="7" stopIfTrue="1" operator="lessThan">
      <formula>0.5</formula>
    </cfRule>
    <cfRule type="cellIs" dxfId="6" priority="8" stopIfTrue="1" operator="greaterThan">
      <formula>2</formula>
    </cfRule>
  </conditionalFormatting>
  <conditionalFormatting sqref="B5:B35">
    <cfRule type="cellIs" dxfId="5" priority="10" stopIfTrue="1" operator="notBetween">
      <formula>7.5</formula>
      <formula>8</formula>
    </cfRule>
  </conditionalFormatting>
  <conditionalFormatting sqref="C5:C35">
    <cfRule type="cellIs" dxfId="4" priority="11" stopIfTrue="1" operator="greaterThan">
      <formula>20</formula>
    </cfRule>
  </conditionalFormatting>
  <conditionalFormatting sqref="D5:D35">
    <cfRule type="cellIs" dxfId="3" priority="12" stopIfTrue="1" operator="notBetween">
      <formula>0.2</formula>
      <formula>0.5</formula>
    </cfRule>
  </conditionalFormatting>
  <conditionalFormatting sqref="G5:G35">
    <cfRule type="cellIs" dxfId="2" priority="15" stopIfTrue="1" operator="greaterThan">
      <formula>1200</formula>
    </cfRule>
  </conditionalFormatting>
  <conditionalFormatting sqref="J5:J35">
    <cfRule type="cellIs" dxfId="1" priority="2" operator="greaterThan">
      <formula>500</formula>
    </cfRule>
  </conditionalFormatting>
  <conditionalFormatting sqref="F5:F35">
    <cfRule type="cellIs" dxfId="0" priority="1" operator="greaterThan">
      <formula>2100</formula>
    </cfRule>
  </conditionalFormatting>
  <printOptions horizontalCentered="1" verticalCentered="1"/>
  <pageMargins left="0.23622047244094491" right="0.23622047244094491" top="0" bottom="0" header="0.35433070866141736" footer="0.51181102362204722"/>
  <pageSetup scale="70" orientation="landscape" horizontalDpi="300" verticalDpi="300" r:id="rId1"/>
  <headerFooter alignWithMargins="0">
    <oddHeader>&amp;R&amp;G</oddHeader>
    <oddFooter>&amp;R&amp;"Verdana,Italic"&amp;K0033CCCWT Monthly Report - October-2012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1"/>
  <sheetViews>
    <sheetView zoomScale="75" zoomScaleNormal="75" workbookViewId="0">
      <selection activeCell="I12" sqref="I12"/>
    </sheetView>
  </sheetViews>
  <sheetFormatPr defaultRowHeight="14.25"/>
  <cols>
    <col min="1" max="1" width="13.7109375" style="39" customWidth="1"/>
    <col min="2" max="2" width="12.85546875" style="27" customWidth="1"/>
    <col min="3" max="3" width="13.7109375" style="25" customWidth="1"/>
    <col min="4" max="4" width="14.5703125" style="25" customWidth="1"/>
    <col min="5" max="5" width="14.140625" style="25" customWidth="1"/>
    <col min="6" max="6" width="14.5703125" style="25" customWidth="1"/>
  </cols>
  <sheetData>
    <row r="1" spans="1:6" ht="39.6" customHeight="1" thickBot="1">
      <c r="A1" s="256" t="s">
        <v>106</v>
      </c>
      <c r="B1" s="256"/>
      <c r="C1" s="256"/>
      <c r="D1" s="256"/>
      <c r="E1" s="256"/>
      <c r="F1" s="256"/>
    </row>
    <row r="2" spans="1:6" s="104" customFormat="1" ht="38.1" customHeight="1">
      <c r="A2" s="254" t="s">
        <v>14</v>
      </c>
      <c r="B2" s="101" t="s">
        <v>29</v>
      </c>
      <c r="C2" s="102" t="s">
        <v>31</v>
      </c>
      <c r="D2" s="257" t="s">
        <v>73</v>
      </c>
      <c r="E2" s="257" t="s">
        <v>103</v>
      </c>
      <c r="F2" s="103" t="s">
        <v>104</v>
      </c>
    </row>
    <row r="3" spans="1:6" s="104" customFormat="1" ht="18.600000000000001" customHeight="1" thickBot="1">
      <c r="A3" s="255"/>
      <c r="B3" s="105" t="s">
        <v>30</v>
      </c>
      <c r="C3" s="106" t="s">
        <v>58</v>
      </c>
      <c r="D3" s="258"/>
      <c r="E3" s="258"/>
      <c r="F3" s="107" t="s">
        <v>105</v>
      </c>
    </row>
    <row r="4" spans="1:6" s="104" customFormat="1" ht="18.600000000000001" customHeight="1">
      <c r="A4" s="34">
        <f>MakeUp!A5</f>
        <v>41365</v>
      </c>
      <c r="B4" s="62"/>
      <c r="C4" s="185"/>
      <c r="D4" s="61">
        <f>'Cooling Tower'!G5/MakeUp!F5</f>
        <v>8.609375</v>
      </c>
      <c r="E4" s="61">
        <f>'Cooling Tower'!Q5/MakeUp!I5</f>
        <v>4.75</v>
      </c>
      <c r="F4" s="197"/>
    </row>
    <row r="5" spans="1:6" s="104" customFormat="1" ht="18.600000000000001" customHeight="1">
      <c r="A5" s="34">
        <f>MakeUp!A6</f>
        <v>41366</v>
      </c>
      <c r="B5" s="62"/>
      <c r="C5" s="185"/>
      <c r="D5" s="61">
        <f>'Cooling Tower'!G6/MakeUp!F6</f>
        <v>7.5245901639344259</v>
      </c>
      <c r="E5" s="61">
        <f>'Cooling Tower'!Q6/MakeUp!I6</f>
        <v>4.55</v>
      </c>
      <c r="F5" s="197"/>
    </row>
    <row r="6" spans="1:6" s="104" customFormat="1" ht="18.600000000000001" customHeight="1">
      <c r="A6" s="34">
        <f>MakeUp!A7</f>
        <v>41367</v>
      </c>
      <c r="B6" s="62"/>
      <c r="C6" s="185"/>
      <c r="D6" s="61">
        <f>'Cooling Tower'!G7/MakeUp!F7</f>
        <v>7.4833333333333334</v>
      </c>
      <c r="E6" s="61">
        <f>'Cooling Tower'!Q7/MakeUp!I7</f>
        <v>5.4444444444444446</v>
      </c>
      <c r="F6" s="197"/>
    </row>
    <row r="7" spans="1:6" s="104" customFormat="1" ht="18.600000000000001" customHeight="1">
      <c r="A7" s="34">
        <f>MakeUp!A8</f>
        <v>41368</v>
      </c>
      <c r="B7" s="62"/>
      <c r="C7" s="185"/>
      <c r="D7" s="61">
        <f>'Cooling Tower'!G8/MakeUp!F8</f>
        <v>7.016</v>
      </c>
      <c r="E7" s="61">
        <f>'Cooling Tower'!Q8/MakeUp!I8</f>
        <v>6.1111111111111107</v>
      </c>
      <c r="F7" s="197"/>
    </row>
    <row r="8" spans="1:6" s="104" customFormat="1" ht="18.600000000000001" customHeight="1">
      <c r="A8" s="34">
        <f>MakeUp!A9</f>
        <v>41369</v>
      </c>
      <c r="B8" s="62"/>
      <c r="C8" s="185"/>
      <c r="D8" s="61">
        <f>'Cooling Tower'!G9/MakeUp!F9</f>
        <v>6.6885245901639347</v>
      </c>
      <c r="E8" s="61">
        <f>'Cooling Tower'!Q9/MakeUp!I9</f>
        <v>5.9473684210526319</v>
      </c>
      <c r="F8" s="197"/>
    </row>
    <row r="9" spans="1:6" s="104" customFormat="1" ht="18.600000000000001" customHeight="1">
      <c r="A9" s="34">
        <f>MakeUp!A10</f>
        <v>41370</v>
      </c>
      <c r="B9" s="62"/>
      <c r="C9" s="185"/>
      <c r="D9" s="61">
        <f>'Cooling Tower'!G10/MakeUp!F10</f>
        <v>6.3008130081300813</v>
      </c>
      <c r="E9" s="61">
        <f>'Cooling Tower'!Q10/MakeUp!I10</f>
        <v>5.6842105263157894</v>
      </c>
      <c r="F9" s="197"/>
    </row>
    <row r="10" spans="1:6" s="104" customFormat="1" ht="18.600000000000001" customHeight="1">
      <c r="A10" s="34">
        <f>MakeUp!A11</f>
        <v>41371</v>
      </c>
      <c r="B10" s="62"/>
      <c r="C10" s="185"/>
      <c r="D10" s="61">
        <f>'Cooling Tower'!G11/MakeUp!F11</f>
        <v>5.3760000000000003</v>
      </c>
      <c r="E10" s="61">
        <f>'Cooling Tower'!Q11/MakeUp!I11</f>
        <v>5.7894736842105265</v>
      </c>
      <c r="F10" s="197"/>
    </row>
    <row r="11" spans="1:6" s="104" customFormat="1" ht="18.600000000000001" customHeight="1">
      <c r="A11" s="34">
        <f>MakeUp!A12</f>
        <v>41372</v>
      </c>
      <c r="B11" s="62"/>
      <c r="C11" s="185"/>
      <c r="D11" s="61">
        <f>'Cooling Tower'!G12/MakeUp!F12</f>
        <v>5.7165354330708658</v>
      </c>
      <c r="E11" s="61">
        <f>'Cooling Tower'!Q12/MakeUp!I12</f>
        <v>5.6</v>
      </c>
      <c r="F11" s="197"/>
    </row>
    <row r="12" spans="1:6" s="104" customFormat="1" ht="18.600000000000001" customHeight="1">
      <c r="A12" s="34">
        <f>MakeUp!A13</f>
        <v>41373</v>
      </c>
      <c r="B12" s="62"/>
      <c r="C12" s="185"/>
      <c r="D12" s="61">
        <f>'Cooling Tower'!G13/MakeUp!F13</f>
        <v>5.976</v>
      </c>
      <c r="E12" s="61">
        <f>'Cooling Tower'!Q13/MakeUp!I13</f>
        <v>5.5</v>
      </c>
      <c r="F12" s="197"/>
    </row>
    <row r="13" spans="1:6" s="104" customFormat="1" ht="18.600000000000001" customHeight="1">
      <c r="A13" s="34">
        <f>MakeUp!A14</f>
        <v>41374</v>
      </c>
      <c r="B13" s="62"/>
      <c r="C13" s="185"/>
      <c r="D13" s="61">
        <f>'Cooling Tower'!G14/MakeUp!F14</f>
        <v>5.9508196721311473</v>
      </c>
      <c r="E13" s="61">
        <f>'Cooling Tower'!Q14/MakeUp!I14</f>
        <v>5.4</v>
      </c>
      <c r="F13" s="197"/>
    </row>
    <row r="14" spans="1:6" s="104" customFormat="1" ht="18.600000000000001" customHeight="1">
      <c r="A14" s="34">
        <f>MakeUp!A15</f>
        <v>41375</v>
      </c>
      <c r="B14" s="62"/>
      <c r="C14" s="185"/>
      <c r="D14" s="61">
        <f>'Cooling Tower'!G15/MakeUp!F15</f>
        <v>6.0661157024793386</v>
      </c>
      <c r="E14" s="61">
        <f>'Cooling Tower'!Q15/MakeUp!I15</f>
        <v>5.7894736842105265</v>
      </c>
      <c r="F14" s="197"/>
    </row>
    <row r="15" spans="1:6" s="104" customFormat="1" ht="18.600000000000001" customHeight="1">
      <c r="A15" s="34">
        <f>MakeUp!A16</f>
        <v>41376</v>
      </c>
      <c r="B15" s="62"/>
      <c r="C15" s="185"/>
      <c r="D15" s="61">
        <f>'Cooling Tower'!G16/MakeUp!F16</f>
        <v>6.1229508196721314</v>
      </c>
      <c r="E15" s="61">
        <f>'Cooling Tower'!Q16/MakeUp!I16</f>
        <v>5.6842105263157894</v>
      </c>
      <c r="F15" s="197"/>
    </row>
    <row r="16" spans="1:6" s="104" customFormat="1" ht="18.600000000000001" customHeight="1">
      <c r="A16" s="34">
        <f>MakeUp!A17</f>
        <v>41377</v>
      </c>
      <c r="B16" s="62"/>
      <c r="C16" s="185"/>
      <c r="D16" s="61">
        <f>'Cooling Tower'!G17/MakeUp!F17</f>
        <v>6.4320000000000004</v>
      </c>
      <c r="E16" s="61">
        <f>'Cooling Tower'!Q17/MakeUp!I17</f>
        <v>5.6</v>
      </c>
      <c r="F16" s="197"/>
    </row>
    <row r="17" spans="1:6" s="104" customFormat="1" ht="18.600000000000001" customHeight="1">
      <c r="A17" s="34">
        <f>MakeUp!A18</f>
        <v>41378</v>
      </c>
      <c r="B17" s="62"/>
      <c r="C17" s="185"/>
      <c r="D17" s="61">
        <f>'Cooling Tower'!G18/MakeUp!F18</f>
        <v>6.7919999999999998</v>
      </c>
      <c r="E17" s="61">
        <f>'Cooling Tower'!Q18/MakeUp!I18</f>
        <v>5.5</v>
      </c>
      <c r="F17" s="197"/>
    </row>
    <row r="18" spans="1:6" s="104" customFormat="1" ht="18.600000000000001" customHeight="1">
      <c r="A18" s="34">
        <f>MakeUp!A19</f>
        <v>41379</v>
      </c>
      <c r="B18" s="62"/>
      <c r="C18" s="185"/>
      <c r="D18" s="61">
        <f>'Cooling Tower'!G19/MakeUp!F19</f>
        <v>6.903225806451613</v>
      </c>
      <c r="E18" s="61">
        <f>'Cooling Tower'!Q19/MakeUp!I19</f>
        <v>5.3684210526315788</v>
      </c>
      <c r="F18" s="197"/>
    </row>
    <row r="19" spans="1:6" s="104" customFormat="1" ht="18.600000000000001" customHeight="1">
      <c r="A19" s="34">
        <f>MakeUp!A20</f>
        <v>41380</v>
      </c>
      <c r="B19" s="62"/>
      <c r="C19" s="185"/>
      <c r="D19" s="61">
        <f>'Cooling Tower'!G20/MakeUp!F20</f>
        <v>7.171875</v>
      </c>
      <c r="E19" s="61">
        <f>'Cooling Tower'!Q20/MakeUp!I20</f>
        <v>5.4</v>
      </c>
      <c r="F19" s="197"/>
    </row>
    <row r="20" spans="1:6" s="104" customFormat="1" ht="18.600000000000001" customHeight="1">
      <c r="A20" s="34">
        <f>MakeUp!A21</f>
        <v>41381</v>
      </c>
      <c r="B20" s="62"/>
      <c r="C20" s="185"/>
      <c r="D20" s="61">
        <f>'Cooling Tower'!G21/MakeUp!F21</f>
        <v>7.5039999999999996</v>
      </c>
      <c r="E20" s="61">
        <f>'Cooling Tower'!Q21/MakeUp!I21</f>
        <v>5.833333333333333</v>
      </c>
      <c r="F20" s="197"/>
    </row>
    <row r="21" spans="1:6" s="104" customFormat="1" ht="18.600000000000001" customHeight="1">
      <c r="A21" s="34">
        <f>MakeUp!A22</f>
        <v>41382</v>
      </c>
      <c r="B21" s="62"/>
      <c r="C21" s="185"/>
      <c r="D21" s="61">
        <f>'Cooling Tower'!G22/MakeUp!F22</f>
        <v>8.0916666666666668</v>
      </c>
      <c r="E21" s="61">
        <f>'Cooling Tower'!Q22/MakeUp!I22</f>
        <v>5.6842105263157894</v>
      </c>
      <c r="F21" s="197"/>
    </row>
    <row r="22" spans="1:6" s="104" customFormat="1" ht="18.600000000000001" customHeight="1">
      <c r="A22" s="34">
        <f>MakeUp!A23</f>
        <v>41383</v>
      </c>
      <c r="B22" s="62"/>
      <c r="C22" s="185"/>
      <c r="D22" s="61">
        <f>'Cooling Tower'!G23/MakeUp!F23</f>
        <v>9.2288135593220346</v>
      </c>
      <c r="E22" s="61">
        <f>'Cooling Tower'!Q23/MakeUp!I23</f>
        <v>5.5</v>
      </c>
      <c r="F22" s="197"/>
    </row>
    <row r="23" spans="1:6" s="104" customFormat="1" ht="18.600000000000001" customHeight="1">
      <c r="A23" s="34">
        <f>MakeUp!A24</f>
        <v>41384</v>
      </c>
      <c r="B23" s="62"/>
      <c r="C23" s="185"/>
      <c r="D23" s="61">
        <f>'Cooling Tower'!G24/MakeUp!F24</f>
        <v>8.4260869565217398</v>
      </c>
      <c r="E23" s="61">
        <f>'Cooling Tower'!Q24/MakeUp!I24</f>
        <v>5.65</v>
      </c>
      <c r="F23" s="197"/>
    </row>
    <row r="24" spans="1:6" s="104" customFormat="1" ht="18.600000000000001" customHeight="1">
      <c r="A24" s="34">
        <f>MakeUp!A25</f>
        <v>41385</v>
      </c>
      <c r="B24" s="62"/>
      <c r="C24" s="185"/>
      <c r="D24" s="61">
        <f>'Cooling Tower'!G25/MakeUp!F25</f>
        <v>8.6086956521739122</v>
      </c>
      <c r="E24" s="61">
        <f>'Cooling Tower'!Q25/MakeUp!I25</f>
        <v>5.4761904761904763</v>
      </c>
      <c r="F24" s="197"/>
    </row>
    <row r="25" spans="1:6" s="104" customFormat="1" ht="18.600000000000001" customHeight="1">
      <c r="A25" s="34">
        <f>MakeUp!A26</f>
        <v>41386</v>
      </c>
      <c r="B25" s="62"/>
      <c r="C25" s="185"/>
      <c r="D25" s="61">
        <f>'Cooling Tower'!G26/MakeUp!F26</f>
        <v>8.8888888888888893</v>
      </c>
      <c r="E25" s="61">
        <f>'Cooling Tower'!Q26/MakeUp!I26</f>
        <v>6.3684210526315788</v>
      </c>
      <c r="F25" s="197"/>
    </row>
    <row r="26" spans="1:6" s="104" customFormat="1" ht="18.600000000000001" customHeight="1">
      <c r="A26" s="34">
        <f>MakeUp!A27</f>
        <v>41387</v>
      </c>
      <c r="B26" s="62"/>
      <c r="C26" s="185"/>
      <c r="D26" s="61">
        <f>'Cooling Tower'!G27/MakeUp!F27</f>
        <v>8.2166666666666668</v>
      </c>
      <c r="E26" s="61">
        <f>'Cooling Tower'!Q27/MakeUp!I27</f>
        <v>6.2105263157894735</v>
      </c>
      <c r="F26" s="197"/>
    </row>
    <row r="27" spans="1:6" s="104" customFormat="1" ht="18.600000000000001" customHeight="1">
      <c r="A27" s="34">
        <f>MakeUp!A28</f>
        <v>41388</v>
      </c>
      <c r="B27" s="62"/>
      <c r="C27" s="185"/>
      <c r="D27" s="61">
        <f>'Cooling Tower'!G28/MakeUp!F28</f>
        <v>8.7094017094017087</v>
      </c>
      <c r="E27" s="61">
        <f>'Cooling Tower'!Q28/MakeUp!I28</f>
        <v>6.166666666666667</v>
      </c>
      <c r="F27" s="197"/>
    </row>
    <row r="28" spans="1:6" s="104" customFormat="1" ht="18.600000000000001" customHeight="1">
      <c r="A28" s="34">
        <f>MakeUp!A29</f>
        <v>41389</v>
      </c>
      <c r="B28" s="62"/>
      <c r="C28" s="185"/>
      <c r="D28" s="61">
        <f>'Cooling Tower'!G29/MakeUp!F29</f>
        <v>8.3596491228070171</v>
      </c>
      <c r="E28" s="61">
        <f>'Cooling Tower'!Q29/MakeUp!I29</f>
        <v>6</v>
      </c>
      <c r="F28" s="197"/>
    </row>
    <row r="29" spans="1:6" s="104" customFormat="1" ht="18.600000000000001" customHeight="1">
      <c r="A29" s="34">
        <f>MakeUp!A30</f>
        <v>41390</v>
      </c>
      <c r="B29" s="62"/>
      <c r="C29" s="185"/>
      <c r="D29" s="61">
        <f>'Cooling Tower'!G30/MakeUp!F30</f>
        <v>9.0176991150442483</v>
      </c>
      <c r="E29" s="61">
        <f>'Cooling Tower'!Q30/MakeUp!I30</f>
        <v>6.3529411764705879</v>
      </c>
      <c r="F29" s="197"/>
    </row>
    <row r="30" spans="1:6" s="104" customFormat="1" ht="18.600000000000001" customHeight="1">
      <c r="A30" s="34">
        <f>MakeUp!A31</f>
        <v>41391</v>
      </c>
      <c r="B30" s="62"/>
      <c r="C30" s="185"/>
      <c r="D30" s="61">
        <f>'Cooling Tower'!G31/MakeUp!F31</f>
        <v>9.0087719298245617</v>
      </c>
      <c r="E30" s="61">
        <f>'Cooling Tower'!Q31/MakeUp!I31</f>
        <v>6.4705882352941178</v>
      </c>
      <c r="F30" s="197"/>
    </row>
    <row r="31" spans="1:6" s="104" customFormat="1" ht="18.600000000000001" customHeight="1">
      <c r="A31" s="34">
        <f>MakeUp!A32</f>
        <v>41392</v>
      </c>
      <c r="B31" s="62"/>
      <c r="C31" s="185"/>
      <c r="D31" s="61">
        <f>'Cooling Tower'!G32/MakeUp!F32</f>
        <v>9.0973451327433636</v>
      </c>
      <c r="E31" s="61">
        <f>'Cooling Tower'!Q32/MakeUp!I32</f>
        <v>6.3888888888888893</v>
      </c>
      <c r="F31" s="197"/>
    </row>
    <row r="32" spans="1:6" s="104" customFormat="1" ht="18.600000000000001" customHeight="1">
      <c r="A32" s="34">
        <f>MakeUp!A33</f>
        <v>41393</v>
      </c>
      <c r="B32" s="62"/>
      <c r="C32" s="185"/>
      <c r="D32" s="61">
        <f>'Cooling Tower'!G33/MakeUp!F33</f>
        <v>9.2857142857142865</v>
      </c>
      <c r="E32" s="61">
        <f>'Cooling Tower'!Q33/MakeUp!I33</f>
        <v>6.666666666666667</v>
      </c>
      <c r="F32" s="197"/>
    </row>
    <row r="33" spans="1:6" s="104" customFormat="1" ht="18.600000000000001" customHeight="1">
      <c r="A33" s="34">
        <f>MakeUp!A34</f>
        <v>41394</v>
      </c>
      <c r="B33" s="62"/>
      <c r="C33" s="185"/>
      <c r="D33" s="61">
        <f>'Cooling Tower'!G34/MakeUp!F34</f>
        <v>7.683760683760684</v>
      </c>
      <c r="E33" s="61">
        <f>'Cooling Tower'!Q34/MakeUp!I34</f>
        <v>6.1111111111111107</v>
      </c>
      <c r="F33" s="197"/>
    </row>
    <row r="34" spans="1:6" s="104" customFormat="1" ht="18.600000000000001" customHeight="1" thickBot="1">
      <c r="A34" s="34">
        <f>MakeUp!A35</f>
        <v>0</v>
      </c>
      <c r="B34" s="62"/>
      <c r="C34" s="185"/>
      <c r="D34" s="61" t="e">
        <f>'Cooling Tower'!G35/MakeUp!F35</f>
        <v>#DIV/0!</v>
      </c>
      <c r="E34" s="61" t="e">
        <f>'Cooling Tower'!Q35/MakeUp!I35</f>
        <v>#DIV/0!</v>
      </c>
      <c r="F34" s="197"/>
    </row>
    <row r="35" spans="1:6" s="108" customFormat="1" ht="15.95" customHeight="1">
      <c r="A35" s="38" t="str">
        <f>'Cooling Tower'!A36</f>
        <v>MIN.</v>
      </c>
      <c r="B35" s="78">
        <f>MIN(B4:B34)</f>
        <v>0</v>
      </c>
      <c r="C35" s="186">
        <f>MIN(C4:C34)</f>
        <v>0</v>
      </c>
      <c r="D35" s="1" t="e">
        <f>MIN(D4:D34)</f>
        <v>#DIV/0!</v>
      </c>
      <c r="E35" s="1" t="e">
        <f>MIN(E4:E34)</f>
        <v>#DIV/0!</v>
      </c>
      <c r="F35" s="189">
        <f>MIN(F4:F34)</f>
        <v>0</v>
      </c>
    </row>
    <row r="36" spans="1:6" s="108" customFormat="1" ht="15.95" customHeight="1">
      <c r="A36" s="63" t="str">
        <f>'Cooling Tower'!A37</f>
        <v>MAX.</v>
      </c>
      <c r="B36" s="64">
        <f>MAX(B4:B34)</f>
        <v>0</v>
      </c>
      <c r="C36" s="187">
        <f>MAX(C4:C34)</f>
        <v>0</v>
      </c>
      <c r="D36" s="2" t="e">
        <f>MAX(D4:D34)</f>
        <v>#DIV/0!</v>
      </c>
      <c r="E36" s="2" t="e">
        <f>MAX(E4:E34)</f>
        <v>#DIV/0!</v>
      </c>
      <c r="F36" s="190">
        <f>MAX(F4:F34)</f>
        <v>0</v>
      </c>
    </row>
    <row r="37" spans="1:6" s="108" customFormat="1" ht="15.95" customHeight="1" thickBot="1">
      <c r="A37" s="65" t="str">
        <f>'Cooling Tower'!A38</f>
        <v>AVG.</v>
      </c>
      <c r="B37" s="67" t="e">
        <f>AVERAGE(B4:B34)</f>
        <v>#DIV/0!</v>
      </c>
      <c r="C37" s="188" t="e">
        <f>AVERAGE(C4:C34)</f>
        <v>#DIV/0!</v>
      </c>
      <c r="D37" s="3" t="e">
        <f>AVERAGE(D4:D34)</f>
        <v>#DIV/0!</v>
      </c>
      <c r="E37" s="3" t="e">
        <f>AVERAGE(E4:E34)</f>
        <v>#DIV/0!</v>
      </c>
      <c r="F37" s="17" t="e">
        <f>AVERAGE(F4:F34)</f>
        <v>#DIV/0!</v>
      </c>
    </row>
    <row r="38" spans="1:6">
      <c r="A38" s="21"/>
    </row>
    <row r="39" spans="1:6">
      <c r="A39" s="21"/>
    </row>
    <row r="40" spans="1:6">
      <c r="A40" s="21"/>
    </row>
    <row r="41" spans="1:6">
      <c r="A41" s="21"/>
    </row>
  </sheetData>
  <mergeCells count="4">
    <mergeCell ref="A2:A3"/>
    <mergeCell ref="A1:F1"/>
    <mergeCell ref="E2:E3"/>
    <mergeCell ref="D2:D3"/>
  </mergeCells>
  <phoneticPr fontId="0" type="noConversion"/>
  <printOptions horizontalCentered="1" verticalCentered="1"/>
  <pageMargins left="0.51181102362204722" right="0.23622047244094491" top="0" bottom="0" header="0.35433070866141736" footer="0.51181102362204722"/>
  <pageSetup fitToWidth="2" fitToHeight="2" orientation="portrait" horizontalDpi="300" verticalDpi="300" r:id="rId1"/>
  <headerFooter alignWithMargins="0">
    <oddHeader>&amp;R&amp;G</oddHeader>
    <oddFooter>&amp;R&amp;"Verdana,Italic"&amp;K0033CCCWT Monthly Report - October-2012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9"/>
  <sheetViews>
    <sheetView showGridLines="0" workbookViewId="0">
      <selection activeCell="AK44" sqref="AK44"/>
    </sheetView>
  </sheetViews>
  <sheetFormatPr defaultRowHeight="12.75"/>
  <cols>
    <col min="27" max="27" width="11.140625" customWidth="1"/>
    <col min="45" max="45" width="11.140625" customWidth="1"/>
  </cols>
  <sheetData>
    <row r="1" spans="1:8">
      <c r="A1" s="4"/>
      <c r="B1" s="4"/>
      <c r="C1" s="4"/>
      <c r="D1" s="4"/>
      <c r="E1" s="4"/>
      <c r="F1" s="4"/>
      <c r="G1" s="4"/>
      <c r="H1" s="4"/>
    </row>
    <row r="2" spans="1:8">
      <c r="A2" s="4"/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4"/>
      <c r="B5" s="4"/>
      <c r="C5" s="4"/>
      <c r="D5" s="4"/>
      <c r="E5" s="4"/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34" spans="10:17">
      <c r="J34" s="4"/>
      <c r="K34" s="4"/>
      <c r="L34" s="4"/>
      <c r="M34" s="4"/>
      <c r="N34" s="4"/>
      <c r="O34" s="4"/>
      <c r="P34" s="4"/>
      <c r="Q34" s="4"/>
    </row>
    <row r="35" spans="10:17">
      <c r="J35" s="4"/>
      <c r="K35" s="4"/>
      <c r="L35" s="4"/>
      <c r="M35" s="4"/>
      <c r="N35" s="4"/>
      <c r="O35" s="4"/>
      <c r="P35" s="4"/>
      <c r="Q35" s="4"/>
    </row>
    <row r="36" spans="10:17">
      <c r="J36" s="4"/>
      <c r="K36" s="4"/>
      <c r="L36" s="4"/>
      <c r="M36" s="4"/>
      <c r="N36" s="4"/>
      <c r="O36" s="4"/>
      <c r="P36" s="4"/>
      <c r="Q36" s="4"/>
    </row>
    <row r="37" spans="10:17">
      <c r="J37" s="4"/>
      <c r="K37" s="4"/>
      <c r="L37" s="4"/>
      <c r="M37" s="4"/>
      <c r="N37" s="4"/>
      <c r="O37" s="4"/>
      <c r="P37" s="4"/>
      <c r="Q37" s="4"/>
    </row>
    <row r="38" spans="10:17">
      <c r="J38" s="4"/>
      <c r="K38" s="4"/>
      <c r="L38" s="4"/>
      <c r="M38" s="4"/>
      <c r="N38" s="4"/>
      <c r="O38" s="4"/>
      <c r="P38" s="4"/>
      <c r="Q38" s="4"/>
    </row>
    <row r="39" spans="10:17">
      <c r="J39" s="4"/>
      <c r="K39" s="4"/>
      <c r="L39" s="4"/>
      <c r="M39" s="4"/>
      <c r="N39" s="4"/>
      <c r="O39" s="4"/>
      <c r="P39" s="4"/>
      <c r="Q39" s="4"/>
    </row>
    <row r="40" spans="10:17">
      <c r="J40" s="4"/>
      <c r="K40" s="4"/>
      <c r="L40" s="4"/>
      <c r="M40" s="4"/>
      <c r="N40" s="4"/>
      <c r="O40" s="4"/>
      <c r="P40" s="4"/>
      <c r="Q40" s="4"/>
    </row>
    <row r="41" spans="10:17">
      <c r="J41" s="4"/>
      <c r="K41" s="4"/>
      <c r="L41" s="4"/>
      <c r="M41" s="4"/>
      <c r="N41" s="4"/>
      <c r="O41" s="4"/>
      <c r="P41" s="4"/>
      <c r="Q41" s="4"/>
    </row>
    <row r="42" spans="10:17">
      <c r="J42" s="4"/>
      <c r="K42" s="4"/>
      <c r="L42" s="4"/>
      <c r="M42" s="4"/>
      <c r="N42" s="4"/>
      <c r="O42" s="4"/>
      <c r="P42" s="4"/>
      <c r="Q42" s="4"/>
    </row>
    <row r="43" spans="10:17">
      <c r="J43" s="4"/>
      <c r="K43" s="4"/>
      <c r="L43" s="4"/>
      <c r="M43" s="4"/>
      <c r="N43" s="4"/>
      <c r="O43" s="4"/>
      <c r="P43" s="4"/>
      <c r="Q43" s="4"/>
    </row>
    <row r="44" spans="10:17">
      <c r="J44" s="4"/>
      <c r="K44" s="4"/>
      <c r="L44" s="4"/>
      <c r="M44" s="4"/>
      <c r="N44" s="4"/>
      <c r="O44" s="4"/>
      <c r="P44" s="4"/>
      <c r="Q44" s="4"/>
    </row>
    <row r="45" spans="10:17">
      <c r="J45" s="4"/>
      <c r="K45" s="4"/>
      <c r="L45" s="4"/>
      <c r="M45" s="4"/>
      <c r="N45" s="4"/>
      <c r="O45" s="4"/>
      <c r="P45" s="4"/>
      <c r="Q45" s="4"/>
    </row>
    <row r="46" spans="10:17">
      <c r="J46" s="4"/>
      <c r="K46" s="4"/>
      <c r="L46" s="4"/>
      <c r="M46" s="4"/>
      <c r="N46" s="4"/>
      <c r="O46" s="4"/>
      <c r="P46" s="4"/>
      <c r="Q46" s="4"/>
    </row>
    <row r="47" spans="10:17">
      <c r="J47" s="4"/>
      <c r="K47" s="4"/>
      <c r="L47" s="4"/>
      <c r="M47" s="4"/>
      <c r="N47" s="4"/>
      <c r="O47" s="4"/>
      <c r="P47" s="4"/>
      <c r="Q47" s="4"/>
    </row>
    <row r="48" spans="10:17">
      <c r="J48" s="4"/>
      <c r="K48" s="4"/>
      <c r="L48" s="4"/>
      <c r="M48" s="4"/>
      <c r="N48" s="4"/>
      <c r="O48" s="4"/>
      <c r="P48" s="4"/>
      <c r="Q48" s="4"/>
    </row>
    <row r="49" spans="10:17">
      <c r="J49" s="4"/>
      <c r="K49" s="4"/>
      <c r="L49" s="4"/>
      <c r="M49" s="4"/>
      <c r="N49" s="4"/>
      <c r="O49" s="4"/>
      <c r="P49" s="4"/>
      <c r="Q49" s="4"/>
    </row>
  </sheetData>
  <phoneticPr fontId="0" type="noConversion"/>
  <printOptions horizontalCentered="1" verticalCentered="1"/>
  <pageMargins left="0.86614173228346458" right="0.74803149606299213" top="1.2598425196850394" bottom="0.74803149606299213" header="0.51181102362204722" footer="0.51181102362204722"/>
  <pageSetup orientation="portrait" horizontalDpi="4294967293" verticalDpi="300" r:id="rId1"/>
  <headerFooter alignWithMargins="0">
    <oddHeader>&amp;C&amp;"Verdana,Bold"&amp;12
&amp;K0033CC&amp;A&amp;R&amp;"Arial,Bold"&amp;11&amp;G</oddHeader>
    <oddFooter>&amp;R&amp;"Verdana,Italic"&amp;K0033CCCWT Monthly Report - October-2012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view="pageLayout" workbookViewId="0">
      <selection activeCell="B2" sqref="B2"/>
    </sheetView>
  </sheetViews>
  <sheetFormatPr defaultRowHeight="12.75"/>
  <sheetData/>
  <phoneticPr fontId="0" type="noConversion"/>
  <printOptions horizontalCentered="1" verticalCentered="1"/>
  <pageMargins left="0.75" right="0.75" top="1.25" bottom="0.75" header="0.5" footer="0.5"/>
  <pageSetup orientation="portrait" horizontalDpi="4294967293" verticalDpi="300" r:id="rId1"/>
  <headerFooter alignWithMargins="0">
    <oddHeader>&amp;C&amp;"Verdana,Bold"&amp;12
&amp;K0033CC&amp;A&amp;R&amp;"Arial,Bold"&amp;11&amp;G</oddHeader>
    <oddFooter>&amp;R&amp;"Verdana,Italic"&amp;K0033CCCWT Monthly Report - October-2012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"/>
  <sheetViews>
    <sheetView zoomScale="75" zoomScaleNormal="75" workbookViewId="0">
      <selection activeCell="H7" sqref="H7"/>
    </sheetView>
  </sheetViews>
  <sheetFormatPr defaultColWidth="9.140625" defaultRowHeight="12.75"/>
  <cols>
    <col min="1" max="1" width="8.28515625" style="110" customWidth="1"/>
    <col min="2" max="2" width="24.7109375" style="110" customWidth="1"/>
    <col min="3" max="3" width="17.5703125" style="110" customWidth="1"/>
    <col min="4" max="4" width="11.28515625" style="110" customWidth="1"/>
    <col min="5" max="5" width="12.42578125" style="110" customWidth="1"/>
    <col min="6" max="6" width="12.28515625" style="110" customWidth="1"/>
    <col min="7" max="7" width="15.28515625" style="110" customWidth="1"/>
    <col min="8" max="8" width="17.85546875" style="110" customWidth="1"/>
    <col min="9" max="9" width="10.140625" style="110" customWidth="1"/>
    <col min="10" max="10" width="10.85546875" style="110" customWidth="1"/>
    <col min="11" max="11" width="10" style="110" customWidth="1"/>
    <col min="12" max="12" width="14.28515625" style="110" customWidth="1"/>
    <col min="13" max="16384" width="9.140625" style="110"/>
  </cols>
  <sheetData>
    <row r="1" spans="1:12" ht="6.75" customHeight="1"/>
    <row r="2" spans="1:12" ht="49.5" customHeight="1" thickBot="1">
      <c r="A2" s="259" t="s">
        <v>113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111"/>
    </row>
    <row r="3" spans="1:12" ht="51.75" customHeight="1">
      <c r="A3" s="261" t="s">
        <v>25</v>
      </c>
      <c r="B3" s="263" t="s">
        <v>62</v>
      </c>
      <c r="C3" s="265" t="s">
        <v>63</v>
      </c>
      <c r="D3" s="267" t="s">
        <v>64</v>
      </c>
      <c r="E3" s="268"/>
      <c r="F3" s="269"/>
      <c r="G3" s="270" t="s">
        <v>65</v>
      </c>
      <c r="H3" s="263" t="s">
        <v>66</v>
      </c>
      <c r="I3" s="267" t="s">
        <v>67</v>
      </c>
      <c r="J3" s="268"/>
      <c r="K3" s="269"/>
      <c r="L3" s="112"/>
    </row>
    <row r="4" spans="1:12" s="117" customFormat="1" ht="51.75" customHeight="1" thickBot="1">
      <c r="A4" s="262"/>
      <c r="B4" s="264"/>
      <c r="C4" s="266"/>
      <c r="D4" s="113" t="s">
        <v>68</v>
      </c>
      <c r="E4" s="114" t="s">
        <v>69</v>
      </c>
      <c r="F4" s="115" t="s">
        <v>70</v>
      </c>
      <c r="G4" s="271"/>
      <c r="H4" s="264"/>
      <c r="I4" s="113" t="s">
        <v>71</v>
      </c>
      <c r="J4" s="114" t="s">
        <v>72</v>
      </c>
      <c r="K4" s="115" t="s">
        <v>70</v>
      </c>
      <c r="L4" s="116"/>
    </row>
    <row r="5" spans="1:12" s="117" customFormat="1" ht="55.5" customHeight="1">
      <c r="A5" s="118">
        <v>1</v>
      </c>
      <c r="B5" s="119"/>
      <c r="C5" s="155"/>
      <c r="D5" s="118"/>
      <c r="E5" s="166"/>
      <c r="F5" s="120"/>
      <c r="G5" s="121"/>
      <c r="H5" s="122"/>
      <c r="I5" s="118"/>
      <c r="J5" s="166"/>
      <c r="K5" s="120"/>
      <c r="L5" s="123"/>
    </row>
    <row r="6" spans="1:12" s="129" customFormat="1" ht="55.5" customHeight="1">
      <c r="A6" s="124">
        <v>2</v>
      </c>
      <c r="B6" s="125"/>
      <c r="C6" s="156"/>
      <c r="D6" s="124"/>
      <c r="E6" s="167"/>
      <c r="F6" s="126"/>
      <c r="G6" s="127"/>
      <c r="H6" s="128"/>
      <c r="I6" s="124"/>
      <c r="J6" s="167"/>
      <c r="K6" s="126"/>
      <c r="L6" s="123"/>
    </row>
    <row r="7" spans="1:12" s="129" customFormat="1" ht="55.5" customHeight="1">
      <c r="A7" s="124">
        <v>3</v>
      </c>
      <c r="B7" s="125"/>
      <c r="C7" s="156"/>
      <c r="D7" s="124"/>
      <c r="E7" s="167"/>
      <c r="F7" s="126"/>
      <c r="G7" s="127"/>
      <c r="H7" s="128"/>
      <c r="I7" s="124"/>
      <c r="J7" s="167"/>
      <c r="K7" s="126"/>
      <c r="L7" s="123"/>
    </row>
    <row r="8" spans="1:12" s="129" customFormat="1" ht="55.5" customHeight="1">
      <c r="A8" s="124">
        <v>4</v>
      </c>
      <c r="B8" s="125"/>
      <c r="C8" s="156"/>
      <c r="D8" s="124"/>
      <c r="E8" s="167"/>
      <c r="F8" s="126"/>
      <c r="G8" s="127"/>
      <c r="H8" s="128"/>
      <c r="I8" s="124"/>
      <c r="J8" s="167"/>
      <c r="K8" s="126"/>
      <c r="L8" s="123"/>
    </row>
    <row r="9" spans="1:12" s="129" customFormat="1" ht="55.5" customHeight="1">
      <c r="A9" s="124">
        <v>5</v>
      </c>
      <c r="B9" s="125"/>
      <c r="C9" s="156"/>
      <c r="D9" s="124"/>
      <c r="E9" s="167"/>
      <c r="F9" s="126"/>
      <c r="G9" s="127"/>
      <c r="H9" s="128"/>
      <c r="I9" s="124"/>
      <c r="J9" s="167"/>
      <c r="K9" s="126"/>
      <c r="L9" s="123"/>
    </row>
    <row r="10" spans="1:12" s="129" customFormat="1" ht="55.5" customHeight="1" thickBot="1">
      <c r="A10" s="130">
        <v>6</v>
      </c>
      <c r="B10" s="131"/>
      <c r="C10" s="157"/>
      <c r="D10" s="130"/>
      <c r="E10" s="168"/>
      <c r="F10" s="132"/>
      <c r="G10" s="133"/>
      <c r="H10" s="134"/>
      <c r="I10" s="130"/>
      <c r="J10" s="168"/>
      <c r="K10" s="132"/>
      <c r="L10" s="123"/>
    </row>
    <row r="11" spans="1:12" s="129" customFormat="1" ht="24" customHeight="1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</row>
    <row r="12" spans="1:12" s="129" customFormat="1" ht="21" customHeight="1">
      <c r="A12" s="110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</row>
  </sheetData>
  <mergeCells count="8">
    <mergeCell ref="A2:K2"/>
    <mergeCell ref="A3:A4"/>
    <mergeCell ref="B3:B4"/>
    <mergeCell ref="C3:C4"/>
    <mergeCell ref="D3:F3"/>
    <mergeCell ref="G3:G4"/>
    <mergeCell ref="H3:H4"/>
    <mergeCell ref="I3:K3"/>
  </mergeCells>
  <printOptions horizontalCentered="1" verticalCentered="1"/>
  <pageMargins left="0.75" right="0.75" top="1" bottom="1" header="0.5" footer="0.5"/>
  <pageSetup scale="56" fitToWidth="2" orientation="portrait" horizontalDpi="4294967292" r:id="rId1"/>
  <headerFooter alignWithMargins="0">
    <oddHeader>&amp;R&amp;G</oddHeader>
    <oddFooter>&amp;R&amp;"Verdana,Italic"&amp;K0033CCCWT Monthly Report - August-2012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Word file</vt:lpstr>
      <vt:lpstr>MakeUp</vt:lpstr>
      <vt:lpstr>Cooling Tower</vt:lpstr>
      <vt:lpstr>Operational Parameters</vt:lpstr>
      <vt:lpstr>CT Parameter Graphs</vt:lpstr>
      <vt:lpstr>Operational Graphs</vt:lpstr>
      <vt:lpstr>Chemical Consumption</vt:lpstr>
      <vt:lpstr>'Chemical Consumption'!Print_Area</vt:lpstr>
      <vt:lpstr>'Cooling Tower'!Print_Area</vt:lpstr>
      <vt:lpstr>'CT Parameter Graphs'!Print_Area</vt:lpstr>
      <vt:lpstr>MakeUp!Print_Area</vt:lpstr>
      <vt:lpstr>'Operational Graphs'!Print_Area</vt:lpstr>
      <vt:lpstr>'Operational Parameters'!Print_Area</vt:lpstr>
      <vt:lpstr>'Word file'!Print_Area</vt:lpstr>
    </vt:vector>
  </TitlesOfParts>
  <Company>Wex Tech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</dc:creator>
  <cp:lastModifiedBy>Atul choksi</cp:lastModifiedBy>
  <cp:lastPrinted>2012-11-09T01:03:21Z</cp:lastPrinted>
  <dcterms:created xsi:type="dcterms:W3CDTF">2003-02-01T03:33:53Z</dcterms:created>
  <dcterms:modified xsi:type="dcterms:W3CDTF">2013-05-03T08:17:23Z</dcterms:modified>
</cp:coreProperties>
</file>