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oks\Downloads\TGF\AI\Datasets\"/>
    </mc:Choice>
  </mc:AlternateContent>
  <xr:revisionPtr revIDLastSave="0" documentId="8_{23A08E20-FE66-4085-B0F8-A362A3717DE5}" xr6:coauthVersionLast="47" xr6:coauthVersionMax="47" xr10:uidLastSave="{00000000-0000-0000-0000-000000000000}"/>
  <bookViews>
    <workbookView xWindow="-98" yWindow="-98" windowWidth="21795" windowHeight="12345" tabRatio="923" activeTab="1" xr2:uid="{073F1F6A-1161-41CE-B537-7E324299804D}"/>
  </bookViews>
  <sheets>
    <sheet name="MakeUp" sheetId="23" r:id="rId1"/>
    <sheet name="NEW CT 850 TPD  PH Process" sheetId="22" r:id="rId2"/>
    <sheet name="CT Parameter Graphs" sheetId="35" r:id="rId3"/>
  </sheets>
  <definedNames>
    <definedName name="a">#REF!</definedName>
    <definedName name="_xlnm.Print_Area" localSheetId="2">'CT Parameter Graphs'!$A$1:$AS$49</definedName>
    <definedName name="_xlnm.Print_Area" localSheetId="0">MakeUp!$A$1:$L$334</definedName>
    <definedName name="_xlnm.Print_Area" localSheetId="1">'NEW CT 850 TPD  PH Process'!$A$1:$R$335</definedName>
    <definedName name="Water_Paramet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0" i="22" l="1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4" i="22"/>
  <c r="J303" i="22"/>
  <c r="J302" i="22"/>
  <c r="J301" i="22"/>
  <c r="J300" i="22"/>
  <c r="J299" i="22"/>
  <c r="J298" i="22"/>
  <c r="J297" i="22"/>
  <c r="J296" i="22"/>
  <c r="J295" i="22"/>
  <c r="J294" i="22"/>
  <c r="J293" i="22"/>
  <c r="J292" i="22"/>
  <c r="J291" i="22"/>
  <c r="J290" i="22"/>
  <c r="J289" i="22"/>
  <c r="J288" i="22"/>
  <c r="J287" i="22"/>
  <c r="J286" i="22"/>
  <c r="J285" i="22"/>
  <c r="J284" i="22"/>
  <c r="J283" i="22"/>
  <c r="J282" i="22"/>
  <c r="J281" i="22"/>
  <c r="J280" i="22"/>
  <c r="J279" i="22"/>
  <c r="J278" i="22"/>
  <c r="J277" i="22"/>
  <c r="J276" i="22"/>
  <c r="J275" i="22"/>
  <c r="J274" i="22"/>
  <c r="J273" i="22"/>
  <c r="J272" i="22"/>
  <c r="J271" i="22"/>
  <c r="J270" i="22"/>
  <c r="J269" i="22"/>
  <c r="J268" i="22"/>
  <c r="J267" i="22"/>
  <c r="J266" i="22"/>
  <c r="J265" i="22"/>
  <c r="J264" i="22"/>
  <c r="J263" i="22"/>
  <c r="J262" i="22"/>
  <c r="J261" i="22"/>
  <c r="J260" i="22"/>
  <c r="J259" i="22"/>
  <c r="J258" i="22"/>
  <c r="J257" i="22"/>
  <c r="J256" i="22"/>
  <c r="J255" i="22"/>
  <c r="J254" i="22"/>
  <c r="J253" i="22"/>
  <c r="J252" i="22"/>
  <c r="J251" i="22"/>
  <c r="J250" i="22"/>
  <c r="J249" i="22"/>
  <c r="J248" i="22"/>
  <c r="J247" i="22"/>
  <c r="J246" i="22"/>
  <c r="J245" i="22"/>
  <c r="J244" i="22"/>
  <c r="J243" i="22"/>
  <c r="J242" i="22"/>
  <c r="J241" i="22"/>
  <c r="J240" i="22"/>
  <c r="J239" i="22"/>
  <c r="J238" i="22"/>
  <c r="J237" i="22"/>
  <c r="J236" i="22"/>
  <c r="J235" i="22"/>
  <c r="J234" i="22"/>
  <c r="J233" i="22"/>
  <c r="J232" i="22"/>
  <c r="J231" i="22"/>
  <c r="J230" i="22"/>
  <c r="J229" i="22"/>
  <c r="J228" i="22"/>
  <c r="J227" i="22"/>
  <c r="J226" i="22"/>
  <c r="J225" i="22"/>
  <c r="J224" i="22"/>
  <c r="J223" i="22"/>
  <c r="J222" i="22"/>
  <c r="J221" i="22"/>
  <c r="J220" i="22"/>
  <c r="J219" i="22"/>
  <c r="J218" i="22"/>
  <c r="J217" i="22"/>
  <c r="J216" i="22"/>
  <c r="J215" i="22"/>
  <c r="J214" i="22"/>
  <c r="J213" i="22"/>
  <c r="J212" i="22"/>
  <c r="J211" i="22"/>
  <c r="J210" i="22"/>
  <c r="J209" i="22"/>
  <c r="J208" i="22"/>
  <c r="J207" i="22"/>
  <c r="J206" i="22"/>
  <c r="J205" i="22"/>
  <c r="J204" i="22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6" i="22"/>
  <c r="J27" i="22"/>
  <c r="J28" i="22"/>
  <c r="J6" i="22"/>
  <c r="J7" i="22"/>
  <c r="J8" i="22"/>
  <c r="J9" i="22"/>
  <c r="J335" i="22" s="1"/>
  <c r="J10" i="22"/>
  <c r="J11" i="22"/>
  <c r="J12" i="22"/>
  <c r="J334" i="22" s="1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5" i="22"/>
  <c r="F333" i="22"/>
  <c r="B333" i="22"/>
  <c r="E333" i="22"/>
  <c r="G333" i="22"/>
  <c r="H333" i="22"/>
  <c r="I333" i="22"/>
  <c r="M333" i="22"/>
  <c r="N333" i="22"/>
  <c r="O333" i="22"/>
  <c r="P333" i="22"/>
  <c r="Q333" i="22"/>
  <c r="R333" i="22"/>
  <c r="A334" i="22"/>
  <c r="B334" i="22"/>
  <c r="E334" i="22"/>
  <c r="F334" i="22"/>
  <c r="G334" i="22"/>
  <c r="H334" i="22"/>
  <c r="I334" i="22"/>
  <c r="M334" i="22"/>
  <c r="N334" i="22"/>
  <c r="O334" i="22"/>
  <c r="P334" i="22"/>
  <c r="Q334" i="22"/>
  <c r="R334" i="22"/>
  <c r="A335" i="22"/>
  <c r="B335" i="22"/>
  <c r="E335" i="22"/>
  <c r="F335" i="22"/>
  <c r="G335" i="22"/>
  <c r="H335" i="22"/>
  <c r="I335" i="22"/>
  <c r="L335" i="22"/>
  <c r="M335" i="22"/>
  <c r="O335" i="22"/>
  <c r="P335" i="22"/>
  <c r="Q335" i="22"/>
  <c r="R335" i="22"/>
  <c r="B336" i="22"/>
  <c r="B338" i="22" s="1"/>
  <c r="E336" i="22"/>
  <c r="E338" i="22" s="1"/>
  <c r="L336" i="22"/>
  <c r="L338" i="22" s="1"/>
  <c r="B337" i="22"/>
  <c r="B339" i="22"/>
  <c r="C337" i="22"/>
  <c r="C339" i="22" s="1"/>
  <c r="E337" i="22"/>
  <c r="E339" i="22"/>
  <c r="G337" i="22"/>
  <c r="G339" i="22" s="1"/>
  <c r="H337" i="22"/>
  <c r="H339" i="22" s="1"/>
  <c r="L337" i="22"/>
  <c r="L339" i="22"/>
  <c r="M337" i="22"/>
  <c r="M339" i="22" s="1"/>
  <c r="O337" i="22"/>
  <c r="O339" i="22" s="1"/>
  <c r="Q337" i="22"/>
  <c r="Q339" i="22" s="1"/>
  <c r="R337" i="22"/>
  <c r="R339" i="22" s="1"/>
  <c r="M338" i="22"/>
  <c r="N338" i="22"/>
  <c r="O338" i="22"/>
  <c r="P338" i="22"/>
  <c r="Q338" i="22"/>
  <c r="F339" i="22"/>
  <c r="I339" i="22"/>
  <c r="N339" i="22"/>
  <c r="P339" i="22"/>
  <c r="B332" i="23"/>
  <c r="E332" i="23"/>
  <c r="F332" i="23"/>
  <c r="G332" i="23"/>
  <c r="H332" i="23"/>
  <c r="I332" i="23"/>
  <c r="J332" i="23"/>
  <c r="K332" i="23"/>
  <c r="B333" i="23"/>
  <c r="F333" i="23"/>
  <c r="G333" i="23"/>
  <c r="H333" i="23"/>
  <c r="I333" i="23"/>
  <c r="J333" i="23"/>
  <c r="K333" i="23"/>
  <c r="C334" i="23"/>
  <c r="E334" i="23"/>
  <c r="F334" i="23"/>
  <c r="G334" i="23"/>
  <c r="H334" i="23"/>
  <c r="I334" i="23"/>
  <c r="J334" i="23"/>
  <c r="K334" i="23"/>
  <c r="K337" i="22"/>
  <c r="K339" i="22" s="1"/>
  <c r="K334" i="22"/>
  <c r="K335" i="22"/>
  <c r="J333" i="22" l="1"/>
</calcChain>
</file>

<file path=xl/sharedStrings.xml><?xml version="1.0" encoding="utf-8"?>
<sst xmlns="http://schemas.openxmlformats.org/spreadsheetml/2006/main" count="2579" uniqueCount="339">
  <si>
    <t>DATE</t>
  </si>
  <si>
    <t xml:space="preserve">pH </t>
  </si>
  <si>
    <t>Turbidity</t>
  </si>
  <si>
    <t>COND</t>
  </si>
  <si>
    <t>TH</t>
  </si>
  <si>
    <t>CaH</t>
  </si>
  <si>
    <t>MgH</t>
  </si>
  <si>
    <t>Cl</t>
  </si>
  <si>
    <t>AVG.</t>
  </si>
  <si>
    <t>MAX.</t>
  </si>
  <si>
    <t>MIN.</t>
  </si>
  <si>
    <t>ppm</t>
  </si>
  <si>
    <t>--</t>
  </si>
  <si>
    <t xml:space="preserve">MAKE UP WATER ANALYSIS </t>
  </si>
  <si>
    <t>Date</t>
  </si>
  <si>
    <t>pH</t>
  </si>
  <si>
    <t>Cond</t>
  </si>
  <si>
    <t>Turb.</t>
  </si>
  <si>
    <t>FRC</t>
  </si>
  <si>
    <t xml:space="preserve">CaH </t>
  </si>
  <si>
    <t>Silica</t>
  </si>
  <si>
    <t>No. of &lt; Spec</t>
  </si>
  <si>
    <t>No. of &gt; Spec</t>
  </si>
  <si>
    <t>% &lt; Specs.</t>
  </si>
  <si>
    <t>% &gt; Specs.</t>
  </si>
  <si>
    <r>
      <t>SiO</t>
    </r>
    <r>
      <rPr>
        <b/>
        <vertAlign val="subscript"/>
        <sz val="11"/>
        <rFont val="Verdana"/>
        <family val="2"/>
      </rPr>
      <t>2</t>
    </r>
  </si>
  <si>
    <t>Unit</t>
  </si>
  <si>
    <t>NTU</t>
  </si>
  <si>
    <t>TDS</t>
  </si>
  <si>
    <t>us/cm</t>
  </si>
  <si>
    <t>T. Alk.</t>
  </si>
  <si>
    <t>P. Alk.</t>
  </si>
  <si>
    <t>NIL</t>
  </si>
  <si>
    <t>CIRCULATING WATER ANALYSIS FOR COOLING TOWER</t>
  </si>
  <si>
    <t>Total Iron</t>
  </si>
  <si>
    <t>SS</t>
  </si>
  <si>
    <t>Sulphate</t>
  </si>
  <si>
    <t>Max. 20 NTU</t>
  </si>
  <si>
    <t>Max. 1200 ppm</t>
  </si>
  <si>
    <t>Max. 500 ppm</t>
  </si>
  <si>
    <t>Max. 200 ppm</t>
  </si>
  <si>
    <t>0 ppm</t>
  </si>
  <si>
    <t>Max. 2 ppm</t>
  </si>
  <si>
    <t>Max. 1000 ppm</t>
  </si>
  <si>
    <t>0.2 - 0.5 ppm</t>
  </si>
  <si>
    <t>umho/cm</t>
  </si>
  <si>
    <t>180 ppm</t>
  </si>
  <si>
    <t>7.5-8.0</t>
  </si>
  <si>
    <t>Max. 2100 ppm</t>
  </si>
  <si>
    <t>ORTHO PO4</t>
  </si>
  <si>
    <t>6.0 - 8.0 ppm</t>
  </si>
  <si>
    <t>-</t>
  </si>
  <si>
    <t>22.08.24</t>
  </si>
  <si>
    <t>29.08.24</t>
  </si>
  <si>
    <t>09.09.24</t>
  </si>
  <si>
    <t>10.09.24</t>
  </si>
  <si>
    <t>11.09.24</t>
  </si>
  <si>
    <t>12.09.24</t>
  </si>
  <si>
    <t>24.09.24</t>
  </si>
  <si>
    <t>30.09.24</t>
  </si>
  <si>
    <t>07.09.24</t>
  </si>
  <si>
    <t>03.10.24</t>
  </si>
  <si>
    <t>08.10.24</t>
  </si>
  <si>
    <t>09.10.24</t>
  </si>
  <si>
    <t>10.10.24</t>
  </si>
  <si>
    <t>11.10.24</t>
  </si>
  <si>
    <t>12.10.24</t>
  </si>
  <si>
    <t>14.10.24</t>
  </si>
  <si>
    <t>15.10.24</t>
  </si>
  <si>
    <t>16.10.24</t>
  </si>
  <si>
    <t>17.10.24</t>
  </si>
  <si>
    <t>18.10.24</t>
  </si>
  <si>
    <t>19.10.24</t>
  </si>
  <si>
    <t>21.10.24</t>
  </si>
  <si>
    <t>22.10.24</t>
  </si>
  <si>
    <t>23.10.24</t>
  </si>
  <si>
    <t>24.10.24</t>
  </si>
  <si>
    <t>25.10.24</t>
  </si>
  <si>
    <t>26.10.24</t>
  </si>
  <si>
    <t>28.10.24</t>
  </si>
  <si>
    <t>29.10.24</t>
  </si>
  <si>
    <t>30.10.24</t>
  </si>
  <si>
    <t>31.10.24</t>
  </si>
  <si>
    <t>04.10.24</t>
  </si>
  <si>
    <t>04.11.24</t>
  </si>
  <si>
    <t>05.11.24</t>
  </si>
  <si>
    <t>06.11.24</t>
  </si>
  <si>
    <t>07.11.24</t>
  </si>
  <si>
    <t>08.11.24</t>
  </si>
  <si>
    <t>09.11.24</t>
  </si>
  <si>
    <t>11.11.24</t>
  </si>
  <si>
    <t>12.11.24</t>
  </si>
  <si>
    <t>13.11.24</t>
  </si>
  <si>
    <t>14.11.24</t>
  </si>
  <si>
    <t>15.11.24</t>
  </si>
  <si>
    <t>16.11.24</t>
  </si>
  <si>
    <t>18.11.24</t>
  </si>
  <si>
    <t>19.11.24</t>
  </si>
  <si>
    <t>20.11.24</t>
  </si>
  <si>
    <t>21.11.24</t>
  </si>
  <si>
    <t>22.11.24</t>
  </si>
  <si>
    <t>23.11.24</t>
  </si>
  <si>
    <t>25.11.24</t>
  </si>
  <si>
    <t>26.11.24</t>
  </si>
  <si>
    <t>27.11.24</t>
  </si>
  <si>
    <t>28.11.24</t>
  </si>
  <si>
    <t>29.11.24</t>
  </si>
  <si>
    <t>30.11.24</t>
  </si>
  <si>
    <t>02.12.24</t>
  </si>
  <si>
    <t>03.12.24</t>
  </si>
  <si>
    <t>04.12.24</t>
  </si>
  <si>
    <t>05.12.24</t>
  </si>
  <si>
    <t>06.12.24</t>
  </si>
  <si>
    <t>07.12.24</t>
  </si>
  <si>
    <t>09.12.24</t>
  </si>
  <si>
    <t>10.12.24</t>
  </si>
  <si>
    <t>11.12.24</t>
  </si>
  <si>
    <t>12.12.24</t>
  </si>
  <si>
    <t>13.12.24</t>
  </si>
  <si>
    <t>14.12.24</t>
  </si>
  <si>
    <t>16.12.24</t>
  </si>
  <si>
    <t>17.12.24</t>
  </si>
  <si>
    <t>18.12.24</t>
  </si>
  <si>
    <t>19.12.24</t>
  </si>
  <si>
    <t>20.12.24</t>
  </si>
  <si>
    <t>21.12.24</t>
  </si>
  <si>
    <t>23.12.24</t>
  </si>
  <si>
    <t>24.12.24</t>
  </si>
  <si>
    <t>25.12.24</t>
  </si>
  <si>
    <t>26.12.24</t>
  </si>
  <si>
    <t>27.12.24</t>
  </si>
  <si>
    <t>28.12.24</t>
  </si>
  <si>
    <t>30.12.24</t>
  </si>
  <si>
    <t>31.12.24</t>
  </si>
  <si>
    <t>Nil</t>
  </si>
  <si>
    <t>01.01.25</t>
  </si>
  <si>
    <t>02.01.25</t>
  </si>
  <si>
    <t>03.01.25</t>
  </si>
  <si>
    <t>04.01.25</t>
  </si>
  <si>
    <t>06.01.25</t>
  </si>
  <si>
    <t>07.01.25</t>
  </si>
  <si>
    <t>08.01.25</t>
  </si>
  <si>
    <t>09.01.25</t>
  </si>
  <si>
    <t>10.01.25</t>
  </si>
  <si>
    <t>11.01.25</t>
  </si>
  <si>
    <t>13.01.25</t>
  </si>
  <si>
    <t>15.01.25</t>
  </si>
  <si>
    <t>16.01.25</t>
  </si>
  <si>
    <t>17.01.25</t>
  </si>
  <si>
    <t>18.01.25</t>
  </si>
  <si>
    <t>20.01.25</t>
  </si>
  <si>
    <t>21.01.25</t>
  </si>
  <si>
    <t>22.01.25</t>
  </si>
  <si>
    <t>23.01.25</t>
  </si>
  <si>
    <t>24.01.25</t>
  </si>
  <si>
    <t>25.01.25</t>
  </si>
  <si>
    <t>27.01.25</t>
  </si>
  <si>
    <t>28.01.25</t>
  </si>
  <si>
    <t>29.01.25</t>
  </si>
  <si>
    <t>30.01.25</t>
  </si>
  <si>
    <t>31.01.25</t>
  </si>
  <si>
    <t>01.02.25</t>
  </si>
  <si>
    <t>03.02.25</t>
  </si>
  <si>
    <t>04.02.25</t>
  </si>
  <si>
    <t>05.02.25</t>
  </si>
  <si>
    <t>06.02.25</t>
  </si>
  <si>
    <t>07.02.25</t>
  </si>
  <si>
    <t>08.02.25</t>
  </si>
  <si>
    <t>10.02.25</t>
  </si>
  <si>
    <t>11.02.25</t>
  </si>
  <si>
    <t>12.02.25</t>
  </si>
  <si>
    <t>13.02.25</t>
  </si>
  <si>
    <t>14.02.25</t>
  </si>
  <si>
    <t>15.02.25</t>
  </si>
  <si>
    <t>17.02.25</t>
  </si>
  <si>
    <t>18.02.25</t>
  </si>
  <si>
    <t>19.02.25</t>
  </si>
  <si>
    <t>20.02.25</t>
  </si>
  <si>
    <t>21.02.25</t>
  </si>
  <si>
    <t>22.02.25</t>
  </si>
  <si>
    <t>24.02.25</t>
  </si>
  <si>
    <t>25.02.25</t>
  </si>
  <si>
    <t>27.02.25</t>
  </si>
  <si>
    <t>28.02.25</t>
  </si>
  <si>
    <t>01.03.25</t>
  </si>
  <si>
    <t>03.03.25</t>
  </si>
  <si>
    <t>04.03.25</t>
  </si>
  <si>
    <t>05.03.25</t>
  </si>
  <si>
    <t>06.03.25</t>
  </si>
  <si>
    <t>07.03.25</t>
  </si>
  <si>
    <t>SHUT DOWN</t>
  </si>
  <si>
    <t>08.03.25</t>
  </si>
  <si>
    <t>10.03.25</t>
  </si>
  <si>
    <t>11.03.25</t>
  </si>
  <si>
    <t>12.03.25</t>
  </si>
  <si>
    <t>13.03.25</t>
  </si>
  <si>
    <t>15.03.25</t>
  </si>
  <si>
    <t>17.03.25</t>
  </si>
  <si>
    <t>18.03.25</t>
  </si>
  <si>
    <t>19.03.25</t>
  </si>
  <si>
    <t>20.03.25</t>
  </si>
  <si>
    <t>21.03.25</t>
  </si>
  <si>
    <t>22.03.25</t>
  </si>
  <si>
    <t>24.03.25</t>
  </si>
  <si>
    <t>25.03.25</t>
  </si>
  <si>
    <t>26.03.25</t>
  </si>
  <si>
    <t>27.03.25</t>
  </si>
  <si>
    <t>28.03.25</t>
  </si>
  <si>
    <t>29.03.25</t>
  </si>
  <si>
    <t>31.03.25</t>
  </si>
  <si>
    <t>01.05.25</t>
  </si>
  <si>
    <t>02.05.25</t>
  </si>
  <si>
    <t>03.05.25</t>
  </si>
  <si>
    <t>05.05.25</t>
  </si>
  <si>
    <t>06.05.25</t>
  </si>
  <si>
    <t>07.05.25</t>
  </si>
  <si>
    <t>08.05.25</t>
  </si>
  <si>
    <t>09.05.25</t>
  </si>
  <si>
    <t>10.05.25</t>
  </si>
  <si>
    <t>12.05.25</t>
  </si>
  <si>
    <t>13.05.25</t>
  </si>
  <si>
    <t>14.05.25</t>
  </si>
  <si>
    <t>15.05.25</t>
  </si>
  <si>
    <t>16.05.25</t>
  </si>
  <si>
    <t>17.05.25</t>
  </si>
  <si>
    <t>19.05.25</t>
  </si>
  <si>
    <t>20.05.25</t>
  </si>
  <si>
    <t>21.05.25</t>
  </si>
  <si>
    <t>22.05.25</t>
  </si>
  <si>
    <t>23.05.25</t>
  </si>
  <si>
    <t>24.05.25</t>
  </si>
  <si>
    <t>27.05.25</t>
  </si>
  <si>
    <t>28.05.25</t>
  </si>
  <si>
    <t>29.05.25</t>
  </si>
  <si>
    <t>30.05.25</t>
  </si>
  <si>
    <t>31.05.25</t>
  </si>
  <si>
    <t>01.04.25</t>
  </si>
  <si>
    <t>02.04.25</t>
  </si>
  <si>
    <t>03.04.25</t>
  </si>
  <si>
    <t>04.04.25</t>
  </si>
  <si>
    <t>05.04.25</t>
  </si>
  <si>
    <t>07.04.25</t>
  </si>
  <si>
    <t>08.04.25</t>
  </si>
  <si>
    <t>09.04.25</t>
  </si>
  <si>
    <t>10.04.25</t>
  </si>
  <si>
    <t>11.04.25</t>
  </si>
  <si>
    <t>12.04.25</t>
  </si>
  <si>
    <t>14.04.25</t>
  </si>
  <si>
    <t>15.04.25</t>
  </si>
  <si>
    <t>16.04.25</t>
  </si>
  <si>
    <t>17.04.25</t>
  </si>
  <si>
    <t>18.04.25</t>
  </si>
  <si>
    <t>19.04.25</t>
  </si>
  <si>
    <t>21.04.25</t>
  </si>
  <si>
    <t>22.04.25</t>
  </si>
  <si>
    <t>23.04.25</t>
  </si>
  <si>
    <t>24.04.25</t>
  </si>
  <si>
    <t>25.04.25</t>
  </si>
  <si>
    <t>26.04.25</t>
  </si>
  <si>
    <t>28.04.25</t>
  </si>
  <si>
    <t>29.04.25</t>
  </si>
  <si>
    <t>30.04.25</t>
  </si>
  <si>
    <t>02.06.25</t>
  </si>
  <si>
    <t>03.06.25</t>
  </si>
  <si>
    <t>04.06.25</t>
  </si>
  <si>
    <t>05.06.25</t>
  </si>
  <si>
    <t>06.06.25</t>
  </si>
  <si>
    <t>07.06.25</t>
  </si>
  <si>
    <t>09.06.25</t>
  </si>
  <si>
    <t>10.06.25</t>
  </si>
  <si>
    <t>11.06.25</t>
  </si>
  <si>
    <t>12.06.25</t>
  </si>
  <si>
    <t>13.06.25</t>
  </si>
  <si>
    <t>14.06.25</t>
  </si>
  <si>
    <t>16.06.25</t>
  </si>
  <si>
    <t>17.06.25</t>
  </si>
  <si>
    <t>18.06.25</t>
  </si>
  <si>
    <t>19.06.25</t>
  </si>
  <si>
    <t>20.06.25</t>
  </si>
  <si>
    <t>21.06.25</t>
  </si>
  <si>
    <t>23.06.25</t>
  </si>
  <si>
    <t>24.06.25</t>
  </si>
  <si>
    <t>25.06.25</t>
  </si>
  <si>
    <t>26.06.25</t>
  </si>
  <si>
    <t>27.06.25</t>
  </si>
  <si>
    <t>28.06.25</t>
  </si>
  <si>
    <t>30.06.25</t>
  </si>
  <si>
    <t>01.07.25</t>
  </si>
  <si>
    <t>02.07.25</t>
  </si>
  <si>
    <t>03.07.25</t>
  </si>
  <si>
    <t>04.07.25</t>
  </si>
  <si>
    <t>05.07.25</t>
  </si>
  <si>
    <t>07.07.25</t>
  </si>
  <si>
    <t>08.07.25</t>
  </si>
  <si>
    <t>09.07.25</t>
  </si>
  <si>
    <t>10.07.25</t>
  </si>
  <si>
    <t>11.07.25</t>
  </si>
  <si>
    <t>12.07.25</t>
  </si>
  <si>
    <t>14.07.25</t>
  </si>
  <si>
    <t>15.07.25</t>
  </si>
  <si>
    <t>16.07.25</t>
  </si>
  <si>
    <t>17.07.25</t>
  </si>
  <si>
    <t>18.07.25</t>
  </si>
  <si>
    <t>19.07.25</t>
  </si>
  <si>
    <t>21.07.25</t>
  </si>
  <si>
    <t>22.07.25</t>
  </si>
  <si>
    <t>23.07.25</t>
  </si>
  <si>
    <t>24.07.25</t>
  </si>
  <si>
    <t>25.07.25</t>
  </si>
  <si>
    <t>26.07.25</t>
  </si>
  <si>
    <t>28.07.25</t>
  </si>
  <si>
    <t>STOP</t>
  </si>
  <si>
    <t>29.07.25</t>
  </si>
  <si>
    <t>30.07.25</t>
  </si>
  <si>
    <t>31.07.25</t>
  </si>
  <si>
    <t>27.07.25</t>
  </si>
  <si>
    <t>TSS</t>
  </si>
  <si>
    <t>01.08.25</t>
  </si>
  <si>
    <t>02.08.25</t>
  </si>
  <si>
    <t>04.08.25</t>
  </si>
  <si>
    <t>05.08.25</t>
  </si>
  <si>
    <t>06.08.25</t>
  </si>
  <si>
    <t>07.08.25</t>
  </si>
  <si>
    <t>08.08.25</t>
  </si>
  <si>
    <t>11.08.25</t>
  </si>
  <si>
    <t>12.08.25</t>
  </si>
  <si>
    <t>13.08.25</t>
  </si>
  <si>
    <t>14.08.25</t>
  </si>
  <si>
    <t>15.08.25</t>
  </si>
  <si>
    <t>18.08.25</t>
  </si>
  <si>
    <t>19.08.25</t>
  </si>
  <si>
    <t>20.08.25</t>
  </si>
  <si>
    <t>21.08.25</t>
  </si>
  <si>
    <t>22.08.25</t>
  </si>
  <si>
    <t>23.08.25</t>
  </si>
  <si>
    <t>26.08.25</t>
  </si>
  <si>
    <t>27.08.25</t>
  </si>
  <si>
    <t>28.08.25</t>
  </si>
  <si>
    <t>29.08.25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</si>
</sst>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1" formatCode="0.0"/>
    <numFmt numFmtId="182" formatCode="0.00_)"/>
    <numFmt numFmtId="183" formatCode="dd/mm/yy"/>
    <numFmt numFmtId="184" formatCode="dd\.mm\.yy"/>
  </numFmts>
  <fonts count="1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b/>
      <i/>
      <sz val="16"/>
      <name val="Helv"/>
    </font>
    <font>
      <b/>
      <sz val="11"/>
      <name val="Times New Roman"/>
      <family val="1"/>
    </font>
    <font>
      <b/>
      <sz val="16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8"/>
      <name val="Verdana"/>
      <family val="2"/>
    </font>
    <font>
      <sz val="11"/>
      <name val="Verdana"/>
      <family val="2"/>
    </font>
    <font>
      <sz val="11"/>
      <name val="Arial"/>
      <family val="2"/>
    </font>
    <font>
      <b/>
      <vertAlign val="subscript"/>
      <sz val="11"/>
      <name val="Verdana"/>
      <family val="2"/>
    </font>
    <font>
      <b/>
      <sz val="16"/>
      <color indexed="8"/>
      <name val="Verdana"/>
      <family val="2"/>
    </font>
    <font>
      <b/>
      <sz val="10"/>
      <name val="Verdana"/>
      <family val="2"/>
    </font>
    <font>
      <b/>
      <sz val="10"/>
      <color indexed="8"/>
      <name val="Verdan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1" applyNumberFormat="0" applyFill="0" applyBorder="0" applyProtection="0"/>
    <xf numFmtId="38" fontId="3" fillId="2" borderId="0" applyNumberFormat="0" applyBorder="0" applyAlignment="0" applyProtection="0"/>
    <xf numFmtId="10" fontId="3" fillId="3" borderId="2" applyNumberFormat="0" applyBorder="0" applyAlignment="0" applyProtection="0"/>
    <xf numFmtId="182" fontId="4" fillId="0" borderId="0"/>
    <xf numFmtId="0" fontId="16" fillId="0" borderId="0"/>
    <xf numFmtId="0" fontId="1" fillId="0" borderId="0"/>
    <xf numFmtId="10" fontId="1" fillId="0" borderId="0" applyFont="0" applyFill="0" applyBorder="0" applyAlignment="0" applyProtection="0"/>
    <xf numFmtId="40" fontId="5" fillId="0" borderId="0"/>
  </cellStyleXfs>
  <cellXfs count="130">
    <xf numFmtId="0" fontId="0" fillId="0" borderId="0" xfId="0"/>
    <xf numFmtId="181" fontId="7" fillId="0" borderId="3" xfId="0" applyNumberFormat="1" applyFont="1" applyBorder="1" applyAlignment="1">
      <alignment horizontal="center" vertical="center"/>
    </xf>
    <xf numFmtId="181" fontId="7" fillId="0" borderId="2" xfId="0" applyNumberFormat="1" applyFont="1" applyBorder="1" applyAlignment="1">
      <alignment horizontal="center" vertical="center"/>
    </xf>
    <xf numFmtId="181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3" xfId="0" quotePrefix="1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4" xfId="0" quotePrefix="1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81" fontId="10" fillId="0" borderId="0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1" xfId="0" quotePrefix="1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 wrapText="1"/>
    </xf>
    <xf numFmtId="183" fontId="7" fillId="0" borderId="6" xfId="0" applyNumberFormat="1" applyFont="1" applyBorder="1" applyAlignment="1">
      <alignment horizontal="center" vertical="center" wrapText="1"/>
    </xf>
    <xf numFmtId="183" fontId="7" fillId="0" borderId="8" xfId="0" applyNumberFormat="1" applyFont="1" applyBorder="1" applyAlignment="1">
      <alignment horizontal="center" vertical="center" wrapText="1"/>
    </xf>
    <xf numFmtId="181" fontId="7" fillId="0" borderId="12" xfId="0" applyNumberFormat="1" applyFont="1" applyBorder="1" applyAlignment="1">
      <alignment horizontal="center" vertical="center"/>
    </xf>
    <xf numFmtId="181" fontId="7" fillId="0" borderId="13" xfId="0" applyNumberFormat="1" applyFont="1" applyBorder="1" applyAlignment="1">
      <alignment horizontal="center" vertical="center"/>
    </xf>
    <xf numFmtId="181" fontId="7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20" xfId="0" quotePrefix="1" applyNumberFormat="1" applyFont="1" applyBorder="1" applyAlignment="1">
      <alignment horizontal="center" vertical="center"/>
    </xf>
    <xf numFmtId="1" fontId="7" fillId="0" borderId="23" xfId="0" quotePrefix="1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" fontId="7" fillId="0" borderId="2" xfId="0" quotePrefix="1" applyNumberFormat="1" applyFont="1" applyBorder="1" applyAlignment="1">
      <alignment horizontal="center" vertical="center"/>
    </xf>
    <xf numFmtId="181" fontId="7" fillId="0" borderId="2" xfId="0" applyNumberFormat="1" applyFont="1" applyBorder="1" applyAlignment="1" applyProtection="1">
      <alignment horizontal="center" vertical="center"/>
      <protection locked="0"/>
    </xf>
    <xf numFmtId="1" fontId="7" fillId="0" borderId="2" xfId="0" applyNumberFormat="1" applyFont="1" applyBorder="1" applyAlignment="1" applyProtection="1">
      <alignment horizontal="center" vertical="center"/>
      <protection locked="0"/>
    </xf>
    <xf numFmtId="2" fontId="7" fillId="0" borderId="2" xfId="0" applyNumberFormat="1" applyFont="1" applyBorder="1" applyAlignment="1" applyProtection="1">
      <alignment horizontal="center" vertical="center"/>
      <protection locked="0"/>
    </xf>
    <xf numFmtId="183" fontId="7" fillId="0" borderId="27" xfId="0" applyNumberFormat="1" applyFont="1" applyBorder="1" applyAlignment="1">
      <alignment horizontal="center" vertical="center" wrapText="1"/>
    </xf>
    <xf numFmtId="181" fontId="7" fillId="0" borderId="2" xfId="0" quotePrefix="1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14" fillId="0" borderId="19" xfId="0" quotePrefix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/>
    </xf>
    <xf numFmtId="184" fontId="7" fillId="0" borderId="12" xfId="0" applyNumberFormat="1" applyFont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84" fontId="7" fillId="0" borderId="13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/>
    </xf>
    <xf numFmtId="2" fontId="7" fillId="0" borderId="21" xfId="0" quotePrefix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7" fillId="0" borderId="11" xfId="0" quotePrefix="1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" fontId="7" fillId="0" borderId="11" xfId="0" quotePrefix="1" applyNumberFormat="1" applyFont="1" applyBorder="1" applyAlignment="1" applyProtection="1">
      <alignment horizontal="center" vertical="center"/>
      <protection locked="0"/>
    </xf>
    <xf numFmtId="1" fontId="7" fillId="0" borderId="21" xfId="0" quotePrefix="1" applyNumberFormat="1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>
      <alignment horizontal="center" vertical="center"/>
    </xf>
    <xf numFmtId="181" fontId="7" fillId="0" borderId="4" xfId="0" applyNumberFormat="1" applyFont="1" applyBorder="1" applyAlignment="1" applyProtection="1">
      <alignment horizontal="center" vertical="center"/>
      <protection locked="0"/>
    </xf>
    <xf numFmtId="2" fontId="7" fillId="0" borderId="4" xfId="0" applyNumberFormat="1" applyFont="1" applyBorder="1" applyAlignment="1" applyProtection="1">
      <alignment horizontal="center" vertical="center"/>
      <protection locked="0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81" fontId="7" fillId="0" borderId="29" xfId="0" quotePrefix="1" applyNumberFormat="1" applyFont="1" applyBorder="1" applyAlignment="1">
      <alignment horizontal="center" vertical="center"/>
    </xf>
    <xf numFmtId="2" fontId="7" fillId="0" borderId="30" xfId="0" applyNumberFormat="1" applyFont="1" applyBorder="1" applyAlignment="1">
      <alignment horizontal="center" vertical="center"/>
    </xf>
    <xf numFmtId="184" fontId="7" fillId="0" borderId="2" xfId="0" applyNumberFormat="1" applyFont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center" vertical="center" wrapText="1"/>
    </xf>
    <xf numFmtId="1" fontId="7" fillId="0" borderId="2" xfId="0" quotePrefix="1" applyNumberFormat="1" applyFont="1" applyBorder="1" applyAlignment="1" applyProtection="1">
      <alignment horizontal="center" vertical="center"/>
      <protection locked="0"/>
    </xf>
    <xf numFmtId="2" fontId="7" fillId="0" borderId="2" xfId="0" quotePrefix="1" applyNumberFormat="1" applyFont="1" applyBorder="1" applyAlignment="1">
      <alignment horizontal="center" vertical="center"/>
    </xf>
    <xf numFmtId="181" fontId="7" fillId="0" borderId="2" xfId="0" applyNumberFormat="1" applyFont="1" applyBorder="1" applyAlignment="1">
      <alignment vertical="center"/>
    </xf>
    <xf numFmtId="1" fontId="7" fillId="0" borderId="29" xfId="0" applyNumberFormat="1" applyFont="1" applyBorder="1" applyAlignment="1">
      <alignment horizontal="center" vertical="center"/>
    </xf>
    <xf numFmtId="184" fontId="7" fillId="0" borderId="20" xfId="0" applyNumberFormat="1" applyFont="1" applyBorder="1" applyAlignment="1">
      <alignment horizontal="center" vertical="center" wrapText="1"/>
    </xf>
    <xf numFmtId="184" fontId="7" fillId="0" borderId="4" xfId="0" applyNumberFormat="1" applyFont="1" applyBorder="1" applyAlignment="1">
      <alignment horizontal="center" vertical="center" wrapText="1"/>
    </xf>
    <xf numFmtId="181" fontId="7" fillId="0" borderId="20" xfId="0" applyNumberFormat="1" applyFont="1" applyBorder="1" applyAlignment="1">
      <alignment horizontal="center" vertical="center"/>
    </xf>
    <xf numFmtId="181" fontId="7" fillId="0" borderId="40" xfId="0" applyNumberFormat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2" fontId="7" fillId="0" borderId="20" xfId="0" quotePrefix="1" applyNumberFormat="1" applyFont="1" applyBorder="1" applyAlignment="1">
      <alignment horizontal="center" vertical="center"/>
    </xf>
    <xf numFmtId="181" fontId="7" fillId="0" borderId="4" xfId="0" quotePrefix="1" applyNumberFormat="1" applyFont="1" applyBorder="1" applyAlignment="1">
      <alignment horizontal="center" vertical="center"/>
    </xf>
    <xf numFmtId="2" fontId="7" fillId="0" borderId="4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1" fontId="7" fillId="0" borderId="25" xfId="0" applyNumberFormat="1" applyFont="1" applyBorder="1" applyAlignment="1">
      <alignment horizontal="center" vertical="center"/>
    </xf>
    <xf numFmtId="181" fontId="7" fillId="0" borderId="31" xfId="0" applyNumberFormat="1" applyFont="1" applyBorder="1" applyAlignment="1">
      <alignment horizontal="center" vertical="center"/>
    </xf>
    <xf numFmtId="181" fontId="7" fillId="0" borderId="32" xfId="0" applyNumberFormat="1" applyFont="1" applyBorder="1" applyAlignment="1">
      <alignment horizontal="center" vertical="center"/>
    </xf>
    <xf numFmtId="181" fontId="7" fillId="0" borderId="33" xfId="0" applyNumberFormat="1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</cellXfs>
  <cellStyles count="9">
    <cellStyle name="FORM" xfId="1" xr:uid="{39A2949F-5C5C-4A1A-A9CC-875ACF68681C}"/>
    <cellStyle name="Grey" xfId="2" xr:uid="{3A224F01-C8D9-4A03-A445-B1B9425FCC6A}"/>
    <cellStyle name="Input [yellow]" xfId="3" xr:uid="{29C55885-3D26-4E12-A5F6-4EB00B7A3538}"/>
    <cellStyle name="Normal" xfId="0" builtinId="0"/>
    <cellStyle name="Normal - Style1" xfId="4" xr:uid="{02DDFE48-D60B-49D0-8289-D8188EC48613}"/>
    <cellStyle name="Normal 2" xfId="5" xr:uid="{38F16ACD-00F8-452F-A6A1-621DAC968A33}"/>
    <cellStyle name="Normal 3" xfId="6" xr:uid="{6112D901-2AD9-4F00-89AD-430572C3C5E2}"/>
    <cellStyle name="Percent [2]" xfId="7" xr:uid="{38E351E1-2C17-44E9-B968-51627CDF0942}"/>
    <cellStyle name="Times New Roman" xfId="8" xr:uid="{6D96B263-B87B-4E2F-B657-DDA9B2A1B863}"/>
  </cellStyles>
  <dxfs count="105"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pH</a:t>
            </a:r>
          </a:p>
        </c:rich>
      </c:tx>
      <c:layout>
        <c:manualLayout>
          <c:xMode val="edge"/>
          <c:yMode val="edge"/>
          <c:x val="0.47454586458228365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53733981793898"/>
          <c:y val="0.19219275582053483"/>
          <c:w val="0.84716322787231391"/>
          <c:h val="0.48033069748789192"/>
        </c:manualLayout>
      </c:layout>
      <c:lineChart>
        <c:grouping val="standard"/>
        <c:varyColors val="0"/>
        <c:ser>
          <c:idx val="1"/>
          <c:order val="0"/>
          <c:tx>
            <c:v>pH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Process'!$B$5:$B$332</c:f>
              <c:numCache>
                <c:formatCode>0.0</c:formatCode>
                <c:ptCount val="328"/>
                <c:pt idx="0">
                  <c:v>7.22</c:v>
                </c:pt>
                <c:pt idx="1">
                  <c:v>7.02</c:v>
                </c:pt>
                <c:pt idx="2">
                  <c:v>7.09</c:v>
                </c:pt>
                <c:pt idx="3">
                  <c:v>8.01</c:v>
                </c:pt>
                <c:pt idx="4">
                  <c:v>7.6</c:v>
                </c:pt>
                <c:pt idx="5">
                  <c:v>7.8</c:v>
                </c:pt>
                <c:pt idx="6">
                  <c:v>7.99</c:v>
                </c:pt>
                <c:pt idx="7">
                  <c:v>7.67</c:v>
                </c:pt>
                <c:pt idx="8">
                  <c:v>7.73</c:v>
                </c:pt>
                <c:pt idx="9">
                  <c:v>7.31</c:v>
                </c:pt>
                <c:pt idx="10">
                  <c:v>7.83</c:v>
                </c:pt>
                <c:pt idx="11">
                  <c:v>7.68</c:v>
                </c:pt>
                <c:pt idx="12">
                  <c:v>7.59</c:v>
                </c:pt>
                <c:pt idx="13">
                  <c:v>7.28</c:v>
                </c:pt>
                <c:pt idx="14" formatCode="General">
                  <c:v>7.25</c:v>
                </c:pt>
                <c:pt idx="15">
                  <c:v>7.44</c:v>
                </c:pt>
                <c:pt idx="16">
                  <c:v>7.97</c:v>
                </c:pt>
                <c:pt idx="17">
                  <c:v>7.73</c:v>
                </c:pt>
                <c:pt idx="18">
                  <c:v>7.78</c:v>
                </c:pt>
                <c:pt idx="19">
                  <c:v>7.56</c:v>
                </c:pt>
                <c:pt idx="20">
                  <c:v>7.23</c:v>
                </c:pt>
                <c:pt idx="21">
                  <c:v>7.34</c:v>
                </c:pt>
                <c:pt idx="22" formatCode="General">
                  <c:v>6.98</c:v>
                </c:pt>
                <c:pt idx="23" formatCode="General">
                  <c:v>7.59</c:v>
                </c:pt>
                <c:pt idx="24">
                  <c:v>8.39</c:v>
                </c:pt>
                <c:pt idx="25">
                  <c:v>8.17</c:v>
                </c:pt>
                <c:pt idx="26">
                  <c:v>7.15</c:v>
                </c:pt>
                <c:pt idx="27">
                  <c:v>7.76</c:v>
                </c:pt>
                <c:pt idx="28">
                  <c:v>7.21</c:v>
                </c:pt>
                <c:pt idx="29">
                  <c:v>7.6</c:v>
                </c:pt>
                <c:pt idx="30">
                  <c:v>7.34</c:v>
                </c:pt>
                <c:pt idx="31">
                  <c:v>7.63</c:v>
                </c:pt>
                <c:pt idx="32">
                  <c:v>7.46</c:v>
                </c:pt>
                <c:pt idx="33">
                  <c:v>7.36</c:v>
                </c:pt>
                <c:pt idx="34">
                  <c:v>7.43</c:v>
                </c:pt>
                <c:pt idx="35">
                  <c:v>7.83</c:v>
                </c:pt>
                <c:pt idx="36">
                  <c:v>7.44</c:v>
                </c:pt>
                <c:pt idx="37">
                  <c:v>7.66</c:v>
                </c:pt>
                <c:pt idx="38">
                  <c:v>7.6</c:v>
                </c:pt>
                <c:pt idx="39">
                  <c:v>7.73</c:v>
                </c:pt>
                <c:pt idx="40">
                  <c:v>7.77</c:v>
                </c:pt>
                <c:pt idx="41">
                  <c:v>7.82</c:v>
                </c:pt>
                <c:pt idx="42">
                  <c:v>8.02</c:v>
                </c:pt>
                <c:pt idx="43">
                  <c:v>7.35</c:v>
                </c:pt>
                <c:pt idx="44">
                  <c:v>8.1199999999999992</c:v>
                </c:pt>
                <c:pt idx="45">
                  <c:v>7.47</c:v>
                </c:pt>
                <c:pt idx="46">
                  <c:v>7.99</c:v>
                </c:pt>
                <c:pt idx="47">
                  <c:v>8.1999999999999993</c:v>
                </c:pt>
                <c:pt idx="48">
                  <c:v>7.75</c:v>
                </c:pt>
                <c:pt idx="49">
                  <c:v>7.18</c:v>
                </c:pt>
                <c:pt idx="50">
                  <c:v>8.0399999999999991</c:v>
                </c:pt>
                <c:pt idx="51">
                  <c:v>7.82</c:v>
                </c:pt>
                <c:pt idx="52">
                  <c:v>7.96</c:v>
                </c:pt>
                <c:pt idx="53">
                  <c:v>7.65</c:v>
                </c:pt>
                <c:pt idx="54">
                  <c:v>7.79</c:v>
                </c:pt>
                <c:pt idx="55">
                  <c:v>7.39</c:v>
                </c:pt>
                <c:pt idx="56">
                  <c:v>7.67</c:v>
                </c:pt>
                <c:pt idx="57">
                  <c:v>7.96</c:v>
                </c:pt>
                <c:pt idx="58">
                  <c:v>7.96</c:v>
                </c:pt>
                <c:pt idx="59">
                  <c:v>7.81</c:v>
                </c:pt>
                <c:pt idx="60">
                  <c:v>7.89</c:v>
                </c:pt>
                <c:pt idx="61">
                  <c:v>7.99</c:v>
                </c:pt>
                <c:pt idx="62">
                  <c:v>8.25</c:v>
                </c:pt>
                <c:pt idx="63">
                  <c:v>7.61</c:v>
                </c:pt>
                <c:pt idx="64">
                  <c:v>8</c:v>
                </c:pt>
                <c:pt idx="65">
                  <c:v>8.2200000000000006</c:v>
                </c:pt>
                <c:pt idx="66">
                  <c:v>7.99</c:v>
                </c:pt>
                <c:pt idx="67">
                  <c:v>7.84</c:v>
                </c:pt>
                <c:pt idx="68">
                  <c:v>8.1300000000000008</c:v>
                </c:pt>
                <c:pt idx="69">
                  <c:v>8</c:v>
                </c:pt>
                <c:pt idx="70">
                  <c:v>8.16</c:v>
                </c:pt>
                <c:pt idx="71">
                  <c:v>8.1</c:v>
                </c:pt>
                <c:pt idx="72">
                  <c:v>8.07</c:v>
                </c:pt>
                <c:pt idx="73">
                  <c:v>7.81</c:v>
                </c:pt>
                <c:pt idx="74">
                  <c:v>8</c:v>
                </c:pt>
                <c:pt idx="75" formatCode="General">
                  <c:v>7.85</c:v>
                </c:pt>
                <c:pt idx="76">
                  <c:v>7.83</c:v>
                </c:pt>
                <c:pt idx="77">
                  <c:v>7.81</c:v>
                </c:pt>
                <c:pt idx="78">
                  <c:v>7.52</c:v>
                </c:pt>
                <c:pt idx="79">
                  <c:v>7.69</c:v>
                </c:pt>
                <c:pt idx="80">
                  <c:v>7.83</c:v>
                </c:pt>
                <c:pt idx="81">
                  <c:v>7.64</c:v>
                </c:pt>
                <c:pt idx="82">
                  <c:v>7.57</c:v>
                </c:pt>
                <c:pt idx="83">
                  <c:v>8.07</c:v>
                </c:pt>
                <c:pt idx="84">
                  <c:v>7.84</c:v>
                </c:pt>
                <c:pt idx="85">
                  <c:v>8.17</c:v>
                </c:pt>
                <c:pt idx="86">
                  <c:v>8.52</c:v>
                </c:pt>
                <c:pt idx="87">
                  <c:v>7.65</c:v>
                </c:pt>
                <c:pt idx="88">
                  <c:v>7.87</c:v>
                </c:pt>
                <c:pt idx="89">
                  <c:v>7.56</c:v>
                </c:pt>
                <c:pt idx="90">
                  <c:v>7.75</c:v>
                </c:pt>
                <c:pt idx="91">
                  <c:v>7.24</c:v>
                </c:pt>
                <c:pt idx="92">
                  <c:v>6.92</c:v>
                </c:pt>
                <c:pt idx="93">
                  <c:v>7.63</c:v>
                </c:pt>
                <c:pt idx="94">
                  <c:v>8.84</c:v>
                </c:pt>
                <c:pt idx="95">
                  <c:v>7.53</c:v>
                </c:pt>
                <c:pt idx="96">
                  <c:v>7.08</c:v>
                </c:pt>
                <c:pt idx="97">
                  <c:v>7.7</c:v>
                </c:pt>
                <c:pt idx="98">
                  <c:v>8.41</c:v>
                </c:pt>
                <c:pt idx="99">
                  <c:v>7.11</c:v>
                </c:pt>
                <c:pt idx="100">
                  <c:v>7.79</c:v>
                </c:pt>
                <c:pt idx="101">
                  <c:v>8.0399999999999991</c:v>
                </c:pt>
                <c:pt idx="102">
                  <c:v>7.83</c:v>
                </c:pt>
                <c:pt idx="103">
                  <c:v>7.8</c:v>
                </c:pt>
                <c:pt idx="104">
                  <c:v>8.02</c:v>
                </c:pt>
                <c:pt idx="105">
                  <c:v>8.59</c:v>
                </c:pt>
                <c:pt idx="106">
                  <c:v>7.99</c:v>
                </c:pt>
                <c:pt idx="107">
                  <c:v>7.77</c:v>
                </c:pt>
                <c:pt idx="108">
                  <c:v>7.85</c:v>
                </c:pt>
                <c:pt idx="109">
                  <c:v>7.74</c:v>
                </c:pt>
                <c:pt idx="110">
                  <c:v>8.08</c:v>
                </c:pt>
                <c:pt idx="111">
                  <c:v>7.65</c:v>
                </c:pt>
                <c:pt idx="112">
                  <c:v>8.14</c:v>
                </c:pt>
                <c:pt idx="113">
                  <c:v>8.4</c:v>
                </c:pt>
                <c:pt idx="114">
                  <c:v>8.0299999999999994</c:v>
                </c:pt>
                <c:pt idx="115">
                  <c:v>8.43</c:v>
                </c:pt>
                <c:pt idx="116">
                  <c:v>7.96</c:v>
                </c:pt>
                <c:pt idx="117">
                  <c:v>7.25</c:v>
                </c:pt>
                <c:pt idx="118">
                  <c:v>8.68</c:v>
                </c:pt>
                <c:pt idx="119">
                  <c:v>7.98</c:v>
                </c:pt>
                <c:pt idx="120">
                  <c:v>7.83</c:v>
                </c:pt>
                <c:pt idx="121">
                  <c:v>7.72</c:v>
                </c:pt>
                <c:pt idx="122">
                  <c:v>7.31</c:v>
                </c:pt>
                <c:pt idx="123">
                  <c:v>7.98</c:v>
                </c:pt>
                <c:pt idx="124">
                  <c:v>7.48</c:v>
                </c:pt>
                <c:pt idx="125">
                  <c:v>7.31</c:v>
                </c:pt>
                <c:pt idx="126">
                  <c:v>8.1</c:v>
                </c:pt>
                <c:pt idx="127">
                  <c:v>7.9</c:v>
                </c:pt>
                <c:pt idx="128">
                  <c:v>7.9</c:v>
                </c:pt>
                <c:pt idx="129">
                  <c:v>8.08</c:v>
                </c:pt>
                <c:pt idx="130">
                  <c:v>7.88</c:v>
                </c:pt>
                <c:pt idx="131">
                  <c:v>7.97</c:v>
                </c:pt>
                <c:pt idx="132">
                  <c:v>7.96</c:v>
                </c:pt>
                <c:pt idx="133">
                  <c:v>7.98</c:v>
                </c:pt>
                <c:pt idx="134">
                  <c:v>7.87</c:v>
                </c:pt>
                <c:pt idx="135">
                  <c:v>8.17</c:v>
                </c:pt>
                <c:pt idx="136">
                  <c:v>8.0299999999999994</c:v>
                </c:pt>
                <c:pt idx="137">
                  <c:v>8.0500000000000007</c:v>
                </c:pt>
                <c:pt idx="138">
                  <c:v>8.2799999999999994</c:v>
                </c:pt>
                <c:pt idx="139">
                  <c:v>7.94</c:v>
                </c:pt>
                <c:pt idx="140">
                  <c:v>8.35</c:v>
                </c:pt>
                <c:pt idx="141">
                  <c:v>8.23</c:v>
                </c:pt>
                <c:pt idx="142">
                  <c:v>7.85</c:v>
                </c:pt>
                <c:pt idx="143">
                  <c:v>7.88</c:v>
                </c:pt>
                <c:pt idx="144">
                  <c:v>7.95</c:v>
                </c:pt>
                <c:pt idx="145">
                  <c:v>8.1999999999999993</c:v>
                </c:pt>
                <c:pt idx="146">
                  <c:v>8.14</c:v>
                </c:pt>
                <c:pt idx="147">
                  <c:v>7.86</c:v>
                </c:pt>
                <c:pt idx="148">
                  <c:v>7.77</c:v>
                </c:pt>
                <c:pt idx="149">
                  <c:v>8.15</c:v>
                </c:pt>
                <c:pt idx="150">
                  <c:v>8.6999999999999993</c:v>
                </c:pt>
                <c:pt idx="151">
                  <c:v>8.1300000000000008</c:v>
                </c:pt>
                <c:pt idx="152">
                  <c:v>8.0500000000000007</c:v>
                </c:pt>
                <c:pt idx="153">
                  <c:v>8.2799999999999994</c:v>
                </c:pt>
                <c:pt idx="154">
                  <c:v>7.94</c:v>
                </c:pt>
                <c:pt idx="155">
                  <c:v>7.88</c:v>
                </c:pt>
                <c:pt idx="156">
                  <c:v>8.07</c:v>
                </c:pt>
                <c:pt idx="157">
                  <c:v>7.35</c:v>
                </c:pt>
                <c:pt idx="158">
                  <c:v>8.2899999999999991</c:v>
                </c:pt>
                <c:pt idx="159">
                  <c:v>7.77</c:v>
                </c:pt>
                <c:pt idx="160">
                  <c:v>7.86</c:v>
                </c:pt>
                <c:pt idx="161">
                  <c:v>7.76</c:v>
                </c:pt>
                <c:pt idx="162">
                  <c:v>8</c:v>
                </c:pt>
                <c:pt idx="163">
                  <c:v>8.1199999999999992</c:v>
                </c:pt>
                <c:pt idx="164">
                  <c:v>7.8</c:v>
                </c:pt>
                <c:pt idx="165">
                  <c:v>7.8</c:v>
                </c:pt>
                <c:pt idx="166">
                  <c:v>8.1199999999999992</c:v>
                </c:pt>
                <c:pt idx="167">
                  <c:v>8.16</c:v>
                </c:pt>
                <c:pt idx="168">
                  <c:v>8.02</c:v>
                </c:pt>
                <c:pt idx="169">
                  <c:v>8.2200000000000006</c:v>
                </c:pt>
                <c:pt idx="170">
                  <c:v>8.17</c:v>
                </c:pt>
                <c:pt idx="171">
                  <c:v>8.36</c:v>
                </c:pt>
                <c:pt idx="172">
                  <c:v>8.3800000000000008</c:v>
                </c:pt>
                <c:pt idx="173">
                  <c:v>8.4600000000000009</c:v>
                </c:pt>
                <c:pt idx="174">
                  <c:v>8.15</c:v>
                </c:pt>
                <c:pt idx="175">
                  <c:v>8.33</c:v>
                </c:pt>
                <c:pt idx="176">
                  <c:v>8.31</c:v>
                </c:pt>
                <c:pt idx="177">
                  <c:v>8.0399999999999991</c:v>
                </c:pt>
                <c:pt idx="178">
                  <c:v>8.14</c:v>
                </c:pt>
                <c:pt idx="179">
                  <c:v>8.1300000000000008</c:v>
                </c:pt>
                <c:pt idx="180">
                  <c:v>0</c:v>
                </c:pt>
                <c:pt idx="181">
                  <c:v>0</c:v>
                </c:pt>
                <c:pt idx="182">
                  <c:v>7.61</c:v>
                </c:pt>
                <c:pt idx="183">
                  <c:v>7.96</c:v>
                </c:pt>
                <c:pt idx="184">
                  <c:v>7.91</c:v>
                </c:pt>
                <c:pt idx="185">
                  <c:v>7.45</c:v>
                </c:pt>
                <c:pt idx="186">
                  <c:v>8.2200000000000006</c:v>
                </c:pt>
                <c:pt idx="187">
                  <c:v>8.39</c:v>
                </c:pt>
                <c:pt idx="188">
                  <c:v>8.0500000000000007</c:v>
                </c:pt>
                <c:pt idx="189">
                  <c:v>8.23</c:v>
                </c:pt>
                <c:pt idx="190">
                  <c:v>8.16</c:v>
                </c:pt>
                <c:pt idx="191">
                  <c:v>7.88</c:v>
                </c:pt>
                <c:pt idx="192">
                  <c:v>8.23</c:v>
                </c:pt>
                <c:pt idx="193">
                  <c:v>7.95</c:v>
                </c:pt>
                <c:pt idx="194">
                  <c:v>7.81</c:v>
                </c:pt>
                <c:pt idx="195">
                  <c:v>7.79</c:v>
                </c:pt>
                <c:pt idx="196">
                  <c:v>8.0399999999999991</c:v>
                </c:pt>
                <c:pt idx="197">
                  <c:v>8.1</c:v>
                </c:pt>
                <c:pt idx="198">
                  <c:v>8.39</c:v>
                </c:pt>
                <c:pt idx="199">
                  <c:v>8.1999999999999993</c:v>
                </c:pt>
                <c:pt idx="200">
                  <c:v>8.2100000000000009</c:v>
                </c:pt>
                <c:pt idx="201">
                  <c:v>8.2100000000000009</c:v>
                </c:pt>
                <c:pt idx="202">
                  <c:v>7.29</c:v>
                </c:pt>
                <c:pt idx="203">
                  <c:v>8.5299999999999994</c:v>
                </c:pt>
                <c:pt idx="204">
                  <c:v>8.3800000000000008</c:v>
                </c:pt>
                <c:pt idx="205">
                  <c:v>8.4600000000000009</c:v>
                </c:pt>
                <c:pt idx="206">
                  <c:v>8.41</c:v>
                </c:pt>
                <c:pt idx="207">
                  <c:v>8.65</c:v>
                </c:pt>
                <c:pt idx="208">
                  <c:v>8.08</c:v>
                </c:pt>
                <c:pt idx="209">
                  <c:v>7.26</c:v>
                </c:pt>
                <c:pt idx="210">
                  <c:v>8.1199999999999992</c:v>
                </c:pt>
                <c:pt idx="211">
                  <c:v>8.15</c:v>
                </c:pt>
                <c:pt idx="212">
                  <c:v>8.56</c:v>
                </c:pt>
                <c:pt idx="213">
                  <c:v>8.1</c:v>
                </c:pt>
                <c:pt idx="214">
                  <c:v>7.68</c:v>
                </c:pt>
                <c:pt idx="215">
                  <c:v>7.98</c:v>
                </c:pt>
                <c:pt idx="216">
                  <c:v>6.96</c:v>
                </c:pt>
                <c:pt idx="217">
                  <c:v>8.14</c:v>
                </c:pt>
                <c:pt idx="218">
                  <c:v>8.18</c:v>
                </c:pt>
                <c:pt idx="219">
                  <c:v>8.02</c:v>
                </c:pt>
                <c:pt idx="220">
                  <c:v>7.34</c:v>
                </c:pt>
                <c:pt idx="221">
                  <c:v>7.87</c:v>
                </c:pt>
                <c:pt idx="222">
                  <c:v>8.19</c:v>
                </c:pt>
                <c:pt idx="223">
                  <c:v>7.95</c:v>
                </c:pt>
                <c:pt idx="224">
                  <c:v>7.89</c:v>
                </c:pt>
                <c:pt idx="225">
                  <c:v>7.84</c:v>
                </c:pt>
                <c:pt idx="226">
                  <c:v>8.1</c:v>
                </c:pt>
                <c:pt idx="227">
                  <c:v>8.06</c:v>
                </c:pt>
                <c:pt idx="228">
                  <c:v>8.01</c:v>
                </c:pt>
                <c:pt idx="229">
                  <c:v>7.83</c:v>
                </c:pt>
                <c:pt idx="230">
                  <c:v>7.71</c:v>
                </c:pt>
                <c:pt idx="231">
                  <c:v>7.7</c:v>
                </c:pt>
                <c:pt idx="232">
                  <c:v>7.58</c:v>
                </c:pt>
                <c:pt idx="233">
                  <c:v>7.71</c:v>
                </c:pt>
                <c:pt idx="234">
                  <c:v>7.92</c:v>
                </c:pt>
                <c:pt idx="235">
                  <c:v>7.95</c:v>
                </c:pt>
                <c:pt idx="236">
                  <c:v>7.8</c:v>
                </c:pt>
                <c:pt idx="237">
                  <c:v>7.77</c:v>
                </c:pt>
                <c:pt idx="238">
                  <c:v>8.16</c:v>
                </c:pt>
                <c:pt idx="239">
                  <c:v>8.0500000000000007</c:v>
                </c:pt>
                <c:pt idx="240">
                  <c:v>7.73</c:v>
                </c:pt>
                <c:pt idx="241">
                  <c:v>7.66</c:v>
                </c:pt>
                <c:pt idx="242">
                  <c:v>7.93</c:v>
                </c:pt>
                <c:pt idx="243">
                  <c:v>7.51</c:v>
                </c:pt>
                <c:pt idx="244">
                  <c:v>7.81</c:v>
                </c:pt>
                <c:pt idx="245">
                  <c:v>7.64</c:v>
                </c:pt>
                <c:pt idx="246">
                  <c:v>7.84</c:v>
                </c:pt>
                <c:pt idx="247">
                  <c:v>7.4</c:v>
                </c:pt>
                <c:pt idx="248">
                  <c:v>7.36</c:v>
                </c:pt>
                <c:pt idx="249">
                  <c:v>7.22</c:v>
                </c:pt>
                <c:pt idx="250">
                  <c:v>7.52</c:v>
                </c:pt>
                <c:pt idx="251">
                  <c:v>7.26</c:v>
                </c:pt>
                <c:pt idx="252">
                  <c:v>7.37</c:v>
                </c:pt>
                <c:pt idx="253">
                  <c:v>7.02</c:v>
                </c:pt>
                <c:pt idx="254">
                  <c:v>7.05</c:v>
                </c:pt>
                <c:pt idx="255">
                  <c:v>7.55</c:v>
                </c:pt>
                <c:pt idx="256">
                  <c:v>6.76</c:v>
                </c:pt>
                <c:pt idx="257">
                  <c:v>7.25</c:v>
                </c:pt>
                <c:pt idx="258">
                  <c:v>7.4</c:v>
                </c:pt>
                <c:pt idx="259">
                  <c:v>7.08</c:v>
                </c:pt>
                <c:pt idx="260">
                  <c:v>7.75</c:v>
                </c:pt>
                <c:pt idx="261">
                  <c:v>7.6</c:v>
                </c:pt>
                <c:pt idx="262">
                  <c:v>7.6</c:v>
                </c:pt>
                <c:pt idx="263">
                  <c:v>7.6</c:v>
                </c:pt>
                <c:pt idx="264">
                  <c:v>8.1</c:v>
                </c:pt>
                <c:pt idx="265">
                  <c:v>8.3000000000000007</c:v>
                </c:pt>
                <c:pt idx="266">
                  <c:v>8.77</c:v>
                </c:pt>
                <c:pt idx="267">
                  <c:v>8.2200000000000006</c:v>
                </c:pt>
                <c:pt idx="268">
                  <c:v>7.56</c:v>
                </c:pt>
                <c:pt idx="269">
                  <c:v>7.45</c:v>
                </c:pt>
                <c:pt idx="270">
                  <c:v>6.22</c:v>
                </c:pt>
                <c:pt idx="271">
                  <c:v>7.25</c:v>
                </c:pt>
                <c:pt idx="272">
                  <c:v>7.18</c:v>
                </c:pt>
                <c:pt idx="273">
                  <c:v>7.82</c:v>
                </c:pt>
                <c:pt idx="274">
                  <c:v>7.3</c:v>
                </c:pt>
                <c:pt idx="275">
                  <c:v>7.59</c:v>
                </c:pt>
                <c:pt idx="276">
                  <c:v>7.93</c:v>
                </c:pt>
                <c:pt idx="277">
                  <c:v>7.25</c:v>
                </c:pt>
                <c:pt idx="278">
                  <c:v>7.89</c:v>
                </c:pt>
                <c:pt idx="279">
                  <c:v>7.67</c:v>
                </c:pt>
                <c:pt idx="280">
                  <c:v>7.74</c:v>
                </c:pt>
                <c:pt idx="281">
                  <c:v>7.59</c:v>
                </c:pt>
                <c:pt idx="282">
                  <c:v>7.9</c:v>
                </c:pt>
                <c:pt idx="283">
                  <c:v>7.93</c:v>
                </c:pt>
                <c:pt idx="284">
                  <c:v>8.0299999999999994</c:v>
                </c:pt>
                <c:pt idx="285">
                  <c:v>7.67</c:v>
                </c:pt>
                <c:pt idx="286">
                  <c:v>7.86</c:v>
                </c:pt>
                <c:pt idx="287">
                  <c:v>6.47</c:v>
                </c:pt>
                <c:pt idx="288">
                  <c:v>7.98</c:v>
                </c:pt>
                <c:pt idx="289">
                  <c:v>8.14</c:v>
                </c:pt>
                <c:pt idx="290">
                  <c:v>7.98</c:v>
                </c:pt>
                <c:pt idx="291">
                  <c:v>7.68</c:v>
                </c:pt>
                <c:pt idx="292">
                  <c:v>8.11</c:v>
                </c:pt>
                <c:pt idx="293">
                  <c:v>8.1</c:v>
                </c:pt>
                <c:pt idx="294">
                  <c:v>7.73</c:v>
                </c:pt>
                <c:pt idx="295">
                  <c:v>7.29</c:v>
                </c:pt>
                <c:pt idx="296">
                  <c:v>7.88</c:v>
                </c:pt>
                <c:pt idx="297">
                  <c:v>7.41</c:v>
                </c:pt>
                <c:pt idx="298">
                  <c:v>7.53</c:v>
                </c:pt>
                <c:pt idx="299">
                  <c:v>7.94</c:v>
                </c:pt>
                <c:pt idx="300">
                  <c:v>0</c:v>
                </c:pt>
                <c:pt idx="301">
                  <c:v>8.18</c:v>
                </c:pt>
                <c:pt idx="302">
                  <c:v>7.75</c:v>
                </c:pt>
                <c:pt idx="303" formatCode="General">
                  <c:v>7.98</c:v>
                </c:pt>
                <c:pt idx="304">
                  <c:v>7.56</c:v>
                </c:pt>
                <c:pt idx="305">
                  <c:v>7.62</c:v>
                </c:pt>
                <c:pt idx="306">
                  <c:v>7.48</c:v>
                </c:pt>
                <c:pt idx="307">
                  <c:v>7.8</c:v>
                </c:pt>
                <c:pt idx="308">
                  <c:v>7.8</c:v>
                </c:pt>
                <c:pt idx="309">
                  <c:v>7.38</c:v>
                </c:pt>
                <c:pt idx="310">
                  <c:v>7.22</c:v>
                </c:pt>
                <c:pt idx="311">
                  <c:v>8.14</c:v>
                </c:pt>
                <c:pt idx="312">
                  <c:v>7.98</c:v>
                </c:pt>
                <c:pt idx="313">
                  <c:v>7.68</c:v>
                </c:pt>
                <c:pt idx="314">
                  <c:v>8.26</c:v>
                </c:pt>
                <c:pt idx="315">
                  <c:v>7.81</c:v>
                </c:pt>
                <c:pt idx="316">
                  <c:v>8.25</c:v>
                </c:pt>
                <c:pt idx="317">
                  <c:v>7.53</c:v>
                </c:pt>
                <c:pt idx="318">
                  <c:v>8.1300000000000008</c:v>
                </c:pt>
                <c:pt idx="319">
                  <c:v>8.2200000000000006</c:v>
                </c:pt>
                <c:pt idx="320">
                  <c:v>7.94</c:v>
                </c:pt>
                <c:pt idx="321">
                  <c:v>7.92</c:v>
                </c:pt>
                <c:pt idx="322">
                  <c:v>8.18</c:v>
                </c:pt>
                <c:pt idx="323">
                  <c:v>7.99</c:v>
                </c:pt>
                <c:pt idx="324">
                  <c:v>8.01</c:v>
                </c:pt>
                <c:pt idx="325">
                  <c:v>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E-400C-8157-B7023949E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914671"/>
        <c:axId val="1"/>
      </c:lineChart>
      <c:catAx>
        <c:axId val="186091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7818221077027162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4.5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9"/>
          <c:min val="6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pH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4241244844394450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914671"/>
        <c:crosses val="autoZero"/>
        <c:crossBetween val="between"/>
        <c:majorUnit val="0.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Turbidity</a:t>
            </a:r>
          </a:p>
        </c:rich>
      </c:tx>
      <c:layout>
        <c:manualLayout>
          <c:xMode val="edge"/>
          <c:yMode val="edge"/>
          <c:x val="0.42545499911231388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18219518388143"/>
          <c:y val="0.19879561928391631"/>
          <c:w val="0.83260715866488577"/>
          <c:h val="0.487300023650628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Process'!$C$5:$C$332</c:f>
              <c:numCache>
                <c:formatCode>0</c:formatCode>
                <c:ptCount val="328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15</c:v>
                </c:pt>
                <c:pt idx="4">
                  <c:v>11</c:v>
                </c:pt>
                <c:pt idx="5">
                  <c:v>19</c:v>
                </c:pt>
                <c:pt idx="6">
                  <c:v>28</c:v>
                </c:pt>
                <c:pt idx="7">
                  <c:v>16</c:v>
                </c:pt>
                <c:pt idx="8">
                  <c:v>31</c:v>
                </c:pt>
                <c:pt idx="9">
                  <c:v>20</c:v>
                </c:pt>
                <c:pt idx="10">
                  <c:v>17</c:v>
                </c:pt>
                <c:pt idx="11">
                  <c:v>19</c:v>
                </c:pt>
                <c:pt idx="12">
                  <c:v>13</c:v>
                </c:pt>
                <c:pt idx="13">
                  <c:v>15</c:v>
                </c:pt>
                <c:pt idx="14" formatCode="General">
                  <c:v>17</c:v>
                </c:pt>
                <c:pt idx="15" formatCode="General">
                  <c:v>14</c:v>
                </c:pt>
                <c:pt idx="16" formatCode="General">
                  <c:v>21</c:v>
                </c:pt>
                <c:pt idx="17" formatCode="General">
                  <c:v>33</c:v>
                </c:pt>
                <c:pt idx="18" formatCode="General">
                  <c:v>24</c:v>
                </c:pt>
                <c:pt idx="19" formatCode="General">
                  <c:v>23</c:v>
                </c:pt>
                <c:pt idx="20" formatCode="General">
                  <c:v>19</c:v>
                </c:pt>
                <c:pt idx="21" formatCode="General">
                  <c:v>21</c:v>
                </c:pt>
                <c:pt idx="22" formatCode="General">
                  <c:v>22</c:v>
                </c:pt>
                <c:pt idx="23" formatCode="General">
                  <c:v>16</c:v>
                </c:pt>
                <c:pt idx="24">
                  <c:v>12</c:v>
                </c:pt>
                <c:pt idx="25">
                  <c:v>12</c:v>
                </c:pt>
                <c:pt idx="26">
                  <c:v>21</c:v>
                </c:pt>
                <c:pt idx="27">
                  <c:v>24</c:v>
                </c:pt>
                <c:pt idx="28">
                  <c:v>20</c:v>
                </c:pt>
                <c:pt idx="29">
                  <c:v>20</c:v>
                </c:pt>
                <c:pt idx="30">
                  <c:v>34</c:v>
                </c:pt>
                <c:pt idx="31">
                  <c:v>45</c:v>
                </c:pt>
                <c:pt idx="32">
                  <c:v>32</c:v>
                </c:pt>
                <c:pt idx="33">
                  <c:v>28</c:v>
                </c:pt>
                <c:pt idx="34">
                  <c:v>29</c:v>
                </c:pt>
                <c:pt idx="35">
                  <c:v>22</c:v>
                </c:pt>
                <c:pt idx="36">
                  <c:v>23</c:v>
                </c:pt>
                <c:pt idx="37">
                  <c:v>25</c:v>
                </c:pt>
                <c:pt idx="38">
                  <c:v>30</c:v>
                </c:pt>
                <c:pt idx="39">
                  <c:v>24</c:v>
                </c:pt>
                <c:pt idx="40">
                  <c:v>26</c:v>
                </c:pt>
                <c:pt idx="41">
                  <c:v>36</c:v>
                </c:pt>
                <c:pt idx="42" formatCode="General">
                  <c:v>25</c:v>
                </c:pt>
                <c:pt idx="43" formatCode="General">
                  <c:v>24</c:v>
                </c:pt>
                <c:pt idx="44" formatCode="General">
                  <c:v>45</c:v>
                </c:pt>
                <c:pt idx="45" formatCode="General">
                  <c:v>44</c:v>
                </c:pt>
                <c:pt idx="46" formatCode="General">
                  <c:v>58</c:v>
                </c:pt>
                <c:pt idx="47" formatCode="General">
                  <c:v>34</c:v>
                </c:pt>
                <c:pt idx="48" formatCode="General">
                  <c:v>19</c:v>
                </c:pt>
                <c:pt idx="49">
                  <c:v>15</c:v>
                </c:pt>
                <c:pt idx="50">
                  <c:v>17</c:v>
                </c:pt>
                <c:pt idx="51">
                  <c:v>17</c:v>
                </c:pt>
                <c:pt idx="52">
                  <c:v>20</c:v>
                </c:pt>
                <c:pt idx="53">
                  <c:v>15</c:v>
                </c:pt>
                <c:pt idx="54">
                  <c:v>18</c:v>
                </c:pt>
                <c:pt idx="55">
                  <c:v>34</c:v>
                </c:pt>
                <c:pt idx="56">
                  <c:v>19</c:v>
                </c:pt>
                <c:pt idx="57">
                  <c:v>21</c:v>
                </c:pt>
                <c:pt idx="58">
                  <c:v>17</c:v>
                </c:pt>
                <c:pt idx="59">
                  <c:v>19</c:v>
                </c:pt>
                <c:pt idx="60">
                  <c:v>22</c:v>
                </c:pt>
                <c:pt idx="61">
                  <c:v>22</c:v>
                </c:pt>
                <c:pt idx="62">
                  <c:v>17</c:v>
                </c:pt>
                <c:pt idx="63">
                  <c:v>15</c:v>
                </c:pt>
                <c:pt idx="64">
                  <c:v>23</c:v>
                </c:pt>
                <c:pt idx="65">
                  <c:v>26</c:v>
                </c:pt>
                <c:pt idx="66">
                  <c:v>22</c:v>
                </c:pt>
                <c:pt idx="67" formatCode="General">
                  <c:v>16</c:v>
                </c:pt>
                <c:pt idx="68" formatCode="General">
                  <c:v>16</c:v>
                </c:pt>
                <c:pt idx="69" formatCode="General">
                  <c:v>14</c:v>
                </c:pt>
                <c:pt idx="70" formatCode="General">
                  <c:v>16</c:v>
                </c:pt>
                <c:pt idx="71" formatCode="General">
                  <c:v>15</c:v>
                </c:pt>
                <c:pt idx="72" formatCode="General">
                  <c:v>15</c:v>
                </c:pt>
                <c:pt idx="73" formatCode="General">
                  <c:v>18</c:v>
                </c:pt>
                <c:pt idx="74" formatCode="General">
                  <c:v>18</c:v>
                </c:pt>
                <c:pt idx="75" formatCode="General">
                  <c:v>16</c:v>
                </c:pt>
                <c:pt idx="76">
                  <c:v>17</c:v>
                </c:pt>
                <c:pt idx="77">
                  <c:v>17</c:v>
                </c:pt>
                <c:pt idx="78">
                  <c:v>16</c:v>
                </c:pt>
                <c:pt idx="79">
                  <c:v>19</c:v>
                </c:pt>
                <c:pt idx="80">
                  <c:v>19</c:v>
                </c:pt>
                <c:pt idx="81">
                  <c:v>12</c:v>
                </c:pt>
                <c:pt idx="82">
                  <c:v>15</c:v>
                </c:pt>
                <c:pt idx="83">
                  <c:v>15</c:v>
                </c:pt>
                <c:pt idx="84">
                  <c:v>20</c:v>
                </c:pt>
                <c:pt idx="85">
                  <c:v>19</c:v>
                </c:pt>
                <c:pt idx="86">
                  <c:v>17</c:v>
                </c:pt>
                <c:pt idx="87">
                  <c:v>17</c:v>
                </c:pt>
                <c:pt idx="88">
                  <c:v>18</c:v>
                </c:pt>
                <c:pt idx="89">
                  <c:v>16</c:v>
                </c:pt>
                <c:pt idx="90">
                  <c:v>14</c:v>
                </c:pt>
                <c:pt idx="91">
                  <c:v>16</c:v>
                </c:pt>
                <c:pt idx="92">
                  <c:v>18</c:v>
                </c:pt>
                <c:pt idx="93">
                  <c:v>18</c:v>
                </c:pt>
                <c:pt idx="94" formatCode="General">
                  <c:v>15</c:v>
                </c:pt>
                <c:pt idx="95" formatCode="General">
                  <c:v>18</c:v>
                </c:pt>
                <c:pt idx="96" formatCode="General">
                  <c:v>16</c:v>
                </c:pt>
                <c:pt idx="97" formatCode="General">
                  <c:v>15</c:v>
                </c:pt>
                <c:pt idx="98" formatCode="General">
                  <c:v>18</c:v>
                </c:pt>
                <c:pt idx="99" formatCode="General">
                  <c:v>15</c:v>
                </c:pt>
                <c:pt idx="100">
                  <c:v>25</c:v>
                </c:pt>
                <c:pt idx="101">
                  <c:v>15</c:v>
                </c:pt>
                <c:pt idx="102">
                  <c:v>26</c:v>
                </c:pt>
                <c:pt idx="103">
                  <c:v>21</c:v>
                </c:pt>
                <c:pt idx="104">
                  <c:v>21</c:v>
                </c:pt>
                <c:pt idx="105">
                  <c:v>5</c:v>
                </c:pt>
                <c:pt idx="106">
                  <c:v>30</c:v>
                </c:pt>
                <c:pt idx="107">
                  <c:v>32</c:v>
                </c:pt>
                <c:pt idx="108">
                  <c:v>34</c:v>
                </c:pt>
                <c:pt idx="109">
                  <c:v>28</c:v>
                </c:pt>
                <c:pt idx="110">
                  <c:v>27</c:v>
                </c:pt>
                <c:pt idx="111">
                  <c:v>39</c:v>
                </c:pt>
                <c:pt idx="112">
                  <c:v>27</c:v>
                </c:pt>
                <c:pt idx="113">
                  <c:v>30</c:v>
                </c:pt>
                <c:pt idx="114">
                  <c:v>19</c:v>
                </c:pt>
                <c:pt idx="115">
                  <c:v>23</c:v>
                </c:pt>
                <c:pt idx="116">
                  <c:v>18</c:v>
                </c:pt>
                <c:pt idx="117">
                  <c:v>22</c:v>
                </c:pt>
                <c:pt idx="118" formatCode="General">
                  <c:v>27</c:v>
                </c:pt>
                <c:pt idx="119" formatCode="General">
                  <c:v>22</c:v>
                </c:pt>
                <c:pt idx="120" formatCode="General">
                  <c:v>24</c:v>
                </c:pt>
                <c:pt idx="121" formatCode="General">
                  <c:v>24</c:v>
                </c:pt>
                <c:pt idx="122" formatCode="General">
                  <c:v>38</c:v>
                </c:pt>
                <c:pt idx="123" formatCode="General">
                  <c:v>35</c:v>
                </c:pt>
                <c:pt idx="124" formatCode="General">
                  <c:v>26</c:v>
                </c:pt>
                <c:pt idx="125" formatCode="General">
                  <c:v>16</c:v>
                </c:pt>
                <c:pt idx="126">
                  <c:v>18</c:v>
                </c:pt>
                <c:pt idx="127">
                  <c:v>0</c:v>
                </c:pt>
                <c:pt idx="128">
                  <c:v>28</c:v>
                </c:pt>
                <c:pt idx="129">
                  <c:v>42</c:v>
                </c:pt>
                <c:pt idx="130">
                  <c:v>27</c:v>
                </c:pt>
                <c:pt idx="131">
                  <c:v>29</c:v>
                </c:pt>
                <c:pt idx="132">
                  <c:v>17</c:v>
                </c:pt>
                <c:pt idx="133">
                  <c:v>23</c:v>
                </c:pt>
                <c:pt idx="134">
                  <c:v>21</c:v>
                </c:pt>
                <c:pt idx="135">
                  <c:v>29</c:v>
                </c:pt>
                <c:pt idx="136">
                  <c:v>24</c:v>
                </c:pt>
                <c:pt idx="137">
                  <c:v>22</c:v>
                </c:pt>
                <c:pt idx="138">
                  <c:v>24</c:v>
                </c:pt>
                <c:pt idx="139">
                  <c:v>14</c:v>
                </c:pt>
                <c:pt idx="140">
                  <c:v>16</c:v>
                </c:pt>
                <c:pt idx="141">
                  <c:v>20</c:v>
                </c:pt>
                <c:pt idx="142">
                  <c:v>20</c:v>
                </c:pt>
                <c:pt idx="143">
                  <c:v>25</c:v>
                </c:pt>
                <c:pt idx="144" formatCode="General">
                  <c:v>23</c:v>
                </c:pt>
                <c:pt idx="145" formatCode="General">
                  <c:v>29</c:v>
                </c:pt>
                <c:pt idx="146" formatCode="General">
                  <c:v>31</c:v>
                </c:pt>
                <c:pt idx="147" formatCode="General">
                  <c:v>17</c:v>
                </c:pt>
                <c:pt idx="148" formatCode="General">
                  <c:v>21</c:v>
                </c:pt>
                <c:pt idx="149" formatCode="General">
                  <c:v>24</c:v>
                </c:pt>
                <c:pt idx="150" formatCode="General">
                  <c:v>18</c:v>
                </c:pt>
                <c:pt idx="151" formatCode="General">
                  <c:v>16</c:v>
                </c:pt>
                <c:pt idx="152">
                  <c:v>19</c:v>
                </c:pt>
                <c:pt idx="153">
                  <c:v>22</c:v>
                </c:pt>
                <c:pt idx="154">
                  <c:v>26</c:v>
                </c:pt>
                <c:pt idx="155">
                  <c:v>27</c:v>
                </c:pt>
                <c:pt idx="156">
                  <c:v>21</c:v>
                </c:pt>
                <c:pt idx="157">
                  <c:v>21</c:v>
                </c:pt>
                <c:pt idx="158">
                  <c:v>22</c:v>
                </c:pt>
                <c:pt idx="159">
                  <c:v>18</c:v>
                </c:pt>
                <c:pt idx="160">
                  <c:v>20</c:v>
                </c:pt>
                <c:pt idx="161">
                  <c:v>21</c:v>
                </c:pt>
                <c:pt idx="162">
                  <c:v>18</c:v>
                </c:pt>
                <c:pt idx="163">
                  <c:v>11</c:v>
                </c:pt>
                <c:pt idx="164">
                  <c:v>12</c:v>
                </c:pt>
                <c:pt idx="165">
                  <c:v>13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25</c:v>
                </c:pt>
                <c:pt idx="170" formatCode="General">
                  <c:v>20</c:v>
                </c:pt>
                <c:pt idx="171" formatCode="General">
                  <c:v>18</c:v>
                </c:pt>
                <c:pt idx="172" formatCode="General">
                  <c:v>20</c:v>
                </c:pt>
                <c:pt idx="173" formatCode="General">
                  <c:v>22</c:v>
                </c:pt>
                <c:pt idx="174" formatCode="General">
                  <c:v>17</c:v>
                </c:pt>
                <c:pt idx="175">
                  <c:v>18</c:v>
                </c:pt>
                <c:pt idx="176">
                  <c:v>30</c:v>
                </c:pt>
                <c:pt idx="177">
                  <c:v>23</c:v>
                </c:pt>
                <c:pt idx="178">
                  <c:v>26</c:v>
                </c:pt>
                <c:pt idx="179">
                  <c:v>22</c:v>
                </c:pt>
                <c:pt idx="182">
                  <c:v>26</c:v>
                </c:pt>
                <c:pt idx="183">
                  <c:v>16</c:v>
                </c:pt>
                <c:pt idx="184">
                  <c:v>23</c:v>
                </c:pt>
                <c:pt idx="185">
                  <c:v>28</c:v>
                </c:pt>
                <c:pt idx="186">
                  <c:v>20</c:v>
                </c:pt>
                <c:pt idx="187">
                  <c:v>23</c:v>
                </c:pt>
                <c:pt idx="188">
                  <c:v>21</c:v>
                </c:pt>
                <c:pt idx="189">
                  <c:v>29</c:v>
                </c:pt>
                <c:pt idx="190">
                  <c:v>27</c:v>
                </c:pt>
                <c:pt idx="191">
                  <c:v>20</c:v>
                </c:pt>
                <c:pt idx="192">
                  <c:v>33</c:v>
                </c:pt>
                <c:pt idx="193" formatCode="General">
                  <c:v>22</c:v>
                </c:pt>
                <c:pt idx="194" formatCode="General">
                  <c:v>22</c:v>
                </c:pt>
                <c:pt idx="195" formatCode="General">
                  <c:v>18</c:v>
                </c:pt>
                <c:pt idx="196" formatCode="General">
                  <c:v>21</c:v>
                </c:pt>
                <c:pt idx="197" formatCode="General">
                  <c:v>19</c:v>
                </c:pt>
                <c:pt idx="198" formatCode="General">
                  <c:v>22</c:v>
                </c:pt>
                <c:pt idx="199" formatCode="General">
                  <c:v>23</c:v>
                </c:pt>
                <c:pt idx="200">
                  <c:v>15</c:v>
                </c:pt>
                <c:pt idx="201">
                  <c:v>19</c:v>
                </c:pt>
                <c:pt idx="202">
                  <c:v>16</c:v>
                </c:pt>
                <c:pt idx="203">
                  <c:v>26</c:v>
                </c:pt>
                <c:pt idx="204">
                  <c:v>18</c:v>
                </c:pt>
                <c:pt idx="205">
                  <c:v>20</c:v>
                </c:pt>
                <c:pt idx="206">
                  <c:v>25</c:v>
                </c:pt>
                <c:pt idx="207">
                  <c:v>21</c:v>
                </c:pt>
                <c:pt idx="208">
                  <c:v>21</c:v>
                </c:pt>
                <c:pt idx="209">
                  <c:v>18</c:v>
                </c:pt>
                <c:pt idx="210">
                  <c:v>20</c:v>
                </c:pt>
                <c:pt idx="211">
                  <c:v>19</c:v>
                </c:pt>
                <c:pt idx="212">
                  <c:v>19</c:v>
                </c:pt>
                <c:pt idx="213">
                  <c:v>22</c:v>
                </c:pt>
                <c:pt idx="214">
                  <c:v>25</c:v>
                </c:pt>
                <c:pt idx="215">
                  <c:v>24</c:v>
                </c:pt>
                <c:pt idx="216">
                  <c:v>24</c:v>
                </c:pt>
                <c:pt idx="217">
                  <c:v>19</c:v>
                </c:pt>
                <c:pt idx="218" formatCode="General">
                  <c:v>18</c:v>
                </c:pt>
                <c:pt idx="219" formatCode="General">
                  <c:v>21</c:v>
                </c:pt>
                <c:pt idx="220" formatCode="General">
                  <c:v>21</c:v>
                </c:pt>
                <c:pt idx="221" formatCode="General">
                  <c:v>20</c:v>
                </c:pt>
                <c:pt idx="222" formatCode="General">
                  <c:v>18</c:v>
                </c:pt>
                <c:pt idx="223" formatCode="General">
                  <c:v>21</c:v>
                </c:pt>
                <c:pt idx="224" formatCode="General">
                  <c:v>21</c:v>
                </c:pt>
                <c:pt idx="225" formatCode="General">
                  <c:v>22</c:v>
                </c:pt>
                <c:pt idx="226">
                  <c:v>19</c:v>
                </c:pt>
                <c:pt idx="227">
                  <c:v>18</c:v>
                </c:pt>
                <c:pt idx="228">
                  <c:v>21</c:v>
                </c:pt>
                <c:pt idx="229">
                  <c:v>20</c:v>
                </c:pt>
                <c:pt idx="230">
                  <c:v>23</c:v>
                </c:pt>
                <c:pt idx="231">
                  <c:v>20</c:v>
                </c:pt>
                <c:pt idx="232">
                  <c:v>19</c:v>
                </c:pt>
                <c:pt idx="233">
                  <c:v>18</c:v>
                </c:pt>
                <c:pt idx="234">
                  <c:v>22</c:v>
                </c:pt>
                <c:pt idx="235">
                  <c:v>20</c:v>
                </c:pt>
                <c:pt idx="236">
                  <c:v>20</c:v>
                </c:pt>
                <c:pt idx="237">
                  <c:v>25</c:v>
                </c:pt>
                <c:pt idx="238">
                  <c:v>18</c:v>
                </c:pt>
                <c:pt idx="239">
                  <c:v>22</c:v>
                </c:pt>
                <c:pt idx="240">
                  <c:v>21</c:v>
                </c:pt>
                <c:pt idx="241">
                  <c:v>19</c:v>
                </c:pt>
                <c:pt idx="242">
                  <c:v>21</c:v>
                </c:pt>
                <c:pt idx="243">
                  <c:v>21</c:v>
                </c:pt>
                <c:pt idx="244" formatCode="General">
                  <c:v>21</c:v>
                </c:pt>
                <c:pt idx="245" formatCode="General">
                  <c:v>19</c:v>
                </c:pt>
                <c:pt idx="246" formatCode="General">
                  <c:v>20</c:v>
                </c:pt>
                <c:pt idx="247" formatCode="General">
                  <c:v>22</c:v>
                </c:pt>
                <c:pt idx="248" formatCode="General">
                  <c:v>21</c:v>
                </c:pt>
                <c:pt idx="249" formatCode="General">
                  <c:v>18</c:v>
                </c:pt>
                <c:pt idx="250" formatCode="General">
                  <c:v>20</c:v>
                </c:pt>
                <c:pt idx="251" formatCode="General">
                  <c:v>23</c:v>
                </c:pt>
                <c:pt idx="252">
                  <c:v>18</c:v>
                </c:pt>
                <c:pt idx="253">
                  <c:v>21</c:v>
                </c:pt>
                <c:pt idx="254">
                  <c:v>21</c:v>
                </c:pt>
                <c:pt idx="255">
                  <c:v>23</c:v>
                </c:pt>
                <c:pt idx="256">
                  <c:v>20</c:v>
                </c:pt>
                <c:pt idx="257">
                  <c:v>49</c:v>
                </c:pt>
                <c:pt idx="258">
                  <c:v>26</c:v>
                </c:pt>
                <c:pt idx="259">
                  <c:v>35</c:v>
                </c:pt>
                <c:pt idx="260">
                  <c:v>38</c:v>
                </c:pt>
                <c:pt idx="261">
                  <c:v>64</c:v>
                </c:pt>
                <c:pt idx="262">
                  <c:v>52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7-42C4-8835-43364D3D4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51791"/>
        <c:axId val="1"/>
      </c:lineChart>
      <c:catAx>
        <c:axId val="1860851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45490314624751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7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Turbidity (NTU)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2412452610090405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51791"/>
        <c:crosses val="autoZero"/>
        <c:crossBetween val="between"/>
        <c:majorUnit val="2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FRC</a:t>
            </a:r>
          </a:p>
        </c:rich>
      </c:tx>
      <c:layout>
        <c:manualLayout>
          <c:xMode val="edge"/>
          <c:yMode val="edge"/>
          <c:x val="0.4672731722063078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44855365942459"/>
          <c:y val="0.19879561928391631"/>
          <c:w val="0.84134080018934254"/>
          <c:h val="0.50297113594998411"/>
        </c:manualLayout>
      </c:layout>
      <c:lineChart>
        <c:grouping val="standard"/>
        <c:varyColors val="0"/>
        <c:ser>
          <c:idx val="1"/>
          <c:order val="0"/>
          <c:tx>
            <c:v>FRC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Process'!$E$5:$E$332</c:f>
              <c:numCache>
                <c:formatCode>0.0</c:formatCode>
                <c:ptCount val="328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0.3</c:v>
                </c:pt>
                <c:pt idx="4">
                  <c:v>0.2</c:v>
                </c:pt>
                <c:pt idx="5">
                  <c:v>0.5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0.2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0.6</c:v>
                </c:pt>
                <c:pt idx="25">
                  <c:v>0</c:v>
                </c:pt>
                <c:pt idx="26">
                  <c:v>0.2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0.5</c:v>
                </c:pt>
                <c:pt idx="35">
                  <c:v>0.5</c:v>
                </c:pt>
                <c:pt idx="36">
                  <c:v>0.6</c:v>
                </c:pt>
                <c:pt idx="37">
                  <c:v>0</c:v>
                </c:pt>
                <c:pt idx="38">
                  <c:v>0.5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0.4</c:v>
                </c:pt>
                <c:pt idx="44">
                  <c:v>0</c:v>
                </c:pt>
                <c:pt idx="45">
                  <c:v>0.7</c:v>
                </c:pt>
                <c:pt idx="46">
                  <c:v>0</c:v>
                </c:pt>
                <c:pt idx="47">
                  <c:v>0</c:v>
                </c:pt>
                <c:pt idx="48">
                  <c:v>0.6</c:v>
                </c:pt>
                <c:pt idx="49">
                  <c:v>0</c:v>
                </c:pt>
                <c:pt idx="50">
                  <c:v>0.5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0.8</c:v>
                </c:pt>
                <c:pt idx="56">
                  <c:v>0.6</c:v>
                </c:pt>
                <c:pt idx="57">
                  <c:v>0.2</c:v>
                </c:pt>
                <c:pt idx="58">
                  <c:v>0.8</c:v>
                </c:pt>
                <c:pt idx="59">
                  <c:v>0.2</c:v>
                </c:pt>
                <c:pt idx="60">
                  <c:v>0.1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0.9</c:v>
                </c:pt>
                <c:pt idx="65">
                  <c:v>0</c:v>
                </c:pt>
                <c:pt idx="66">
                  <c:v>0</c:v>
                </c:pt>
                <c:pt idx="67">
                  <c:v>0.2</c:v>
                </c:pt>
                <c:pt idx="68">
                  <c:v>0.4</c:v>
                </c:pt>
                <c:pt idx="69">
                  <c:v>0</c:v>
                </c:pt>
                <c:pt idx="70">
                  <c:v>0.8</c:v>
                </c:pt>
                <c:pt idx="71">
                  <c:v>0</c:v>
                </c:pt>
                <c:pt idx="72">
                  <c:v>0</c:v>
                </c:pt>
                <c:pt idx="73">
                  <c:v>0.4</c:v>
                </c:pt>
                <c:pt idx="74">
                  <c:v>0.5</c:v>
                </c:pt>
                <c:pt idx="75">
                  <c:v>0.1</c:v>
                </c:pt>
                <c:pt idx="76">
                  <c:v>0.4</c:v>
                </c:pt>
                <c:pt idx="77">
                  <c:v>0.2</c:v>
                </c:pt>
                <c:pt idx="78">
                  <c:v>0.6</c:v>
                </c:pt>
                <c:pt idx="79">
                  <c:v>0</c:v>
                </c:pt>
                <c:pt idx="80">
                  <c:v>0</c:v>
                </c:pt>
                <c:pt idx="81">
                  <c:v>0.6</c:v>
                </c:pt>
                <c:pt idx="82">
                  <c:v>0.4</c:v>
                </c:pt>
                <c:pt idx="83">
                  <c:v>0</c:v>
                </c:pt>
                <c:pt idx="84">
                  <c:v>0.2</c:v>
                </c:pt>
                <c:pt idx="85">
                  <c:v>0.2</c:v>
                </c:pt>
                <c:pt idx="86">
                  <c:v>0.1</c:v>
                </c:pt>
                <c:pt idx="87">
                  <c:v>0.1</c:v>
                </c:pt>
                <c:pt idx="88">
                  <c:v>0.2</c:v>
                </c:pt>
                <c:pt idx="89">
                  <c:v>0</c:v>
                </c:pt>
                <c:pt idx="90">
                  <c:v>0.5</c:v>
                </c:pt>
                <c:pt idx="91">
                  <c:v>0</c:v>
                </c:pt>
                <c:pt idx="92">
                  <c:v>0.6</c:v>
                </c:pt>
                <c:pt idx="93">
                  <c:v>0.4</c:v>
                </c:pt>
                <c:pt idx="94">
                  <c:v>0</c:v>
                </c:pt>
                <c:pt idx="95">
                  <c:v>0.8</c:v>
                </c:pt>
                <c:pt idx="96">
                  <c:v>0.7</c:v>
                </c:pt>
                <c:pt idx="97">
                  <c:v>0</c:v>
                </c:pt>
                <c:pt idx="98">
                  <c:v>0.2</c:v>
                </c:pt>
                <c:pt idx="99">
                  <c:v>0</c:v>
                </c:pt>
                <c:pt idx="100">
                  <c:v>1</c:v>
                </c:pt>
                <c:pt idx="101">
                  <c:v>0.5</c:v>
                </c:pt>
                <c:pt idx="102">
                  <c:v>0</c:v>
                </c:pt>
                <c:pt idx="103">
                  <c:v>0.4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0.6</c:v>
                </c:pt>
                <c:pt idx="108">
                  <c:v>0.5</c:v>
                </c:pt>
                <c:pt idx="109">
                  <c:v>0.7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0.6</c:v>
                </c:pt>
                <c:pt idx="115">
                  <c:v>0</c:v>
                </c:pt>
                <c:pt idx="116">
                  <c:v>0.2</c:v>
                </c:pt>
                <c:pt idx="117">
                  <c:v>0.5</c:v>
                </c:pt>
                <c:pt idx="118">
                  <c:v>0</c:v>
                </c:pt>
                <c:pt idx="119">
                  <c:v>0.8</c:v>
                </c:pt>
                <c:pt idx="120">
                  <c:v>0.1</c:v>
                </c:pt>
                <c:pt idx="121">
                  <c:v>0.6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0.8</c:v>
                </c:pt>
                <c:pt idx="135">
                  <c:v>0</c:v>
                </c:pt>
                <c:pt idx="136">
                  <c:v>0.2</c:v>
                </c:pt>
                <c:pt idx="137">
                  <c:v>0.5</c:v>
                </c:pt>
                <c:pt idx="138">
                  <c:v>0</c:v>
                </c:pt>
                <c:pt idx="139">
                  <c:v>0.6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0.8</c:v>
                </c:pt>
                <c:pt idx="144">
                  <c:v>0.5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0.5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0.5</c:v>
                </c:pt>
                <c:pt idx="154">
                  <c:v>0.5</c:v>
                </c:pt>
                <c:pt idx="155">
                  <c:v>0.9</c:v>
                </c:pt>
                <c:pt idx="156">
                  <c:v>0.5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0.1</c:v>
                </c:pt>
                <c:pt idx="161">
                  <c:v>0.4</c:v>
                </c:pt>
                <c:pt idx="162">
                  <c:v>0.5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0.2</c:v>
                </c:pt>
                <c:pt idx="167">
                  <c:v>0.2</c:v>
                </c:pt>
                <c:pt idx="168">
                  <c:v>0</c:v>
                </c:pt>
                <c:pt idx="169">
                  <c:v>0</c:v>
                </c:pt>
                <c:pt idx="170">
                  <c:v>0.6</c:v>
                </c:pt>
                <c:pt idx="171">
                  <c:v>0</c:v>
                </c:pt>
                <c:pt idx="172">
                  <c:v>0.5</c:v>
                </c:pt>
                <c:pt idx="173">
                  <c:v>0</c:v>
                </c:pt>
                <c:pt idx="174">
                  <c:v>0.2</c:v>
                </c:pt>
                <c:pt idx="175">
                  <c:v>0.5</c:v>
                </c:pt>
                <c:pt idx="176">
                  <c:v>0.5</c:v>
                </c:pt>
                <c:pt idx="177">
                  <c:v>0.1</c:v>
                </c:pt>
                <c:pt idx="178">
                  <c:v>0</c:v>
                </c:pt>
                <c:pt idx="179">
                  <c:v>0</c:v>
                </c:pt>
                <c:pt idx="182">
                  <c:v>0.6</c:v>
                </c:pt>
                <c:pt idx="183">
                  <c:v>0.1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0.1</c:v>
                </c:pt>
                <c:pt idx="189">
                  <c:v>0.3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0.5</c:v>
                </c:pt>
                <c:pt idx="199">
                  <c:v>0.3</c:v>
                </c:pt>
                <c:pt idx="200">
                  <c:v>0.2</c:v>
                </c:pt>
                <c:pt idx="201">
                  <c:v>0.3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0.1</c:v>
                </c:pt>
                <c:pt idx="207">
                  <c:v>0.4</c:v>
                </c:pt>
                <c:pt idx="208">
                  <c:v>0</c:v>
                </c:pt>
                <c:pt idx="209">
                  <c:v>0</c:v>
                </c:pt>
                <c:pt idx="210">
                  <c:v>0.2</c:v>
                </c:pt>
                <c:pt idx="211">
                  <c:v>0.1</c:v>
                </c:pt>
                <c:pt idx="212">
                  <c:v>0.1</c:v>
                </c:pt>
                <c:pt idx="213">
                  <c:v>0</c:v>
                </c:pt>
                <c:pt idx="214">
                  <c:v>0.4</c:v>
                </c:pt>
                <c:pt idx="215">
                  <c:v>0.1</c:v>
                </c:pt>
                <c:pt idx="216">
                  <c:v>0</c:v>
                </c:pt>
                <c:pt idx="217">
                  <c:v>0.1</c:v>
                </c:pt>
                <c:pt idx="218">
                  <c:v>0.3</c:v>
                </c:pt>
                <c:pt idx="219">
                  <c:v>0.3</c:v>
                </c:pt>
                <c:pt idx="220">
                  <c:v>0.2</c:v>
                </c:pt>
                <c:pt idx="221">
                  <c:v>0</c:v>
                </c:pt>
                <c:pt idx="222">
                  <c:v>0</c:v>
                </c:pt>
                <c:pt idx="223">
                  <c:v>0.3</c:v>
                </c:pt>
                <c:pt idx="224">
                  <c:v>0.2</c:v>
                </c:pt>
                <c:pt idx="225">
                  <c:v>0.6</c:v>
                </c:pt>
                <c:pt idx="226">
                  <c:v>0.1</c:v>
                </c:pt>
                <c:pt idx="227">
                  <c:v>0.1</c:v>
                </c:pt>
                <c:pt idx="228">
                  <c:v>0.5</c:v>
                </c:pt>
                <c:pt idx="229">
                  <c:v>0.2</c:v>
                </c:pt>
                <c:pt idx="230">
                  <c:v>0.5</c:v>
                </c:pt>
                <c:pt idx="231">
                  <c:v>0.4</c:v>
                </c:pt>
                <c:pt idx="232">
                  <c:v>0.2</c:v>
                </c:pt>
                <c:pt idx="233">
                  <c:v>0.5</c:v>
                </c:pt>
                <c:pt idx="234">
                  <c:v>0</c:v>
                </c:pt>
                <c:pt idx="235">
                  <c:v>0.2</c:v>
                </c:pt>
                <c:pt idx="236">
                  <c:v>0.2</c:v>
                </c:pt>
                <c:pt idx="237">
                  <c:v>0.4</c:v>
                </c:pt>
                <c:pt idx="238">
                  <c:v>0.5</c:v>
                </c:pt>
                <c:pt idx="239">
                  <c:v>0.1</c:v>
                </c:pt>
                <c:pt idx="240">
                  <c:v>0</c:v>
                </c:pt>
                <c:pt idx="241">
                  <c:v>0</c:v>
                </c:pt>
                <c:pt idx="242">
                  <c:v>0.4</c:v>
                </c:pt>
                <c:pt idx="243">
                  <c:v>0.4</c:v>
                </c:pt>
                <c:pt idx="244">
                  <c:v>0.5</c:v>
                </c:pt>
                <c:pt idx="245">
                  <c:v>0.6</c:v>
                </c:pt>
                <c:pt idx="246">
                  <c:v>0.5</c:v>
                </c:pt>
                <c:pt idx="247">
                  <c:v>0.2</c:v>
                </c:pt>
                <c:pt idx="248">
                  <c:v>0.3</c:v>
                </c:pt>
                <c:pt idx="249">
                  <c:v>0.1</c:v>
                </c:pt>
                <c:pt idx="250">
                  <c:v>0</c:v>
                </c:pt>
                <c:pt idx="251">
                  <c:v>0.2</c:v>
                </c:pt>
                <c:pt idx="252">
                  <c:v>0.3</c:v>
                </c:pt>
                <c:pt idx="253">
                  <c:v>0.3</c:v>
                </c:pt>
                <c:pt idx="254">
                  <c:v>0.7</c:v>
                </c:pt>
                <c:pt idx="255">
                  <c:v>0</c:v>
                </c:pt>
                <c:pt idx="256">
                  <c:v>0.9</c:v>
                </c:pt>
                <c:pt idx="257">
                  <c:v>0.5</c:v>
                </c:pt>
                <c:pt idx="258">
                  <c:v>0.3</c:v>
                </c:pt>
                <c:pt idx="259">
                  <c:v>0.4</c:v>
                </c:pt>
                <c:pt idx="260">
                  <c:v>0.5</c:v>
                </c:pt>
                <c:pt idx="261">
                  <c:v>0.7</c:v>
                </c:pt>
                <c:pt idx="262">
                  <c:v>0.6</c:v>
                </c:pt>
                <c:pt idx="263">
                  <c:v>0.6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0.2</c:v>
                </c:pt>
                <c:pt idx="269">
                  <c:v>0.3</c:v>
                </c:pt>
                <c:pt idx="270">
                  <c:v>0.2</c:v>
                </c:pt>
                <c:pt idx="271">
                  <c:v>0</c:v>
                </c:pt>
                <c:pt idx="272">
                  <c:v>0.2</c:v>
                </c:pt>
                <c:pt idx="273">
                  <c:v>0</c:v>
                </c:pt>
                <c:pt idx="274">
                  <c:v>0</c:v>
                </c:pt>
                <c:pt idx="275">
                  <c:v>0.4</c:v>
                </c:pt>
                <c:pt idx="276">
                  <c:v>0.1</c:v>
                </c:pt>
                <c:pt idx="277">
                  <c:v>0.1</c:v>
                </c:pt>
                <c:pt idx="278">
                  <c:v>0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0.1</c:v>
                </c:pt>
                <c:pt idx="287">
                  <c:v>0.4</c:v>
                </c:pt>
                <c:pt idx="288">
                  <c:v>0.1</c:v>
                </c:pt>
                <c:pt idx="289">
                  <c:v>0.1</c:v>
                </c:pt>
                <c:pt idx="290">
                  <c:v>0.4</c:v>
                </c:pt>
                <c:pt idx="291">
                  <c:v>0.5</c:v>
                </c:pt>
                <c:pt idx="292">
                  <c:v>0</c:v>
                </c:pt>
                <c:pt idx="293">
                  <c:v>0.5</c:v>
                </c:pt>
                <c:pt idx="294">
                  <c:v>0.3</c:v>
                </c:pt>
                <c:pt idx="295">
                  <c:v>0.6</c:v>
                </c:pt>
                <c:pt idx="296">
                  <c:v>0.2</c:v>
                </c:pt>
                <c:pt idx="297">
                  <c:v>0.2</c:v>
                </c:pt>
                <c:pt idx="298">
                  <c:v>0.4</c:v>
                </c:pt>
                <c:pt idx="299">
                  <c:v>0.1</c:v>
                </c:pt>
                <c:pt idx="301">
                  <c:v>0.2</c:v>
                </c:pt>
                <c:pt idx="302">
                  <c:v>0.1</c:v>
                </c:pt>
                <c:pt idx="303">
                  <c:v>0.4</c:v>
                </c:pt>
                <c:pt idx="304">
                  <c:v>0</c:v>
                </c:pt>
                <c:pt idx="305">
                  <c:v>0</c:v>
                </c:pt>
                <c:pt idx="306">
                  <c:v>0.4</c:v>
                </c:pt>
                <c:pt idx="307">
                  <c:v>0.4</c:v>
                </c:pt>
                <c:pt idx="308">
                  <c:v>0.1</c:v>
                </c:pt>
                <c:pt idx="309">
                  <c:v>0.2</c:v>
                </c:pt>
                <c:pt idx="310">
                  <c:v>0</c:v>
                </c:pt>
                <c:pt idx="311">
                  <c:v>0.2</c:v>
                </c:pt>
                <c:pt idx="312">
                  <c:v>0.4</c:v>
                </c:pt>
                <c:pt idx="313">
                  <c:v>0.1</c:v>
                </c:pt>
                <c:pt idx="314">
                  <c:v>0</c:v>
                </c:pt>
                <c:pt idx="315">
                  <c:v>0</c:v>
                </c:pt>
                <c:pt idx="316">
                  <c:v>0.2</c:v>
                </c:pt>
                <c:pt idx="317">
                  <c:v>0.2</c:v>
                </c:pt>
                <c:pt idx="318">
                  <c:v>0.2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0.3</c:v>
                </c:pt>
                <c:pt idx="323">
                  <c:v>0.5</c:v>
                </c:pt>
                <c:pt idx="324">
                  <c:v>0.6</c:v>
                </c:pt>
                <c:pt idx="32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F-4FBC-98C6-B813259F0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57071"/>
        <c:axId val="1"/>
      </c:lineChart>
      <c:catAx>
        <c:axId val="1860857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.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FRC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2684831062783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57071"/>
        <c:crosses val="autoZero"/>
        <c:crossBetween val="between"/>
        <c:majorUnit val="0.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Total Hardness</a:t>
            </a:r>
          </a:p>
        </c:rich>
      </c:tx>
      <c:layout>
        <c:manualLayout>
          <c:xMode val="edge"/>
          <c:yMode val="edge"/>
          <c:x val="0.37636394171021126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46022978759547"/>
          <c:y val="0.19819877943992656"/>
          <c:w val="0.82532912406117176"/>
          <c:h val="0.48855741447212825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Process'!$H$5:$H$332</c:f>
              <c:numCache>
                <c:formatCode>General</c:formatCode>
                <c:ptCount val="328"/>
                <c:pt idx="0">
                  <c:v>565</c:v>
                </c:pt>
                <c:pt idx="1">
                  <c:v>551</c:v>
                </c:pt>
                <c:pt idx="2">
                  <c:v>560</c:v>
                </c:pt>
                <c:pt idx="3">
                  <c:v>524</c:v>
                </c:pt>
                <c:pt idx="4">
                  <c:v>520</c:v>
                </c:pt>
                <c:pt idx="5">
                  <c:v>511</c:v>
                </c:pt>
                <c:pt idx="6" formatCode="0">
                  <c:v>533</c:v>
                </c:pt>
                <c:pt idx="7">
                  <c:v>520</c:v>
                </c:pt>
                <c:pt idx="8">
                  <c:v>506</c:v>
                </c:pt>
                <c:pt idx="9">
                  <c:v>461</c:v>
                </c:pt>
                <c:pt idx="10">
                  <c:v>462</c:v>
                </c:pt>
                <c:pt idx="11">
                  <c:v>469</c:v>
                </c:pt>
                <c:pt idx="12">
                  <c:v>279</c:v>
                </c:pt>
                <c:pt idx="13">
                  <c:v>492</c:v>
                </c:pt>
                <c:pt idx="14">
                  <c:v>474</c:v>
                </c:pt>
                <c:pt idx="15">
                  <c:v>483</c:v>
                </c:pt>
                <c:pt idx="16">
                  <c:v>474</c:v>
                </c:pt>
                <c:pt idx="17">
                  <c:v>481</c:v>
                </c:pt>
                <c:pt idx="18">
                  <c:v>531</c:v>
                </c:pt>
                <c:pt idx="19">
                  <c:v>460</c:v>
                </c:pt>
                <c:pt idx="20">
                  <c:v>515</c:v>
                </c:pt>
                <c:pt idx="21">
                  <c:v>529</c:v>
                </c:pt>
                <c:pt idx="22">
                  <c:v>520</c:v>
                </c:pt>
                <c:pt idx="23">
                  <c:v>474</c:v>
                </c:pt>
                <c:pt idx="24">
                  <c:v>417</c:v>
                </c:pt>
                <c:pt idx="25">
                  <c:v>406</c:v>
                </c:pt>
                <c:pt idx="26">
                  <c:v>478</c:v>
                </c:pt>
                <c:pt idx="27">
                  <c:v>462</c:v>
                </c:pt>
                <c:pt idx="28">
                  <c:v>447</c:v>
                </c:pt>
                <c:pt idx="29">
                  <c:v>457</c:v>
                </c:pt>
                <c:pt idx="30">
                  <c:v>462</c:v>
                </c:pt>
                <c:pt idx="31" formatCode="0">
                  <c:v>362</c:v>
                </c:pt>
                <c:pt idx="32">
                  <c:v>362</c:v>
                </c:pt>
                <c:pt idx="33">
                  <c:v>384</c:v>
                </c:pt>
                <c:pt idx="34">
                  <c:v>375</c:v>
                </c:pt>
                <c:pt idx="35">
                  <c:v>362</c:v>
                </c:pt>
                <c:pt idx="36">
                  <c:v>374</c:v>
                </c:pt>
                <c:pt idx="37">
                  <c:v>394</c:v>
                </c:pt>
                <c:pt idx="38">
                  <c:v>389</c:v>
                </c:pt>
                <c:pt idx="39">
                  <c:v>394</c:v>
                </c:pt>
                <c:pt idx="40">
                  <c:v>379</c:v>
                </c:pt>
                <c:pt idx="41">
                  <c:v>371</c:v>
                </c:pt>
                <c:pt idx="42">
                  <c:v>399</c:v>
                </c:pt>
                <c:pt idx="43">
                  <c:v>413</c:v>
                </c:pt>
                <c:pt idx="44">
                  <c:v>418</c:v>
                </c:pt>
                <c:pt idx="45">
                  <c:v>499</c:v>
                </c:pt>
                <c:pt idx="46">
                  <c:v>445</c:v>
                </c:pt>
                <c:pt idx="47">
                  <c:v>379</c:v>
                </c:pt>
                <c:pt idx="48">
                  <c:v>402</c:v>
                </c:pt>
                <c:pt idx="49">
                  <c:v>594</c:v>
                </c:pt>
                <c:pt idx="50">
                  <c:v>580</c:v>
                </c:pt>
                <c:pt idx="51">
                  <c:v>561</c:v>
                </c:pt>
                <c:pt idx="52">
                  <c:v>575</c:v>
                </c:pt>
                <c:pt idx="53">
                  <c:v>566</c:v>
                </c:pt>
                <c:pt idx="54">
                  <c:v>557</c:v>
                </c:pt>
                <c:pt idx="55">
                  <c:v>579</c:v>
                </c:pt>
                <c:pt idx="56" formatCode="0">
                  <c:v>547</c:v>
                </c:pt>
                <c:pt idx="57">
                  <c:v>533</c:v>
                </c:pt>
                <c:pt idx="58">
                  <c:v>524</c:v>
                </c:pt>
                <c:pt idx="59">
                  <c:v>529</c:v>
                </c:pt>
                <c:pt idx="60">
                  <c:v>333</c:v>
                </c:pt>
                <c:pt idx="61">
                  <c:v>538</c:v>
                </c:pt>
                <c:pt idx="62">
                  <c:v>441</c:v>
                </c:pt>
                <c:pt idx="63">
                  <c:v>452</c:v>
                </c:pt>
                <c:pt idx="64">
                  <c:v>473</c:v>
                </c:pt>
                <c:pt idx="65">
                  <c:v>469</c:v>
                </c:pt>
                <c:pt idx="66">
                  <c:v>469</c:v>
                </c:pt>
                <c:pt idx="67">
                  <c:v>473</c:v>
                </c:pt>
                <c:pt idx="68">
                  <c:v>464</c:v>
                </c:pt>
                <c:pt idx="69">
                  <c:v>475</c:v>
                </c:pt>
                <c:pt idx="70">
                  <c:v>484</c:v>
                </c:pt>
                <c:pt idx="71">
                  <c:v>479</c:v>
                </c:pt>
                <c:pt idx="72">
                  <c:v>484</c:v>
                </c:pt>
                <c:pt idx="73">
                  <c:v>479</c:v>
                </c:pt>
                <c:pt idx="74">
                  <c:v>461</c:v>
                </c:pt>
                <c:pt idx="75">
                  <c:v>441</c:v>
                </c:pt>
                <c:pt idx="76">
                  <c:v>445</c:v>
                </c:pt>
                <c:pt idx="77">
                  <c:v>453</c:v>
                </c:pt>
                <c:pt idx="78">
                  <c:v>445</c:v>
                </c:pt>
                <c:pt idx="79">
                  <c:v>453</c:v>
                </c:pt>
                <c:pt idx="80">
                  <c:v>449</c:v>
                </c:pt>
                <c:pt idx="81">
                  <c:v>453</c:v>
                </c:pt>
                <c:pt idx="82">
                  <c:v>462</c:v>
                </c:pt>
                <c:pt idx="83" formatCode="0">
                  <c:v>458</c:v>
                </c:pt>
                <c:pt idx="84">
                  <c:v>441</c:v>
                </c:pt>
                <c:pt idx="85">
                  <c:v>453</c:v>
                </c:pt>
                <c:pt idx="86">
                  <c:v>441</c:v>
                </c:pt>
                <c:pt idx="87">
                  <c:v>433</c:v>
                </c:pt>
                <c:pt idx="88">
                  <c:v>437</c:v>
                </c:pt>
                <c:pt idx="89">
                  <c:v>441</c:v>
                </c:pt>
                <c:pt idx="90">
                  <c:v>437</c:v>
                </c:pt>
                <c:pt idx="91">
                  <c:v>433</c:v>
                </c:pt>
                <c:pt idx="92">
                  <c:v>424</c:v>
                </c:pt>
                <c:pt idx="93">
                  <c:v>441</c:v>
                </c:pt>
                <c:pt idx="94">
                  <c:v>441</c:v>
                </c:pt>
                <c:pt idx="95">
                  <c:v>445</c:v>
                </c:pt>
                <c:pt idx="96">
                  <c:v>454</c:v>
                </c:pt>
                <c:pt idx="97">
                  <c:v>462</c:v>
                </c:pt>
                <c:pt idx="98">
                  <c:v>454</c:v>
                </c:pt>
                <c:pt idx="99">
                  <c:v>458</c:v>
                </c:pt>
                <c:pt idx="100">
                  <c:v>471</c:v>
                </c:pt>
                <c:pt idx="101">
                  <c:v>466</c:v>
                </c:pt>
                <c:pt idx="102">
                  <c:v>471</c:v>
                </c:pt>
                <c:pt idx="103">
                  <c:v>483</c:v>
                </c:pt>
                <c:pt idx="104">
                  <c:v>483</c:v>
                </c:pt>
                <c:pt idx="105">
                  <c:v>601</c:v>
                </c:pt>
                <c:pt idx="106">
                  <c:v>466</c:v>
                </c:pt>
                <c:pt idx="107" formatCode="0">
                  <c:v>454</c:v>
                </c:pt>
                <c:pt idx="108">
                  <c:v>458</c:v>
                </c:pt>
                <c:pt idx="109">
                  <c:v>454</c:v>
                </c:pt>
                <c:pt idx="110">
                  <c:v>462</c:v>
                </c:pt>
                <c:pt idx="111">
                  <c:v>449</c:v>
                </c:pt>
                <c:pt idx="112">
                  <c:v>424</c:v>
                </c:pt>
                <c:pt idx="113">
                  <c:v>420</c:v>
                </c:pt>
                <c:pt idx="114">
                  <c:v>412</c:v>
                </c:pt>
                <c:pt idx="115">
                  <c:v>420</c:v>
                </c:pt>
                <c:pt idx="116">
                  <c:v>416</c:v>
                </c:pt>
                <c:pt idx="117">
                  <c:v>412</c:v>
                </c:pt>
                <c:pt idx="118">
                  <c:v>432</c:v>
                </c:pt>
                <c:pt idx="119">
                  <c:v>424</c:v>
                </c:pt>
                <c:pt idx="120">
                  <c:v>428</c:v>
                </c:pt>
                <c:pt idx="121">
                  <c:v>432</c:v>
                </c:pt>
                <c:pt idx="122">
                  <c:v>445</c:v>
                </c:pt>
                <c:pt idx="123">
                  <c:v>416</c:v>
                </c:pt>
                <c:pt idx="124">
                  <c:v>469</c:v>
                </c:pt>
                <c:pt idx="125">
                  <c:v>445</c:v>
                </c:pt>
                <c:pt idx="126">
                  <c:v>488</c:v>
                </c:pt>
                <c:pt idx="127">
                  <c:v>493</c:v>
                </c:pt>
                <c:pt idx="128">
                  <c:v>511</c:v>
                </c:pt>
                <c:pt idx="129">
                  <c:v>502</c:v>
                </c:pt>
                <c:pt idx="130">
                  <c:v>506</c:v>
                </c:pt>
                <c:pt idx="131">
                  <c:v>497</c:v>
                </c:pt>
                <c:pt idx="132">
                  <c:v>511</c:v>
                </c:pt>
                <c:pt idx="133" formatCode="0">
                  <c:v>515</c:v>
                </c:pt>
                <c:pt idx="134">
                  <c:v>506</c:v>
                </c:pt>
                <c:pt idx="135">
                  <c:v>511</c:v>
                </c:pt>
                <c:pt idx="136">
                  <c:v>502</c:v>
                </c:pt>
                <c:pt idx="137">
                  <c:v>502</c:v>
                </c:pt>
                <c:pt idx="138">
                  <c:v>534</c:v>
                </c:pt>
                <c:pt idx="139">
                  <c:v>524</c:v>
                </c:pt>
                <c:pt idx="140">
                  <c:v>538</c:v>
                </c:pt>
                <c:pt idx="141">
                  <c:v>534</c:v>
                </c:pt>
                <c:pt idx="142">
                  <c:v>538</c:v>
                </c:pt>
                <c:pt idx="143">
                  <c:v>548</c:v>
                </c:pt>
                <c:pt idx="144">
                  <c:v>552</c:v>
                </c:pt>
                <c:pt idx="145">
                  <c:v>543</c:v>
                </c:pt>
                <c:pt idx="146">
                  <c:v>571</c:v>
                </c:pt>
                <c:pt idx="147">
                  <c:v>552</c:v>
                </c:pt>
                <c:pt idx="148">
                  <c:v>547</c:v>
                </c:pt>
                <c:pt idx="149">
                  <c:v>571</c:v>
                </c:pt>
                <c:pt idx="150">
                  <c:v>576</c:v>
                </c:pt>
                <c:pt idx="151">
                  <c:v>566</c:v>
                </c:pt>
                <c:pt idx="152">
                  <c:v>534</c:v>
                </c:pt>
                <c:pt idx="153">
                  <c:v>713</c:v>
                </c:pt>
                <c:pt idx="154">
                  <c:v>722</c:v>
                </c:pt>
                <c:pt idx="155">
                  <c:v>713</c:v>
                </c:pt>
                <c:pt idx="156">
                  <c:v>727</c:v>
                </c:pt>
                <c:pt idx="157">
                  <c:v>702</c:v>
                </c:pt>
                <c:pt idx="158">
                  <c:v>706</c:v>
                </c:pt>
                <c:pt idx="159" formatCode="0">
                  <c:v>733</c:v>
                </c:pt>
                <c:pt idx="160">
                  <c:v>857</c:v>
                </c:pt>
                <c:pt idx="161">
                  <c:v>848</c:v>
                </c:pt>
                <c:pt idx="162">
                  <c:v>846</c:v>
                </c:pt>
                <c:pt idx="163">
                  <c:v>839</c:v>
                </c:pt>
                <c:pt idx="164">
                  <c:v>826</c:v>
                </c:pt>
                <c:pt idx="165">
                  <c:v>821</c:v>
                </c:pt>
                <c:pt idx="166">
                  <c:v>826</c:v>
                </c:pt>
                <c:pt idx="167">
                  <c:v>809</c:v>
                </c:pt>
                <c:pt idx="168">
                  <c:v>833</c:v>
                </c:pt>
                <c:pt idx="169">
                  <c:v>823</c:v>
                </c:pt>
                <c:pt idx="170">
                  <c:v>833</c:v>
                </c:pt>
                <c:pt idx="171">
                  <c:v>830</c:v>
                </c:pt>
                <c:pt idx="172">
                  <c:v>805</c:v>
                </c:pt>
                <c:pt idx="173">
                  <c:v>804</c:v>
                </c:pt>
                <c:pt idx="174">
                  <c:v>799</c:v>
                </c:pt>
                <c:pt idx="175">
                  <c:v>795</c:v>
                </c:pt>
                <c:pt idx="176">
                  <c:v>648</c:v>
                </c:pt>
                <c:pt idx="177">
                  <c:v>702</c:v>
                </c:pt>
                <c:pt idx="178">
                  <c:v>734</c:v>
                </c:pt>
                <c:pt idx="179">
                  <c:v>756</c:v>
                </c:pt>
                <c:pt idx="182" formatCode="0">
                  <c:v>729</c:v>
                </c:pt>
                <c:pt idx="183">
                  <c:v>739</c:v>
                </c:pt>
                <c:pt idx="184">
                  <c:v>748</c:v>
                </c:pt>
                <c:pt idx="185">
                  <c:v>712</c:v>
                </c:pt>
                <c:pt idx="186">
                  <c:v>728</c:v>
                </c:pt>
                <c:pt idx="187">
                  <c:v>651</c:v>
                </c:pt>
                <c:pt idx="188">
                  <c:v>673</c:v>
                </c:pt>
                <c:pt idx="189">
                  <c:v>704</c:v>
                </c:pt>
                <c:pt idx="190">
                  <c:v>717</c:v>
                </c:pt>
                <c:pt idx="191">
                  <c:v>708</c:v>
                </c:pt>
                <c:pt idx="192">
                  <c:v>704</c:v>
                </c:pt>
                <c:pt idx="193">
                  <c:v>708</c:v>
                </c:pt>
                <c:pt idx="194">
                  <c:v>874</c:v>
                </c:pt>
                <c:pt idx="195">
                  <c:v>897</c:v>
                </c:pt>
                <c:pt idx="196">
                  <c:v>920</c:v>
                </c:pt>
                <c:pt idx="197">
                  <c:v>911</c:v>
                </c:pt>
                <c:pt idx="198">
                  <c:v>925</c:v>
                </c:pt>
                <c:pt idx="199">
                  <c:v>879</c:v>
                </c:pt>
                <c:pt idx="200">
                  <c:v>630</c:v>
                </c:pt>
                <c:pt idx="201">
                  <c:v>607</c:v>
                </c:pt>
                <c:pt idx="202">
                  <c:v>639</c:v>
                </c:pt>
                <c:pt idx="203">
                  <c:v>653</c:v>
                </c:pt>
                <c:pt idx="204">
                  <c:v>644</c:v>
                </c:pt>
                <c:pt idx="205">
                  <c:v>704</c:v>
                </c:pt>
                <c:pt idx="206">
                  <c:v>736</c:v>
                </c:pt>
                <c:pt idx="207">
                  <c:v>782</c:v>
                </c:pt>
                <c:pt idx="208">
                  <c:v>787</c:v>
                </c:pt>
                <c:pt idx="209">
                  <c:v>796</c:v>
                </c:pt>
                <c:pt idx="210">
                  <c:v>805</c:v>
                </c:pt>
                <c:pt idx="211">
                  <c:v>791</c:v>
                </c:pt>
                <c:pt idx="212">
                  <c:v>805</c:v>
                </c:pt>
                <c:pt idx="213">
                  <c:v>800</c:v>
                </c:pt>
                <c:pt idx="214">
                  <c:v>819</c:v>
                </c:pt>
                <c:pt idx="215">
                  <c:v>810</c:v>
                </c:pt>
                <c:pt idx="216">
                  <c:v>828</c:v>
                </c:pt>
                <c:pt idx="217">
                  <c:v>809</c:v>
                </c:pt>
                <c:pt idx="218">
                  <c:v>862</c:v>
                </c:pt>
                <c:pt idx="219">
                  <c:v>785</c:v>
                </c:pt>
                <c:pt idx="220">
                  <c:v>800</c:v>
                </c:pt>
                <c:pt idx="221">
                  <c:v>785</c:v>
                </c:pt>
                <c:pt idx="222">
                  <c:v>781</c:v>
                </c:pt>
                <c:pt idx="223">
                  <c:v>790</c:v>
                </c:pt>
                <c:pt idx="224">
                  <c:v>818</c:v>
                </c:pt>
                <c:pt idx="225">
                  <c:v>734</c:v>
                </c:pt>
                <c:pt idx="226">
                  <c:v>714</c:v>
                </c:pt>
                <c:pt idx="227">
                  <c:v>694</c:v>
                </c:pt>
                <c:pt idx="228">
                  <c:v>698</c:v>
                </c:pt>
                <c:pt idx="229">
                  <c:v>694</c:v>
                </c:pt>
                <c:pt idx="230">
                  <c:v>673</c:v>
                </c:pt>
                <c:pt idx="231">
                  <c:v>694</c:v>
                </c:pt>
                <c:pt idx="232">
                  <c:v>602</c:v>
                </c:pt>
                <c:pt idx="233">
                  <c:v>595</c:v>
                </c:pt>
                <c:pt idx="234">
                  <c:v>598</c:v>
                </c:pt>
                <c:pt idx="235">
                  <c:v>598</c:v>
                </c:pt>
                <c:pt idx="236">
                  <c:v>574</c:v>
                </c:pt>
                <c:pt idx="237">
                  <c:v>594</c:v>
                </c:pt>
                <c:pt idx="238">
                  <c:v>586</c:v>
                </c:pt>
                <c:pt idx="239">
                  <c:v>578</c:v>
                </c:pt>
                <c:pt idx="240">
                  <c:v>572</c:v>
                </c:pt>
                <c:pt idx="241">
                  <c:v>572</c:v>
                </c:pt>
                <c:pt idx="242">
                  <c:v>554</c:v>
                </c:pt>
                <c:pt idx="243">
                  <c:v>541</c:v>
                </c:pt>
                <c:pt idx="244">
                  <c:v>515</c:v>
                </c:pt>
                <c:pt idx="245">
                  <c:v>524</c:v>
                </c:pt>
                <c:pt idx="246">
                  <c:v>546</c:v>
                </c:pt>
                <c:pt idx="247">
                  <c:v>532</c:v>
                </c:pt>
                <c:pt idx="248">
                  <c:v>546</c:v>
                </c:pt>
                <c:pt idx="249">
                  <c:v>581</c:v>
                </c:pt>
                <c:pt idx="250">
                  <c:v>585</c:v>
                </c:pt>
                <c:pt idx="251">
                  <c:v>616</c:v>
                </c:pt>
                <c:pt idx="252">
                  <c:v>625</c:v>
                </c:pt>
                <c:pt idx="253">
                  <c:v>633</c:v>
                </c:pt>
                <c:pt idx="254">
                  <c:v>642</c:v>
                </c:pt>
                <c:pt idx="255">
                  <c:v>636</c:v>
                </c:pt>
                <c:pt idx="256">
                  <c:v>641</c:v>
                </c:pt>
                <c:pt idx="257">
                  <c:v>654</c:v>
                </c:pt>
                <c:pt idx="258">
                  <c:v>609</c:v>
                </c:pt>
                <c:pt idx="259">
                  <c:v>597</c:v>
                </c:pt>
                <c:pt idx="260">
                  <c:v>602</c:v>
                </c:pt>
                <c:pt idx="261">
                  <c:v>410</c:v>
                </c:pt>
                <c:pt idx="262">
                  <c:v>400</c:v>
                </c:pt>
                <c:pt idx="263">
                  <c:v>395</c:v>
                </c:pt>
                <c:pt idx="264">
                  <c:v>358</c:v>
                </c:pt>
                <c:pt idx="265">
                  <c:v>265</c:v>
                </c:pt>
                <c:pt idx="266">
                  <c:v>643</c:v>
                </c:pt>
                <c:pt idx="267">
                  <c:v>628</c:v>
                </c:pt>
                <c:pt idx="268">
                  <c:v>638</c:v>
                </c:pt>
                <c:pt idx="269">
                  <c:v>633</c:v>
                </c:pt>
                <c:pt idx="270">
                  <c:v>647</c:v>
                </c:pt>
                <c:pt idx="271">
                  <c:v>652</c:v>
                </c:pt>
                <c:pt idx="272">
                  <c:v>655</c:v>
                </c:pt>
                <c:pt idx="273">
                  <c:v>664</c:v>
                </c:pt>
                <c:pt idx="274">
                  <c:v>672</c:v>
                </c:pt>
                <c:pt idx="275">
                  <c:v>664</c:v>
                </c:pt>
                <c:pt idx="276">
                  <c:v>678</c:v>
                </c:pt>
                <c:pt idx="277">
                  <c:v>674</c:v>
                </c:pt>
                <c:pt idx="278">
                  <c:v>700</c:v>
                </c:pt>
                <c:pt idx="279">
                  <c:v>640</c:v>
                </c:pt>
                <c:pt idx="280">
                  <c:v>642</c:v>
                </c:pt>
                <c:pt idx="281">
                  <c:v>653</c:v>
                </c:pt>
                <c:pt idx="282">
                  <c:v>670</c:v>
                </c:pt>
                <c:pt idx="283">
                  <c:v>661</c:v>
                </c:pt>
                <c:pt idx="284">
                  <c:v>674</c:v>
                </c:pt>
                <c:pt idx="285">
                  <c:v>676</c:v>
                </c:pt>
                <c:pt idx="286">
                  <c:v>666</c:v>
                </c:pt>
                <c:pt idx="287">
                  <c:v>653</c:v>
                </c:pt>
                <c:pt idx="288">
                  <c:v>640</c:v>
                </c:pt>
                <c:pt idx="289">
                  <c:v>636</c:v>
                </c:pt>
                <c:pt idx="290">
                  <c:v>704</c:v>
                </c:pt>
                <c:pt idx="291">
                  <c:v>717</c:v>
                </c:pt>
                <c:pt idx="292">
                  <c:v>721</c:v>
                </c:pt>
                <c:pt idx="293">
                  <c:v>713</c:v>
                </c:pt>
                <c:pt idx="294">
                  <c:v>726</c:v>
                </c:pt>
                <c:pt idx="295">
                  <c:v>713</c:v>
                </c:pt>
                <c:pt idx="296">
                  <c:v>969</c:v>
                </c:pt>
                <c:pt idx="297">
                  <c:v>708</c:v>
                </c:pt>
                <c:pt idx="298">
                  <c:v>726</c:v>
                </c:pt>
                <c:pt idx="299">
                  <c:v>717</c:v>
                </c:pt>
                <c:pt idx="301">
                  <c:v>736</c:v>
                </c:pt>
                <c:pt idx="302">
                  <c:v>851</c:v>
                </c:pt>
                <c:pt idx="303">
                  <c:v>819</c:v>
                </c:pt>
                <c:pt idx="304">
                  <c:v>857</c:v>
                </c:pt>
                <c:pt idx="305">
                  <c:v>862</c:v>
                </c:pt>
                <c:pt idx="306">
                  <c:v>852</c:v>
                </c:pt>
                <c:pt idx="307">
                  <c:v>857</c:v>
                </c:pt>
                <c:pt idx="308">
                  <c:v>862</c:v>
                </c:pt>
                <c:pt idx="309">
                  <c:v>857</c:v>
                </c:pt>
                <c:pt idx="310">
                  <c:v>852</c:v>
                </c:pt>
                <c:pt idx="311">
                  <c:v>819</c:v>
                </c:pt>
                <c:pt idx="312">
                  <c:v>814</c:v>
                </c:pt>
                <c:pt idx="313">
                  <c:v>738</c:v>
                </c:pt>
                <c:pt idx="314">
                  <c:v>752</c:v>
                </c:pt>
                <c:pt idx="315">
                  <c:v>857</c:v>
                </c:pt>
                <c:pt idx="316">
                  <c:v>776</c:v>
                </c:pt>
                <c:pt idx="317">
                  <c:v>666</c:v>
                </c:pt>
                <c:pt idx="318">
                  <c:v>671</c:v>
                </c:pt>
                <c:pt idx="319">
                  <c:v>662</c:v>
                </c:pt>
                <c:pt idx="320">
                  <c:v>676</c:v>
                </c:pt>
                <c:pt idx="321">
                  <c:v>690</c:v>
                </c:pt>
                <c:pt idx="322">
                  <c:v>676</c:v>
                </c:pt>
                <c:pt idx="323">
                  <c:v>708</c:v>
                </c:pt>
                <c:pt idx="324">
                  <c:v>685</c:v>
                </c:pt>
                <c:pt idx="325">
                  <c:v>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9-4E93-A084-F855F688D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59471"/>
        <c:axId val="1"/>
      </c:lineChart>
      <c:catAx>
        <c:axId val="1860859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90912493342353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400"/>
          <c:min val="2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TH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501945590134566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59471"/>
        <c:crosses val="autoZero"/>
        <c:crossBetween val="between"/>
        <c:majorUnit val="2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CaH</a:t>
            </a:r>
          </a:p>
        </c:rich>
      </c:tx>
      <c:layout>
        <c:manualLayout>
          <c:xMode val="edge"/>
          <c:yMode val="edge"/>
          <c:x val="0.4672731722063078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90416058016742"/>
          <c:y val="0.19879561928391631"/>
          <c:w val="0.83988519326860001"/>
          <c:h val="0.487300023650628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Process'!$I$5:$I$332</c:f>
              <c:numCache>
                <c:formatCode>General</c:formatCode>
                <c:ptCount val="328"/>
                <c:pt idx="0">
                  <c:v>203</c:v>
                </c:pt>
                <c:pt idx="1">
                  <c:v>194</c:v>
                </c:pt>
                <c:pt idx="2">
                  <c:v>185</c:v>
                </c:pt>
                <c:pt idx="3">
                  <c:v>194</c:v>
                </c:pt>
                <c:pt idx="4">
                  <c:v>203</c:v>
                </c:pt>
                <c:pt idx="5">
                  <c:v>190</c:v>
                </c:pt>
                <c:pt idx="7">
                  <c:v>194</c:v>
                </c:pt>
                <c:pt idx="8">
                  <c:v>249</c:v>
                </c:pt>
                <c:pt idx="9">
                  <c:v>212</c:v>
                </c:pt>
                <c:pt idx="10">
                  <c:v>356</c:v>
                </c:pt>
                <c:pt idx="11">
                  <c:v>221</c:v>
                </c:pt>
                <c:pt idx="12">
                  <c:v>207</c:v>
                </c:pt>
                <c:pt idx="13">
                  <c:v>221</c:v>
                </c:pt>
                <c:pt idx="14">
                  <c:v>212</c:v>
                </c:pt>
                <c:pt idx="15">
                  <c:v>285</c:v>
                </c:pt>
                <c:pt idx="16">
                  <c:v>207</c:v>
                </c:pt>
                <c:pt idx="17">
                  <c:v>198</c:v>
                </c:pt>
                <c:pt idx="18">
                  <c:v>258</c:v>
                </c:pt>
                <c:pt idx="19">
                  <c:v>239</c:v>
                </c:pt>
                <c:pt idx="20">
                  <c:v>253</c:v>
                </c:pt>
                <c:pt idx="21">
                  <c:v>217</c:v>
                </c:pt>
                <c:pt idx="22">
                  <c:v>250</c:v>
                </c:pt>
                <c:pt idx="23">
                  <c:v>290</c:v>
                </c:pt>
                <c:pt idx="24">
                  <c:v>218</c:v>
                </c:pt>
                <c:pt idx="25">
                  <c:v>218</c:v>
                </c:pt>
                <c:pt idx="26">
                  <c:v>259</c:v>
                </c:pt>
                <c:pt idx="27">
                  <c:v>239</c:v>
                </c:pt>
                <c:pt idx="28">
                  <c:v>224</c:v>
                </c:pt>
                <c:pt idx="29">
                  <c:v>229</c:v>
                </c:pt>
                <c:pt idx="30">
                  <c:v>244</c:v>
                </c:pt>
                <c:pt idx="31" formatCode="0">
                  <c:v>195</c:v>
                </c:pt>
                <c:pt idx="32">
                  <c:v>185</c:v>
                </c:pt>
                <c:pt idx="33">
                  <c:v>190</c:v>
                </c:pt>
                <c:pt idx="34">
                  <c:v>181</c:v>
                </c:pt>
                <c:pt idx="35">
                  <c:v>190</c:v>
                </c:pt>
                <c:pt idx="36">
                  <c:v>178</c:v>
                </c:pt>
                <c:pt idx="37">
                  <c:v>182</c:v>
                </c:pt>
                <c:pt idx="38">
                  <c:v>187</c:v>
                </c:pt>
                <c:pt idx="39">
                  <c:v>192</c:v>
                </c:pt>
                <c:pt idx="40">
                  <c:v>178</c:v>
                </c:pt>
                <c:pt idx="41">
                  <c:v>181</c:v>
                </c:pt>
                <c:pt idx="42">
                  <c:v>162</c:v>
                </c:pt>
                <c:pt idx="43">
                  <c:v>153</c:v>
                </c:pt>
                <c:pt idx="44">
                  <c:v>167</c:v>
                </c:pt>
                <c:pt idx="45">
                  <c:v>165</c:v>
                </c:pt>
                <c:pt idx="46">
                  <c:v>199</c:v>
                </c:pt>
                <c:pt idx="47">
                  <c:v>177</c:v>
                </c:pt>
                <c:pt idx="48">
                  <c:v>194</c:v>
                </c:pt>
                <c:pt idx="49">
                  <c:v>320</c:v>
                </c:pt>
                <c:pt idx="50">
                  <c:v>316</c:v>
                </c:pt>
                <c:pt idx="51">
                  <c:v>302</c:v>
                </c:pt>
                <c:pt idx="52">
                  <c:v>288</c:v>
                </c:pt>
                <c:pt idx="53">
                  <c:v>302</c:v>
                </c:pt>
                <c:pt idx="54">
                  <c:v>302</c:v>
                </c:pt>
                <c:pt idx="55">
                  <c:v>294</c:v>
                </c:pt>
                <c:pt idx="56" formatCode="0">
                  <c:v>285</c:v>
                </c:pt>
                <c:pt idx="57">
                  <c:v>280</c:v>
                </c:pt>
                <c:pt idx="58">
                  <c:v>289</c:v>
                </c:pt>
                <c:pt idx="59">
                  <c:v>285</c:v>
                </c:pt>
                <c:pt idx="60">
                  <c:v>289</c:v>
                </c:pt>
                <c:pt idx="61">
                  <c:v>285</c:v>
                </c:pt>
                <c:pt idx="62">
                  <c:v>271</c:v>
                </c:pt>
                <c:pt idx="63">
                  <c:v>262</c:v>
                </c:pt>
                <c:pt idx="64">
                  <c:v>260</c:v>
                </c:pt>
                <c:pt idx="65">
                  <c:v>255</c:v>
                </c:pt>
                <c:pt idx="66">
                  <c:v>255</c:v>
                </c:pt>
                <c:pt idx="67">
                  <c:v>246</c:v>
                </c:pt>
                <c:pt idx="68">
                  <c:v>241</c:v>
                </c:pt>
                <c:pt idx="69">
                  <c:v>240</c:v>
                </c:pt>
                <c:pt idx="70">
                  <c:v>249</c:v>
                </c:pt>
                <c:pt idx="71">
                  <c:v>224</c:v>
                </c:pt>
                <c:pt idx="72">
                  <c:v>249</c:v>
                </c:pt>
                <c:pt idx="73">
                  <c:v>240</c:v>
                </c:pt>
                <c:pt idx="74">
                  <c:v>231</c:v>
                </c:pt>
                <c:pt idx="75">
                  <c:v>229</c:v>
                </c:pt>
                <c:pt idx="76">
                  <c:v>225</c:v>
                </c:pt>
                <c:pt idx="77">
                  <c:v>222</c:v>
                </c:pt>
                <c:pt idx="78">
                  <c:v>218</c:v>
                </c:pt>
                <c:pt idx="79">
                  <c:v>221</c:v>
                </c:pt>
                <c:pt idx="80">
                  <c:v>233</c:v>
                </c:pt>
                <c:pt idx="81">
                  <c:v>229</c:v>
                </c:pt>
                <c:pt idx="82">
                  <c:v>220</c:v>
                </c:pt>
                <c:pt idx="83" formatCode="0">
                  <c:v>224</c:v>
                </c:pt>
                <c:pt idx="84">
                  <c:v>216</c:v>
                </c:pt>
                <c:pt idx="85">
                  <c:v>208</c:v>
                </c:pt>
                <c:pt idx="86">
                  <c:v>220</c:v>
                </c:pt>
                <c:pt idx="87">
                  <c:v>208</c:v>
                </c:pt>
                <c:pt idx="88">
                  <c:v>216</c:v>
                </c:pt>
                <c:pt idx="89">
                  <c:v>220</c:v>
                </c:pt>
                <c:pt idx="90">
                  <c:v>225</c:v>
                </c:pt>
                <c:pt idx="91">
                  <c:v>216</c:v>
                </c:pt>
                <c:pt idx="92">
                  <c:v>220</c:v>
                </c:pt>
                <c:pt idx="93">
                  <c:v>223</c:v>
                </c:pt>
                <c:pt idx="94">
                  <c:v>223</c:v>
                </c:pt>
                <c:pt idx="95">
                  <c:v>227</c:v>
                </c:pt>
                <c:pt idx="96">
                  <c:v>235</c:v>
                </c:pt>
                <c:pt idx="97">
                  <c:v>244</c:v>
                </c:pt>
                <c:pt idx="98">
                  <c:v>239</c:v>
                </c:pt>
                <c:pt idx="99">
                  <c:v>248</c:v>
                </c:pt>
                <c:pt idx="100">
                  <c:v>237</c:v>
                </c:pt>
                <c:pt idx="101">
                  <c:v>220</c:v>
                </c:pt>
                <c:pt idx="102">
                  <c:v>229</c:v>
                </c:pt>
                <c:pt idx="103">
                  <c:v>237</c:v>
                </c:pt>
                <c:pt idx="104">
                  <c:v>237</c:v>
                </c:pt>
                <c:pt idx="105">
                  <c:v>315</c:v>
                </c:pt>
                <c:pt idx="106">
                  <c:v>298</c:v>
                </c:pt>
                <c:pt idx="107" formatCode="0">
                  <c:v>294</c:v>
                </c:pt>
                <c:pt idx="108">
                  <c:v>302</c:v>
                </c:pt>
                <c:pt idx="109">
                  <c:v>298</c:v>
                </c:pt>
                <c:pt idx="110">
                  <c:v>356</c:v>
                </c:pt>
                <c:pt idx="111">
                  <c:v>293</c:v>
                </c:pt>
                <c:pt idx="112">
                  <c:v>288</c:v>
                </c:pt>
                <c:pt idx="113">
                  <c:v>297</c:v>
                </c:pt>
                <c:pt idx="114">
                  <c:v>247</c:v>
                </c:pt>
                <c:pt idx="115">
                  <c:v>298</c:v>
                </c:pt>
                <c:pt idx="116">
                  <c:v>283</c:v>
                </c:pt>
                <c:pt idx="117">
                  <c:v>270</c:v>
                </c:pt>
                <c:pt idx="118">
                  <c:v>261</c:v>
                </c:pt>
                <c:pt idx="119">
                  <c:v>253</c:v>
                </c:pt>
                <c:pt idx="120">
                  <c:v>265</c:v>
                </c:pt>
                <c:pt idx="121">
                  <c:v>257</c:v>
                </c:pt>
                <c:pt idx="122">
                  <c:v>273</c:v>
                </c:pt>
                <c:pt idx="123">
                  <c:v>253</c:v>
                </c:pt>
                <c:pt idx="124">
                  <c:v>287</c:v>
                </c:pt>
                <c:pt idx="125">
                  <c:v>278</c:v>
                </c:pt>
                <c:pt idx="126">
                  <c:v>298</c:v>
                </c:pt>
                <c:pt idx="127">
                  <c:v>320</c:v>
                </c:pt>
                <c:pt idx="128">
                  <c:v>329</c:v>
                </c:pt>
                <c:pt idx="129">
                  <c:v>302</c:v>
                </c:pt>
                <c:pt idx="130">
                  <c:v>324</c:v>
                </c:pt>
                <c:pt idx="131">
                  <c:v>311</c:v>
                </c:pt>
                <c:pt idx="132">
                  <c:v>320</c:v>
                </c:pt>
                <c:pt idx="133" formatCode="0">
                  <c:v>315</c:v>
                </c:pt>
                <c:pt idx="134">
                  <c:v>324</c:v>
                </c:pt>
                <c:pt idx="135">
                  <c:v>320</c:v>
                </c:pt>
                <c:pt idx="136">
                  <c:v>315</c:v>
                </c:pt>
                <c:pt idx="137">
                  <c:v>315</c:v>
                </c:pt>
                <c:pt idx="138">
                  <c:v>325</c:v>
                </c:pt>
                <c:pt idx="139">
                  <c:v>278</c:v>
                </c:pt>
                <c:pt idx="140">
                  <c:v>278</c:v>
                </c:pt>
                <c:pt idx="141">
                  <c:v>283</c:v>
                </c:pt>
                <c:pt idx="142">
                  <c:v>302</c:v>
                </c:pt>
                <c:pt idx="143">
                  <c:v>288</c:v>
                </c:pt>
                <c:pt idx="144">
                  <c:v>278</c:v>
                </c:pt>
                <c:pt idx="145">
                  <c:v>292</c:v>
                </c:pt>
                <c:pt idx="146">
                  <c:v>298</c:v>
                </c:pt>
                <c:pt idx="147">
                  <c:v>300</c:v>
                </c:pt>
                <c:pt idx="148">
                  <c:v>293</c:v>
                </c:pt>
                <c:pt idx="149">
                  <c:v>302</c:v>
                </c:pt>
                <c:pt idx="150">
                  <c:v>312</c:v>
                </c:pt>
                <c:pt idx="151">
                  <c:v>307</c:v>
                </c:pt>
                <c:pt idx="152">
                  <c:v>304</c:v>
                </c:pt>
                <c:pt idx="153">
                  <c:v>396</c:v>
                </c:pt>
                <c:pt idx="154">
                  <c:v>400</c:v>
                </c:pt>
                <c:pt idx="155">
                  <c:v>396</c:v>
                </c:pt>
                <c:pt idx="156">
                  <c:v>391</c:v>
                </c:pt>
                <c:pt idx="157">
                  <c:v>369</c:v>
                </c:pt>
                <c:pt idx="158">
                  <c:v>377</c:v>
                </c:pt>
                <c:pt idx="159" formatCode="0">
                  <c:v>383</c:v>
                </c:pt>
                <c:pt idx="160">
                  <c:v>377</c:v>
                </c:pt>
                <c:pt idx="161">
                  <c:v>382</c:v>
                </c:pt>
                <c:pt idx="162">
                  <c:v>422</c:v>
                </c:pt>
                <c:pt idx="163">
                  <c:v>391</c:v>
                </c:pt>
                <c:pt idx="164">
                  <c:v>382</c:v>
                </c:pt>
                <c:pt idx="165">
                  <c:v>361</c:v>
                </c:pt>
                <c:pt idx="166">
                  <c:v>364</c:v>
                </c:pt>
                <c:pt idx="167">
                  <c:v>438</c:v>
                </c:pt>
                <c:pt idx="168">
                  <c:v>452</c:v>
                </c:pt>
                <c:pt idx="169">
                  <c:v>443</c:v>
                </c:pt>
                <c:pt idx="170">
                  <c:v>442</c:v>
                </c:pt>
                <c:pt idx="171">
                  <c:v>435</c:v>
                </c:pt>
                <c:pt idx="172">
                  <c:v>451</c:v>
                </c:pt>
                <c:pt idx="173">
                  <c:v>454</c:v>
                </c:pt>
                <c:pt idx="174">
                  <c:v>445</c:v>
                </c:pt>
                <c:pt idx="175">
                  <c:v>449</c:v>
                </c:pt>
                <c:pt idx="176">
                  <c:v>389</c:v>
                </c:pt>
                <c:pt idx="177">
                  <c:v>402</c:v>
                </c:pt>
                <c:pt idx="178">
                  <c:v>410</c:v>
                </c:pt>
                <c:pt idx="179">
                  <c:v>428</c:v>
                </c:pt>
                <c:pt idx="182" formatCode="0">
                  <c:v>399</c:v>
                </c:pt>
                <c:pt idx="183">
                  <c:v>418</c:v>
                </c:pt>
                <c:pt idx="184">
                  <c:v>422</c:v>
                </c:pt>
                <c:pt idx="185">
                  <c:v>405</c:v>
                </c:pt>
                <c:pt idx="186">
                  <c:v>392</c:v>
                </c:pt>
                <c:pt idx="187">
                  <c:v>374</c:v>
                </c:pt>
                <c:pt idx="188">
                  <c:v>387</c:v>
                </c:pt>
                <c:pt idx="189">
                  <c:v>396</c:v>
                </c:pt>
                <c:pt idx="190">
                  <c:v>405</c:v>
                </c:pt>
                <c:pt idx="191">
                  <c:v>392</c:v>
                </c:pt>
                <c:pt idx="192">
                  <c:v>387</c:v>
                </c:pt>
                <c:pt idx="193">
                  <c:v>374</c:v>
                </c:pt>
                <c:pt idx="194">
                  <c:v>506</c:v>
                </c:pt>
                <c:pt idx="195">
                  <c:v>515</c:v>
                </c:pt>
                <c:pt idx="196">
                  <c:v>524</c:v>
                </c:pt>
                <c:pt idx="197">
                  <c:v>511</c:v>
                </c:pt>
                <c:pt idx="198">
                  <c:v>520</c:v>
                </c:pt>
                <c:pt idx="199">
                  <c:v>460</c:v>
                </c:pt>
                <c:pt idx="200">
                  <c:v>331</c:v>
                </c:pt>
                <c:pt idx="201">
                  <c:v>322</c:v>
                </c:pt>
                <c:pt idx="202">
                  <c:v>363</c:v>
                </c:pt>
                <c:pt idx="203">
                  <c:v>368</c:v>
                </c:pt>
                <c:pt idx="204">
                  <c:v>377</c:v>
                </c:pt>
                <c:pt idx="205">
                  <c:v>382</c:v>
                </c:pt>
                <c:pt idx="206">
                  <c:v>432</c:v>
                </c:pt>
                <c:pt idx="207">
                  <c:v>423</c:v>
                </c:pt>
                <c:pt idx="208">
                  <c:v>428</c:v>
                </c:pt>
                <c:pt idx="209">
                  <c:v>419</c:v>
                </c:pt>
                <c:pt idx="210">
                  <c:v>428</c:v>
                </c:pt>
                <c:pt idx="211">
                  <c:v>428</c:v>
                </c:pt>
                <c:pt idx="212">
                  <c:v>428</c:v>
                </c:pt>
                <c:pt idx="213">
                  <c:v>414</c:v>
                </c:pt>
                <c:pt idx="214">
                  <c:v>428</c:v>
                </c:pt>
                <c:pt idx="215">
                  <c:v>432</c:v>
                </c:pt>
                <c:pt idx="216">
                  <c:v>428</c:v>
                </c:pt>
                <c:pt idx="217">
                  <c:v>424</c:v>
                </c:pt>
                <c:pt idx="218">
                  <c:v>405</c:v>
                </c:pt>
                <c:pt idx="219">
                  <c:v>414</c:v>
                </c:pt>
                <c:pt idx="220">
                  <c:v>409</c:v>
                </c:pt>
                <c:pt idx="221">
                  <c:v>390</c:v>
                </c:pt>
                <c:pt idx="222">
                  <c:v>386</c:v>
                </c:pt>
                <c:pt idx="223">
                  <c:v>388</c:v>
                </c:pt>
                <c:pt idx="224">
                  <c:v>347</c:v>
                </c:pt>
                <c:pt idx="225">
                  <c:v>360</c:v>
                </c:pt>
                <c:pt idx="226">
                  <c:v>306</c:v>
                </c:pt>
                <c:pt idx="227">
                  <c:v>394</c:v>
                </c:pt>
                <c:pt idx="228">
                  <c:v>398</c:v>
                </c:pt>
                <c:pt idx="229">
                  <c:v>388</c:v>
                </c:pt>
                <c:pt idx="230">
                  <c:v>371</c:v>
                </c:pt>
                <c:pt idx="231">
                  <c:v>384</c:v>
                </c:pt>
                <c:pt idx="232">
                  <c:v>521</c:v>
                </c:pt>
                <c:pt idx="233">
                  <c:v>317</c:v>
                </c:pt>
                <c:pt idx="234">
                  <c:v>321</c:v>
                </c:pt>
                <c:pt idx="235">
                  <c:v>329</c:v>
                </c:pt>
                <c:pt idx="236">
                  <c:v>356</c:v>
                </c:pt>
                <c:pt idx="237">
                  <c:v>329</c:v>
                </c:pt>
                <c:pt idx="238">
                  <c:v>325</c:v>
                </c:pt>
                <c:pt idx="239">
                  <c:v>321</c:v>
                </c:pt>
                <c:pt idx="240">
                  <c:v>317</c:v>
                </c:pt>
                <c:pt idx="241">
                  <c:v>317</c:v>
                </c:pt>
                <c:pt idx="242">
                  <c:v>326</c:v>
                </c:pt>
                <c:pt idx="243">
                  <c:v>330</c:v>
                </c:pt>
                <c:pt idx="244">
                  <c:v>312</c:v>
                </c:pt>
                <c:pt idx="245">
                  <c:v>317</c:v>
                </c:pt>
                <c:pt idx="246">
                  <c:v>326</c:v>
                </c:pt>
                <c:pt idx="247">
                  <c:v>307</c:v>
                </c:pt>
                <c:pt idx="248">
                  <c:v>321</c:v>
                </c:pt>
                <c:pt idx="249">
                  <c:v>308</c:v>
                </c:pt>
                <c:pt idx="250">
                  <c:v>312</c:v>
                </c:pt>
                <c:pt idx="251">
                  <c:v>321</c:v>
                </c:pt>
                <c:pt idx="252">
                  <c:v>323</c:v>
                </c:pt>
                <c:pt idx="253">
                  <c:v>330</c:v>
                </c:pt>
                <c:pt idx="254">
                  <c:v>334</c:v>
                </c:pt>
                <c:pt idx="255">
                  <c:v>340</c:v>
                </c:pt>
                <c:pt idx="256">
                  <c:v>336</c:v>
                </c:pt>
                <c:pt idx="257">
                  <c:v>323</c:v>
                </c:pt>
                <c:pt idx="258">
                  <c:v>323</c:v>
                </c:pt>
                <c:pt idx="259">
                  <c:v>309</c:v>
                </c:pt>
                <c:pt idx="260">
                  <c:v>313</c:v>
                </c:pt>
                <c:pt idx="261">
                  <c:v>266</c:v>
                </c:pt>
                <c:pt idx="262">
                  <c:v>254</c:v>
                </c:pt>
                <c:pt idx="263">
                  <c:v>244</c:v>
                </c:pt>
                <c:pt idx="264">
                  <c:v>212</c:v>
                </c:pt>
                <c:pt idx="265">
                  <c:v>167</c:v>
                </c:pt>
                <c:pt idx="266">
                  <c:v>405</c:v>
                </c:pt>
                <c:pt idx="267">
                  <c:v>395</c:v>
                </c:pt>
                <c:pt idx="268">
                  <c:v>395</c:v>
                </c:pt>
                <c:pt idx="269">
                  <c:v>390</c:v>
                </c:pt>
                <c:pt idx="270">
                  <c:v>391</c:v>
                </c:pt>
                <c:pt idx="271">
                  <c:v>395</c:v>
                </c:pt>
                <c:pt idx="272">
                  <c:v>361</c:v>
                </c:pt>
                <c:pt idx="273">
                  <c:v>357</c:v>
                </c:pt>
                <c:pt idx="274">
                  <c:v>357</c:v>
                </c:pt>
                <c:pt idx="275">
                  <c:v>349</c:v>
                </c:pt>
                <c:pt idx="276">
                  <c:v>352</c:v>
                </c:pt>
                <c:pt idx="277">
                  <c:v>352</c:v>
                </c:pt>
                <c:pt idx="278">
                  <c:v>360</c:v>
                </c:pt>
                <c:pt idx="279">
                  <c:v>354</c:v>
                </c:pt>
                <c:pt idx="280">
                  <c:v>352</c:v>
                </c:pt>
                <c:pt idx="281">
                  <c:v>339</c:v>
                </c:pt>
                <c:pt idx="282">
                  <c:v>348</c:v>
                </c:pt>
                <c:pt idx="283">
                  <c:v>346</c:v>
                </c:pt>
                <c:pt idx="284">
                  <c:v>348</c:v>
                </c:pt>
                <c:pt idx="285">
                  <c:v>352</c:v>
                </c:pt>
                <c:pt idx="286">
                  <c:v>345</c:v>
                </c:pt>
                <c:pt idx="287">
                  <c:v>343</c:v>
                </c:pt>
                <c:pt idx="288">
                  <c:v>337</c:v>
                </c:pt>
                <c:pt idx="289">
                  <c:v>335</c:v>
                </c:pt>
                <c:pt idx="290">
                  <c:v>373</c:v>
                </c:pt>
                <c:pt idx="291">
                  <c:v>348</c:v>
                </c:pt>
                <c:pt idx="292">
                  <c:v>367</c:v>
                </c:pt>
                <c:pt idx="293">
                  <c:v>363</c:v>
                </c:pt>
                <c:pt idx="294">
                  <c:v>376</c:v>
                </c:pt>
                <c:pt idx="295">
                  <c:v>367</c:v>
                </c:pt>
                <c:pt idx="296">
                  <c:v>384</c:v>
                </c:pt>
                <c:pt idx="297">
                  <c:v>376</c:v>
                </c:pt>
                <c:pt idx="298">
                  <c:v>363</c:v>
                </c:pt>
                <c:pt idx="299">
                  <c:v>380</c:v>
                </c:pt>
                <c:pt idx="301">
                  <c:v>368</c:v>
                </c:pt>
                <c:pt idx="302">
                  <c:v>459</c:v>
                </c:pt>
                <c:pt idx="303">
                  <c:v>460</c:v>
                </c:pt>
                <c:pt idx="304">
                  <c:v>486</c:v>
                </c:pt>
                <c:pt idx="305">
                  <c:v>481</c:v>
                </c:pt>
                <c:pt idx="306">
                  <c:v>476</c:v>
                </c:pt>
                <c:pt idx="307">
                  <c:v>483</c:v>
                </c:pt>
                <c:pt idx="308">
                  <c:v>476</c:v>
                </c:pt>
                <c:pt idx="309">
                  <c:v>481</c:v>
                </c:pt>
                <c:pt idx="310">
                  <c:v>476</c:v>
                </c:pt>
                <c:pt idx="311">
                  <c:v>457</c:v>
                </c:pt>
                <c:pt idx="312">
                  <c:v>466</c:v>
                </c:pt>
                <c:pt idx="313">
                  <c:v>471</c:v>
                </c:pt>
                <c:pt idx="314">
                  <c:v>466</c:v>
                </c:pt>
                <c:pt idx="315">
                  <c:v>438</c:v>
                </c:pt>
                <c:pt idx="316">
                  <c:v>443</c:v>
                </c:pt>
                <c:pt idx="317">
                  <c:v>395</c:v>
                </c:pt>
                <c:pt idx="318">
                  <c:v>400</c:v>
                </c:pt>
                <c:pt idx="319">
                  <c:v>409</c:v>
                </c:pt>
                <c:pt idx="320">
                  <c:v>400</c:v>
                </c:pt>
                <c:pt idx="321">
                  <c:v>390</c:v>
                </c:pt>
                <c:pt idx="322">
                  <c:v>381</c:v>
                </c:pt>
                <c:pt idx="323">
                  <c:v>426</c:v>
                </c:pt>
                <c:pt idx="324">
                  <c:v>417</c:v>
                </c:pt>
                <c:pt idx="325">
                  <c:v>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9-4D03-8362-C7E7675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50351"/>
        <c:axId val="1"/>
      </c:lineChart>
      <c:catAx>
        <c:axId val="1860850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0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800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CaH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30739490896971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50351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Chlorides</a:t>
            </a:r>
          </a:p>
        </c:rich>
      </c:tx>
      <c:layout>
        <c:manualLayout>
          <c:xMode val="edge"/>
          <c:yMode val="edge"/>
          <c:x val="0.4345458645822836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90416058016742"/>
          <c:y val="0.19819877943992656"/>
          <c:w val="0.83988519326860001"/>
          <c:h val="0.50422852677148355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Process'!$K$5:$K$332</c:f>
              <c:numCache>
                <c:formatCode>General</c:formatCode>
                <c:ptCount val="328"/>
                <c:pt idx="0">
                  <c:v>186</c:v>
                </c:pt>
                <c:pt idx="1">
                  <c:v>194</c:v>
                </c:pt>
                <c:pt idx="2">
                  <c:v>170</c:v>
                </c:pt>
                <c:pt idx="3">
                  <c:v>186</c:v>
                </c:pt>
                <c:pt idx="4">
                  <c:v>203</c:v>
                </c:pt>
                <c:pt idx="5">
                  <c:v>194</c:v>
                </c:pt>
                <c:pt idx="6" formatCode="0">
                  <c:v>203</c:v>
                </c:pt>
                <c:pt idx="7">
                  <c:v>194</c:v>
                </c:pt>
                <c:pt idx="8">
                  <c:v>170</c:v>
                </c:pt>
                <c:pt idx="9">
                  <c:v>170</c:v>
                </c:pt>
                <c:pt idx="10">
                  <c:v>178</c:v>
                </c:pt>
                <c:pt idx="11">
                  <c:v>170</c:v>
                </c:pt>
                <c:pt idx="12">
                  <c:v>170</c:v>
                </c:pt>
                <c:pt idx="13">
                  <c:v>178</c:v>
                </c:pt>
                <c:pt idx="14">
                  <c:v>170</c:v>
                </c:pt>
                <c:pt idx="15">
                  <c:v>178</c:v>
                </c:pt>
                <c:pt idx="16">
                  <c:v>170</c:v>
                </c:pt>
                <c:pt idx="17">
                  <c:v>162</c:v>
                </c:pt>
                <c:pt idx="18">
                  <c:v>146</c:v>
                </c:pt>
                <c:pt idx="19">
                  <c:v>122</c:v>
                </c:pt>
                <c:pt idx="20">
                  <c:v>146</c:v>
                </c:pt>
                <c:pt idx="21">
                  <c:v>130</c:v>
                </c:pt>
                <c:pt idx="22">
                  <c:v>138</c:v>
                </c:pt>
                <c:pt idx="23">
                  <c:v>146</c:v>
                </c:pt>
                <c:pt idx="24">
                  <c:v>146</c:v>
                </c:pt>
                <c:pt idx="25">
                  <c:v>122</c:v>
                </c:pt>
                <c:pt idx="26">
                  <c:v>154</c:v>
                </c:pt>
                <c:pt idx="27">
                  <c:v>138</c:v>
                </c:pt>
                <c:pt idx="28">
                  <c:v>154</c:v>
                </c:pt>
                <c:pt idx="29">
                  <c:v>162</c:v>
                </c:pt>
                <c:pt idx="30">
                  <c:v>138</c:v>
                </c:pt>
                <c:pt idx="31" formatCode="0">
                  <c:v>105</c:v>
                </c:pt>
                <c:pt idx="32">
                  <c:v>97</c:v>
                </c:pt>
                <c:pt idx="33">
                  <c:v>131</c:v>
                </c:pt>
                <c:pt idx="34">
                  <c:v>116</c:v>
                </c:pt>
                <c:pt idx="35">
                  <c:v>124</c:v>
                </c:pt>
                <c:pt idx="36">
                  <c:v>109</c:v>
                </c:pt>
                <c:pt idx="37">
                  <c:v>138</c:v>
                </c:pt>
                <c:pt idx="38">
                  <c:v>109</c:v>
                </c:pt>
                <c:pt idx="39">
                  <c:v>116</c:v>
                </c:pt>
                <c:pt idx="40">
                  <c:v>102</c:v>
                </c:pt>
                <c:pt idx="41">
                  <c:v>122</c:v>
                </c:pt>
                <c:pt idx="42">
                  <c:v>106</c:v>
                </c:pt>
                <c:pt idx="43">
                  <c:v>110</c:v>
                </c:pt>
                <c:pt idx="44">
                  <c:v>114</c:v>
                </c:pt>
                <c:pt idx="45">
                  <c:v>109</c:v>
                </c:pt>
                <c:pt idx="46">
                  <c:v>116</c:v>
                </c:pt>
                <c:pt idx="47">
                  <c:v>109</c:v>
                </c:pt>
                <c:pt idx="48">
                  <c:v>116</c:v>
                </c:pt>
                <c:pt idx="49">
                  <c:v>167</c:v>
                </c:pt>
                <c:pt idx="50">
                  <c:v>153</c:v>
                </c:pt>
                <c:pt idx="51">
                  <c:v>146</c:v>
                </c:pt>
                <c:pt idx="52">
                  <c:v>156</c:v>
                </c:pt>
                <c:pt idx="53">
                  <c:v>167</c:v>
                </c:pt>
                <c:pt idx="54">
                  <c:v>138</c:v>
                </c:pt>
                <c:pt idx="55">
                  <c:v>160</c:v>
                </c:pt>
                <c:pt idx="56" formatCode="0">
                  <c:v>153</c:v>
                </c:pt>
                <c:pt idx="57">
                  <c:v>160</c:v>
                </c:pt>
                <c:pt idx="58">
                  <c:v>153</c:v>
                </c:pt>
                <c:pt idx="59">
                  <c:v>160</c:v>
                </c:pt>
                <c:pt idx="60">
                  <c:v>167</c:v>
                </c:pt>
                <c:pt idx="61">
                  <c:v>153</c:v>
                </c:pt>
                <c:pt idx="62">
                  <c:v>146</c:v>
                </c:pt>
                <c:pt idx="63">
                  <c:v>138</c:v>
                </c:pt>
                <c:pt idx="64">
                  <c:v>153</c:v>
                </c:pt>
                <c:pt idx="65">
                  <c:v>146</c:v>
                </c:pt>
                <c:pt idx="66">
                  <c:v>167</c:v>
                </c:pt>
                <c:pt idx="67">
                  <c:v>153</c:v>
                </c:pt>
                <c:pt idx="68">
                  <c:v>146</c:v>
                </c:pt>
                <c:pt idx="69">
                  <c:v>160</c:v>
                </c:pt>
                <c:pt idx="70">
                  <c:v>167</c:v>
                </c:pt>
                <c:pt idx="71">
                  <c:v>160</c:v>
                </c:pt>
                <c:pt idx="72">
                  <c:v>167</c:v>
                </c:pt>
                <c:pt idx="73">
                  <c:v>160</c:v>
                </c:pt>
                <c:pt idx="74">
                  <c:v>153</c:v>
                </c:pt>
                <c:pt idx="75">
                  <c:v>167</c:v>
                </c:pt>
                <c:pt idx="76">
                  <c:v>153</c:v>
                </c:pt>
                <c:pt idx="77">
                  <c:v>167</c:v>
                </c:pt>
                <c:pt idx="78">
                  <c:v>160</c:v>
                </c:pt>
                <c:pt idx="79">
                  <c:v>167</c:v>
                </c:pt>
                <c:pt idx="80">
                  <c:v>160</c:v>
                </c:pt>
                <c:pt idx="81">
                  <c:v>153</c:v>
                </c:pt>
                <c:pt idx="82">
                  <c:v>167</c:v>
                </c:pt>
                <c:pt idx="83" formatCode="0">
                  <c:v>182</c:v>
                </c:pt>
                <c:pt idx="84">
                  <c:v>175</c:v>
                </c:pt>
                <c:pt idx="85">
                  <c:v>166</c:v>
                </c:pt>
                <c:pt idx="86">
                  <c:v>146</c:v>
                </c:pt>
                <c:pt idx="87">
                  <c:v>153</c:v>
                </c:pt>
                <c:pt idx="88">
                  <c:v>153</c:v>
                </c:pt>
                <c:pt idx="89">
                  <c:v>160</c:v>
                </c:pt>
                <c:pt idx="90">
                  <c:v>153</c:v>
                </c:pt>
                <c:pt idx="91">
                  <c:v>160</c:v>
                </c:pt>
                <c:pt idx="92">
                  <c:v>153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167</c:v>
                </c:pt>
                <c:pt idx="97">
                  <c:v>175</c:v>
                </c:pt>
                <c:pt idx="98">
                  <c:v>175</c:v>
                </c:pt>
                <c:pt idx="99">
                  <c:v>160</c:v>
                </c:pt>
                <c:pt idx="100">
                  <c:v>167</c:v>
                </c:pt>
                <c:pt idx="101">
                  <c:v>153</c:v>
                </c:pt>
                <c:pt idx="102">
                  <c:v>160</c:v>
                </c:pt>
                <c:pt idx="103">
                  <c:v>146</c:v>
                </c:pt>
                <c:pt idx="104">
                  <c:v>167</c:v>
                </c:pt>
                <c:pt idx="105">
                  <c:v>160</c:v>
                </c:pt>
                <c:pt idx="106">
                  <c:v>160</c:v>
                </c:pt>
                <c:pt idx="107" formatCode="0">
                  <c:v>153</c:v>
                </c:pt>
                <c:pt idx="108">
                  <c:v>160</c:v>
                </c:pt>
                <c:pt idx="109">
                  <c:v>153</c:v>
                </c:pt>
                <c:pt idx="110">
                  <c:v>153</c:v>
                </c:pt>
                <c:pt idx="111">
                  <c:v>160</c:v>
                </c:pt>
                <c:pt idx="112">
                  <c:v>156</c:v>
                </c:pt>
                <c:pt idx="113">
                  <c:v>146</c:v>
                </c:pt>
                <c:pt idx="114">
                  <c:v>138</c:v>
                </c:pt>
                <c:pt idx="115">
                  <c:v>131</c:v>
                </c:pt>
                <c:pt idx="116">
                  <c:v>146</c:v>
                </c:pt>
                <c:pt idx="117">
                  <c:v>160</c:v>
                </c:pt>
                <c:pt idx="118">
                  <c:v>153</c:v>
                </c:pt>
                <c:pt idx="119">
                  <c:v>146</c:v>
                </c:pt>
                <c:pt idx="120">
                  <c:v>160</c:v>
                </c:pt>
                <c:pt idx="121">
                  <c:v>153</c:v>
                </c:pt>
                <c:pt idx="122">
                  <c:v>167</c:v>
                </c:pt>
                <c:pt idx="123">
                  <c:v>153</c:v>
                </c:pt>
                <c:pt idx="124">
                  <c:v>146</c:v>
                </c:pt>
                <c:pt idx="125">
                  <c:v>153</c:v>
                </c:pt>
                <c:pt idx="126">
                  <c:v>155</c:v>
                </c:pt>
                <c:pt idx="127">
                  <c:v>182</c:v>
                </c:pt>
                <c:pt idx="128">
                  <c:v>196</c:v>
                </c:pt>
                <c:pt idx="129">
                  <c:v>187</c:v>
                </c:pt>
                <c:pt idx="130">
                  <c:v>179</c:v>
                </c:pt>
                <c:pt idx="131">
                  <c:v>158</c:v>
                </c:pt>
                <c:pt idx="132">
                  <c:v>144</c:v>
                </c:pt>
                <c:pt idx="133" formatCode="0">
                  <c:v>165</c:v>
                </c:pt>
                <c:pt idx="134">
                  <c:v>151</c:v>
                </c:pt>
                <c:pt idx="135">
                  <c:v>144</c:v>
                </c:pt>
                <c:pt idx="136">
                  <c:v>158</c:v>
                </c:pt>
                <c:pt idx="137">
                  <c:v>158</c:v>
                </c:pt>
                <c:pt idx="138">
                  <c:v>172</c:v>
                </c:pt>
                <c:pt idx="139">
                  <c:v>165</c:v>
                </c:pt>
                <c:pt idx="140">
                  <c:v>158</c:v>
                </c:pt>
                <c:pt idx="141">
                  <c:v>158</c:v>
                </c:pt>
                <c:pt idx="142">
                  <c:v>165</c:v>
                </c:pt>
                <c:pt idx="143">
                  <c:v>187</c:v>
                </c:pt>
                <c:pt idx="144">
                  <c:v>172</c:v>
                </c:pt>
                <c:pt idx="145">
                  <c:v>172</c:v>
                </c:pt>
                <c:pt idx="146">
                  <c:v>187</c:v>
                </c:pt>
                <c:pt idx="147">
                  <c:v>165</c:v>
                </c:pt>
                <c:pt idx="148">
                  <c:v>158</c:v>
                </c:pt>
                <c:pt idx="149">
                  <c:v>172</c:v>
                </c:pt>
                <c:pt idx="150">
                  <c:v>187</c:v>
                </c:pt>
                <c:pt idx="151">
                  <c:v>165</c:v>
                </c:pt>
                <c:pt idx="152">
                  <c:v>194</c:v>
                </c:pt>
                <c:pt idx="153">
                  <c:v>178</c:v>
                </c:pt>
                <c:pt idx="154">
                  <c:v>194</c:v>
                </c:pt>
                <c:pt idx="155">
                  <c:v>178</c:v>
                </c:pt>
                <c:pt idx="156">
                  <c:v>203</c:v>
                </c:pt>
                <c:pt idx="157">
                  <c:v>179</c:v>
                </c:pt>
                <c:pt idx="158">
                  <c:v>165</c:v>
                </c:pt>
                <c:pt idx="159" formatCode="0">
                  <c:v>172</c:v>
                </c:pt>
                <c:pt idx="160">
                  <c:v>158</c:v>
                </c:pt>
                <c:pt idx="161">
                  <c:v>165</c:v>
                </c:pt>
                <c:pt idx="162">
                  <c:v>179</c:v>
                </c:pt>
                <c:pt idx="163">
                  <c:v>179</c:v>
                </c:pt>
                <c:pt idx="164">
                  <c:v>165</c:v>
                </c:pt>
                <c:pt idx="165">
                  <c:v>172</c:v>
                </c:pt>
                <c:pt idx="166">
                  <c:v>158</c:v>
                </c:pt>
                <c:pt idx="167">
                  <c:v>143</c:v>
                </c:pt>
                <c:pt idx="168">
                  <c:v>179</c:v>
                </c:pt>
                <c:pt idx="169">
                  <c:v>165</c:v>
                </c:pt>
                <c:pt idx="170">
                  <c:v>172</c:v>
                </c:pt>
                <c:pt idx="171">
                  <c:v>161</c:v>
                </c:pt>
                <c:pt idx="172">
                  <c:v>194</c:v>
                </c:pt>
                <c:pt idx="173">
                  <c:v>151</c:v>
                </c:pt>
                <c:pt idx="174">
                  <c:v>158</c:v>
                </c:pt>
                <c:pt idx="175">
                  <c:v>172</c:v>
                </c:pt>
                <c:pt idx="176">
                  <c:v>178</c:v>
                </c:pt>
                <c:pt idx="177">
                  <c:v>187</c:v>
                </c:pt>
                <c:pt idx="178">
                  <c:v>195</c:v>
                </c:pt>
                <c:pt idx="179">
                  <c:v>178</c:v>
                </c:pt>
                <c:pt idx="182" formatCode="0">
                  <c:v>195</c:v>
                </c:pt>
                <c:pt idx="183">
                  <c:v>178</c:v>
                </c:pt>
                <c:pt idx="184">
                  <c:v>204</c:v>
                </c:pt>
                <c:pt idx="185">
                  <c:v>213</c:v>
                </c:pt>
                <c:pt idx="186">
                  <c:v>195</c:v>
                </c:pt>
                <c:pt idx="187">
                  <c:v>204</c:v>
                </c:pt>
                <c:pt idx="188">
                  <c:v>187</c:v>
                </c:pt>
                <c:pt idx="189">
                  <c:v>204</c:v>
                </c:pt>
                <c:pt idx="190">
                  <c:v>213</c:v>
                </c:pt>
                <c:pt idx="191">
                  <c:v>195</c:v>
                </c:pt>
                <c:pt idx="192">
                  <c:v>187</c:v>
                </c:pt>
                <c:pt idx="193">
                  <c:v>187</c:v>
                </c:pt>
                <c:pt idx="194">
                  <c:v>204</c:v>
                </c:pt>
                <c:pt idx="195">
                  <c:v>192</c:v>
                </c:pt>
                <c:pt idx="196">
                  <c:v>199</c:v>
                </c:pt>
                <c:pt idx="197">
                  <c:v>185</c:v>
                </c:pt>
                <c:pt idx="198">
                  <c:v>178</c:v>
                </c:pt>
                <c:pt idx="199">
                  <c:v>151</c:v>
                </c:pt>
                <c:pt idx="200">
                  <c:v>197</c:v>
                </c:pt>
                <c:pt idx="201">
                  <c:v>181</c:v>
                </c:pt>
                <c:pt idx="202">
                  <c:v>187</c:v>
                </c:pt>
                <c:pt idx="203">
                  <c:v>181</c:v>
                </c:pt>
                <c:pt idx="204">
                  <c:v>197</c:v>
                </c:pt>
                <c:pt idx="205">
                  <c:v>197</c:v>
                </c:pt>
                <c:pt idx="206">
                  <c:v>205</c:v>
                </c:pt>
                <c:pt idx="207">
                  <c:v>197</c:v>
                </c:pt>
                <c:pt idx="208">
                  <c:v>205</c:v>
                </c:pt>
                <c:pt idx="209">
                  <c:v>173</c:v>
                </c:pt>
                <c:pt idx="210">
                  <c:v>189</c:v>
                </c:pt>
                <c:pt idx="211">
                  <c:v>173</c:v>
                </c:pt>
                <c:pt idx="212">
                  <c:v>189</c:v>
                </c:pt>
                <c:pt idx="213">
                  <c:v>205</c:v>
                </c:pt>
                <c:pt idx="214">
                  <c:v>205</c:v>
                </c:pt>
                <c:pt idx="215">
                  <c:v>197</c:v>
                </c:pt>
                <c:pt idx="216">
                  <c:v>181</c:v>
                </c:pt>
                <c:pt idx="217">
                  <c:v>157</c:v>
                </c:pt>
                <c:pt idx="218">
                  <c:v>165</c:v>
                </c:pt>
                <c:pt idx="219">
                  <c:v>181</c:v>
                </c:pt>
                <c:pt idx="220">
                  <c:v>197</c:v>
                </c:pt>
                <c:pt idx="221">
                  <c:v>176</c:v>
                </c:pt>
                <c:pt idx="222">
                  <c:v>165</c:v>
                </c:pt>
                <c:pt idx="223">
                  <c:v>161</c:v>
                </c:pt>
                <c:pt idx="224">
                  <c:v>188</c:v>
                </c:pt>
                <c:pt idx="225">
                  <c:v>157</c:v>
                </c:pt>
                <c:pt idx="226">
                  <c:v>142</c:v>
                </c:pt>
                <c:pt idx="227">
                  <c:v>157</c:v>
                </c:pt>
                <c:pt idx="228">
                  <c:v>165</c:v>
                </c:pt>
                <c:pt idx="229">
                  <c:v>165</c:v>
                </c:pt>
                <c:pt idx="230">
                  <c:v>154</c:v>
                </c:pt>
                <c:pt idx="231">
                  <c:v>181</c:v>
                </c:pt>
                <c:pt idx="232">
                  <c:v>197</c:v>
                </c:pt>
                <c:pt idx="233">
                  <c:v>181</c:v>
                </c:pt>
                <c:pt idx="234">
                  <c:v>189</c:v>
                </c:pt>
                <c:pt idx="235">
                  <c:v>160</c:v>
                </c:pt>
                <c:pt idx="236">
                  <c:v>173</c:v>
                </c:pt>
                <c:pt idx="237">
                  <c:v>197</c:v>
                </c:pt>
                <c:pt idx="238">
                  <c:v>181</c:v>
                </c:pt>
                <c:pt idx="239">
                  <c:v>173</c:v>
                </c:pt>
                <c:pt idx="240">
                  <c:v>169</c:v>
                </c:pt>
                <c:pt idx="241">
                  <c:v>165</c:v>
                </c:pt>
                <c:pt idx="242">
                  <c:v>181</c:v>
                </c:pt>
                <c:pt idx="243">
                  <c:v>173</c:v>
                </c:pt>
                <c:pt idx="244">
                  <c:v>165</c:v>
                </c:pt>
                <c:pt idx="245">
                  <c:v>170</c:v>
                </c:pt>
                <c:pt idx="246">
                  <c:v>162</c:v>
                </c:pt>
                <c:pt idx="247">
                  <c:v>155</c:v>
                </c:pt>
                <c:pt idx="248">
                  <c:v>170</c:v>
                </c:pt>
                <c:pt idx="249">
                  <c:v>151</c:v>
                </c:pt>
                <c:pt idx="250">
                  <c:v>158</c:v>
                </c:pt>
                <c:pt idx="251">
                  <c:v>165</c:v>
                </c:pt>
                <c:pt idx="252">
                  <c:v>158</c:v>
                </c:pt>
                <c:pt idx="253">
                  <c:v>165</c:v>
                </c:pt>
                <c:pt idx="254">
                  <c:v>180</c:v>
                </c:pt>
                <c:pt idx="255">
                  <c:v>187</c:v>
                </c:pt>
                <c:pt idx="256">
                  <c:v>180</c:v>
                </c:pt>
                <c:pt idx="257">
                  <c:v>151</c:v>
                </c:pt>
                <c:pt idx="258">
                  <c:v>153</c:v>
                </c:pt>
                <c:pt idx="259">
                  <c:v>157</c:v>
                </c:pt>
                <c:pt idx="260">
                  <c:v>167</c:v>
                </c:pt>
                <c:pt idx="261">
                  <c:v>280</c:v>
                </c:pt>
                <c:pt idx="262">
                  <c:v>283</c:v>
                </c:pt>
                <c:pt idx="263">
                  <c:v>272</c:v>
                </c:pt>
                <c:pt idx="264">
                  <c:v>203</c:v>
                </c:pt>
                <c:pt idx="265">
                  <c:v>210</c:v>
                </c:pt>
                <c:pt idx="266">
                  <c:v>157</c:v>
                </c:pt>
                <c:pt idx="267">
                  <c:v>150</c:v>
                </c:pt>
                <c:pt idx="268">
                  <c:v>157</c:v>
                </c:pt>
                <c:pt idx="269">
                  <c:v>150</c:v>
                </c:pt>
                <c:pt idx="270">
                  <c:v>142</c:v>
                </c:pt>
                <c:pt idx="271">
                  <c:v>157</c:v>
                </c:pt>
                <c:pt idx="272">
                  <c:v>150</c:v>
                </c:pt>
                <c:pt idx="273">
                  <c:v>157</c:v>
                </c:pt>
                <c:pt idx="274">
                  <c:v>164</c:v>
                </c:pt>
                <c:pt idx="275">
                  <c:v>157</c:v>
                </c:pt>
                <c:pt idx="276">
                  <c:v>164</c:v>
                </c:pt>
                <c:pt idx="277">
                  <c:v>157</c:v>
                </c:pt>
                <c:pt idx="278">
                  <c:v>178</c:v>
                </c:pt>
                <c:pt idx="279">
                  <c:v>177</c:v>
                </c:pt>
                <c:pt idx="280">
                  <c:v>185</c:v>
                </c:pt>
                <c:pt idx="281">
                  <c:v>203</c:v>
                </c:pt>
                <c:pt idx="282">
                  <c:v>177</c:v>
                </c:pt>
                <c:pt idx="283">
                  <c:v>164</c:v>
                </c:pt>
                <c:pt idx="284">
                  <c:v>174</c:v>
                </c:pt>
                <c:pt idx="285">
                  <c:v>189</c:v>
                </c:pt>
                <c:pt idx="286">
                  <c:v>182</c:v>
                </c:pt>
                <c:pt idx="287">
                  <c:v>182</c:v>
                </c:pt>
                <c:pt idx="288">
                  <c:v>174</c:v>
                </c:pt>
                <c:pt idx="289">
                  <c:v>160</c:v>
                </c:pt>
                <c:pt idx="290">
                  <c:v>169</c:v>
                </c:pt>
                <c:pt idx="291">
                  <c:v>174</c:v>
                </c:pt>
                <c:pt idx="292">
                  <c:v>182</c:v>
                </c:pt>
                <c:pt idx="293">
                  <c:v>167</c:v>
                </c:pt>
                <c:pt idx="294">
                  <c:v>178</c:v>
                </c:pt>
                <c:pt idx="295">
                  <c:v>163</c:v>
                </c:pt>
                <c:pt idx="296">
                  <c:v>156</c:v>
                </c:pt>
                <c:pt idx="297">
                  <c:v>163</c:v>
                </c:pt>
                <c:pt idx="298">
                  <c:v>142</c:v>
                </c:pt>
                <c:pt idx="299">
                  <c:v>149</c:v>
                </c:pt>
                <c:pt idx="301">
                  <c:v>142</c:v>
                </c:pt>
                <c:pt idx="302">
                  <c:v>156</c:v>
                </c:pt>
                <c:pt idx="303">
                  <c:v>149</c:v>
                </c:pt>
                <c:pt idx="304">
                  <c:v>142</c:v>
                </c:pt>
                <c:pt idx="305">
                  <c:v>135</c:v>
                </c:pt>
                <c:pt idx="306">
                  <c:v>133</c:v>
                </c:pt>
                <c:pt idx="307">
                  <c:v>136</c:v>
                </c:pt>
                <c:pt idx="308">
                  <c:v>144</c:v>
                </c:pt>
                <c:pt idx="309">
                  <c:v>140</c:v>
                </c:pt>
                <c:pt idx="310">
                  <c:v>151</c:v>
                </c:pt>
                <c:pt idx="311">
                  <c:v>144</c:v>
                </c:pt>
                <c:pt idx="312">
                  <c:v>151</c:v>
                </c:pt>
                <c:pt idx="313">
                  <c:v>158</c:v>
                </c:pt>
                <c:pt idx="314">
                  <c:v>165</c:v>
                </c:pt>
                <c:pt idx="315">
                  <c:v>179</c:v>
                </c:pt>
                <c:pt idx="316">
                  <c:v>170</c:v>
                </c:pt>
                <c:pt idx="317">
                  <c:v>144</c:v>
                </c:pt>
                <c:pt idx="318">
                  <c:v>170</c:v>
                </c:pt>
                <c:pt idx="319">
                  <c:v>163</c:v>
                </c:pt>
                <c:pt idx="320">
                  <c:v>156</c:v>
                </c:pt>
                <c:pt idx="321">
                  <c:v>149</c:v>
                </c:pt>
                <c:pt idx="322">
                  <c:v>149</c:v>
                </c:pt>
                <c:pt idx="323">
                  <c:v>170</c:v>
                </c:pt>
                <c:pt idx="324">
                  <c:v>156</c:v>
                </c:pt>
                <c:pt idx="325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E-49A2-83F9-7BBE12D9D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63311"/>
        <c:axId val="1"/>
      </c:lineChart>
      <c:catAx>
        <c:axId val="186086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600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Chlorides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249027204932716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63311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1325" b="1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Ortho PO</a:t>
            </a:r>
            <a:r>
              <a:rPr lang="en-IN" sz="1325" b="1" i="0" u="none" strike="noStrike" baseline="-25000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</c:rich>
      </c:tx>
      <c:layout>
        <c:manualLayout>
          <c:xMode val="edge"/>
          <c:yMode val="edge"/>
          <c:x val="0.42124621162686154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00505302496201"/>
          <c:y val="0.1168402759925552"/>
          <c:w val="0.83162562891713221"/>
          <c:h val="0.58558730289069216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Process'!$L$5:$L$332</c:f>
              <c:numCache>
                <c:formatCode>0.0</c:formatCode>
                <c:ptCount val="3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6.7</c:v>
                </c:pt>
                <c:pt idx="154">
                  <c:v>6.7</c:v>
                </c:pt>
                <c:pt idx="155">
                  <c:v>6.2</c:v>
                </c:pt>
                <c:pt idx="156">
                  <c:v>6</c:v>
                </c:pt>
                <c:pt idx="157">
                  <c:v>6.2</c:v>
                </c:pt>
                <c:pt idx="158">
                  <c:v>6.4</c:v>
                </c:pt>
                <c:pt idx="159">
                  <c:v>6.1</c:v>
                </c:pt>
                <c:pt idx="160">
                  <c:v>0</c:v>
                </c:pt>
                <c:pt idx="161">
                  <c:v>6.4</c:v>
                </c:pt>
                <c:pt idx="162">
                  <c:v>0</c:v>
                </c:pt>
                <c:pt idx="163">
                  <c:v>6</c:v>
                </c:pt>
                <c:pt idx="164">
                  <c:v>6.2</c:v>
                </c:pt>
                <c:pt idx="165">
                  <c:v>6.2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3.1</c:v>
                </c:pt>
                <c:pt idx="183">
                  <c:v>3.4</c:v>
                </c:pt>
                <c:pt idx="184">
                  <c:v>3.2</c:v>
                </c:pt>
                <c:pt idx="185">
                  <c:v>3.1</c:v>
                </c:pt>
                <c:pt idx="186">
                  <c:v>3.2</c:v>
                </c:pt>
                <c:pt idx="187">
                  <c:v>3</c:v>
                </c:pt>
                <c:pt idx="188">
                  <c:v>3.3</c:v>
                </c:pt>
                <c:pt idx="189">
                  <c:v>3.6</c:v>
                </c:pt>
                <c:pt idx="190">
                  <c:v>3.8</c:v>
                </c:pt>
                <c:pt idx="191">
                  <c:v>3.2</c:v>
                </c:pt>
                <c:pt idx="192">
                  <c:v>3</c:v>
                </c:pt>
                <c:pt idx="193">
                  <c:v>3.1</c:v>
                </c:pt>
                <c:pt idx="194">
                  <c:v>3.3</c:v>
                </c:pt>
                <c:pt idx="195">
                  <c:v>3.2</c:v>
                </c:pt>
                <c:pt idx="196">
                  <c:v>3.4</c:v>
                </c:pt>
                <c:pt idx="197">
                  <c:v>3.2</c:v>
                </c:pt>
                <c:pt idx="198">
                  <c:v>3.4</c:v>
                </c:pt>
                <c:pt idx="199">
                  <c:v>3.1</c:v>
                </c:pt>
                <c:pt idx="200">
                  <c:v>4.2</c:v>
                </c:pt>
                <c:pt idx="201">
                  <c:v>4.3</c:v>
                </c:pt>
                <c:pt idx="202">
                  <c:v>4.0999999999999996</c:v>
                </c:pt>
                <c:pt idx="203">
                  <c:v>4.0999999999999996</c:v>
                </c:pt>
                <c:pt idx="204">
                  <c:v>4.4000000000000004</c:v>
                </c:pt>
                <c:pt idx="205">
                  <c:v>4.3</c:v>
                </c:pt>
                <c:pt idx="206">
                  <c:v>4.2</c:v>
                </c:pt>
                <c:pt idx="207">
                  <c:v>4.5</c:v>
                </c:pt>
                <c:pt idx="208">
                  <c:v>4.3</c:v>
                </c:pt>
                <c:pt idx="209">
                  <c:v>4.5</c:v>
                </c:pt>
                <c:pt idx="210">
                  <c:v>4.4000000000000004</c:v>
                </c:pt>
                <c:pt idx="211">
                  <c:v>4.5</c:v>
                </c:pt>
                <c:pt idx="212">
                  <c:v>4.5999999999999996</c:v>
                </c:pt>
                <c:pt idx="213">
                  <c:v>4.3</c:v>
                </c:pt>
                <c:pt idx="214">
                  <c:v>4.5999999999999996</c:v>
                </c:pt>
                <c:pt idx="215">
                  <c:v>4.3</c:v>
                </c:pt>
                <c:pt idx="216">
                  <c:v>4.5</c:v>
                </c:pt>
                <c:pt idx="217">
                  <c:v>4.7</c:v>
                </c:pt>
                <c:pt idx="218">
                  <c:v>4.5</c:v>
                </c:pt>
                <c:pt idx="219">
                  <c:v>4.5999999999999996</c:v>
                </c:pt>
                <c:pt idx="220">
                  <c:v>4.4000000000000004</c:v>
                </c:pt>
                <c:pt idx="221">
                  <c:v>4.5999999999999996</c:v>
                </c:pt>
                <c:pt idx="222">
                  <c:v>4.4000000000000004</c:v>
                </c:pt>
                <c:pt idx="223">
                  <c:v>4.5999999999999996</c:v>
                </c:pt>
                <c:pt idx="224">
                  <c:v>4.8</c:v>
                </c:pt>
                <c:pt idx="225">
                  <c:v>4.5</c:v>
                </c:pt>
                <c:pt idx="226">
                  <c:v>4</c:v>
                </c:pt>
                <c:pt idx="227">
                  <c:v>4.2</c:v>
                </c:pt>
                <c:pt idx="228">
                  <c:v>4</c:v>
                </c:pt>
                <c:pt idx="229">
                  <c:v>4.5</c:v>
                </c:pt>
                <c:pt idx="230">
                  <c:v>4.3</c:v>
                </c:pt>
                <c:pt idx="231">
                  <c:v>4.5999999999999996</c:v>
                </c:pt>
                <c:pt idx="232">
                  <c:v>4.5</c:v>
                </c:pt>
                <c:pt idx="233">
                  <c:v>4.2</c:v>
                </c:pt>
                <c:pt idx="234">
                  <c:v>4.0999999999999996</c:v>
                </c:pt>
                <c:pt idx="235">
                  <c:v>4.4000000000000004</c:v>
                </c:pt>
                <c:pt idx="236">
                  <c:v>4</c:v>
                </c:pt>
                <c:pt idx="237">
                  <c:v>4.3</c:v>
                </c:pt>
                <c:pt idx="238">
                  <c:v>4.0999999999999996</c:v>
                </c:pt>
                <c:pt idx="239">
                  <c:v>4.2</c:v>
                </c:pt>
                <c:pt idx="240">
                  <c:v>4.3</c:v>
                </c:pt>
                <c:pt idx="241">
                  <c:v>4.3</c:v>
                </c:pt>
                <c:pt idx="242">
                  <c:v>4.0999999999999996</c:v>
                </c:pt>
                <c:pt idx="243">
                  <c:v>4.2</c:v>
                </c:pt>
                <c:pt idx="244">
                  <c:v>4</c:v>
                </c:pt>
                <c:pt idx="245">
                  <c:v>4.5</c:v>
                </c:pt>
                <c:pt idx="246">
                  <c:v>4.4000000000000004</c:v>
                </c:pt>
                <c:pt idx="247">
                  <c:v>4.0999999999999996</c:v>
                </c:pt>
                <c:pt idx="248">
                  <c:v>4.2</c:v>
                </c:pt>
                <c:pt idx="249">
                  <c:v>4.5</c:v>
                </c:pt>
                <c:pt idx="250">
                  <c:v>4.5999999999999996</c:v>
                </c:pt>
                <c:pt idx="251">
                  <c:v>4.5</c:v>
                </c:pt>
                <c:pt idx="252">
                  <c:v>4.2</c:v>
                </c:pt>
                <c:pt idx="253">
                  <c:v>4.0999999999999996</c:v>
                </c:pt>
                <c:pt idx="254">
                  <c:v>4.2</c:v>
                </c:pt>
                <c:pt idx="255">
                  <c:v>4.5999999999999996</c:v>
                </c:pt>
                <c:pt idx="256">
                  <c:v>4.3</c:v>
                </c:pt>
                <c:pt idx="257">
                  <c:v>4.5999999999999996</c:v>
                </c:pt>
                <c:pt idx="258">
                  <c:v>4.5999999999999996</c:v>
                </c:pt>
                <c:pt idx="259">
                  <c:v>4.5</c:v>
                </c:pt>
                <c:pt idx="260">
                  <c:v>4.5999999999999996</c:v>
                </c:pt>
                <c:pt idx="261">
                  <c:v>4.9000000000000004</c:v>
                </c:pt>
                <c:pt idx="262">
                  <c:v>4.8</c:v>
                </c:pt>
                <c:pt idx="263">
                  <c:v>4.4000000000000004</c:v>
                </c:pt>
                <c:pt idx="264">
                  <c:v>6</c:v>
                </c:pt>
                <c:pt idx="265">
                  <c:v>6.3</c:v>
                </c:pt>
                <c:pt idx="266">
                  <c:v>4.3</c:v>
                </c:pt>
                <c:pt idx="267">
                  <c:v>4.5999999999999996</c:v>
                </c:pt>
                <c:pt idx="268">
                  <c:v>4.5</c:v>
                </c:pt>
                <c:pt idx="269">
                  <c:v>4.4000000000000004</c:v>
                </c:pt>
                <c:pt idx="270">
                  <c:v>4.5</c:v>
                </c:pt>
                <c:pt idx="271">
                  <c:v>4.5</c:v>
                </c:pt>
                <c:pt idx="272">
                  <c:v>4.7</c:v>
                </c:pt>
                <c:pt idx="273">
                  <c:v>4.5999999999999996</c:v>
                </c:pt>
                <c:pt idx="274">
                  <c:v>4.3</c:v>
                </c:pt>
                <c:pt idx="275">
                  <c:v>4.4000000000000004</c:v>
                </c:pt>
                <c:pt idx="276">
                  <c:v>4.3</c:v>
                </c:pt>
                <c:pt idx="277">
                  <c:v>4.2</c:v>
                </c:pt>
                <c:pt idx="278">
                  <c:v>4.3</c:v>
                </c:pt>
                <c:pt idx="279">
                  <c:v>4.5</c:v>
                </c:pt>
                <c:pt idx="280">
                  <c:v>4.3</c:v>
                </c:pt>
                <c:pt idx="281">
                  <c:v>4.5</c:v>
                </c:pt>
                <c:pt idx="282">
                  <c:v>4.5</c:v>
                </c:pt>
                <c:pt idx="283">
                  <c:v>4.4000000000000004</c:v>
                </c:pt>
                <c:pt idx="284">
                  <c:v>4.2</c:v>
                </c:pt>
                <c:pt idx="285">
                  <c:v>4</c:v>
                </c:pt>
                <c:pt idx="286">
                  <c:v>4.2</c:v>
                </c:pt>
                <c:pt idx="287">
                  <c:v>4.5</c:v>
                </c:pt>
                <c:pt idx="288">
                  <c:v>4.7</c:v>
                </c:pt>
                <c:pt idx="289">
                  <c:v>4.5</c:v>
                </c:pt>
                <c:pt idx="290">
                  <c:v>4.4000000000000004</c:v>
                </c:pt>
                <c:pt idx="291">
                  <c:v>4.5999999999999996</c:v>
                </c:pt>
                <c:pt idx="292">
                  <c:v>4.5</c:v>
                </c:pt>
                <c:pt idx="293">
                  <c:v>4.4000000000000004</c:v>
                </c:pt>
                <c:pt idx="294">
                  <c:v>4.4000000000000004</c:v>
                </c:pt>
                <c:pt idx="295">
                  <c:v>4.5</c:v>
                </c:pt>
                <c:pt idx="296">
                  <c:v>4.2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4.4000000000000004</c:v>
                </c:pt>
                <c:pt idx="301">
                  <c:v>4.0999999999999996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4.2</c:v>
                </c:pt>
                <c:pt idx="305">
                  <c:v>4.5</c:v>
                </c:pt>
                <c:pt idx="306">
                  <c:v>4.4000000000000004</c:v>
                </c:pt>
                <c:pt idx="307">
                  <c:v>4.3</c:v>
                </c:pt>
                <c:pt idx="308">
                  <c:v>4.2</c:v>
                </c:pt>
                <c:pt idx="309">
                  <c:v>4.3</c:v>
                </c:pt>
                <c:pt idx="310">
                  <c:v>4.0999999999999996</c:v>
                </c:pt>
                <c:pt idx="311">
                  <c:v>4.3</c:v>
                </c:pt>
                <c:pt idx="312">
                  <c:v>4.2</c:v>
                </c:pt>
                <c:pt idx="313">
                  <c:v>4.0999999999999996</c:v>
                </c:pt>
                <c:pt idx="314">
                  <c:v>4.3</c:v>
                </c:pt>
                <c:pt idx="315">
                  <c:v>4.2</c:v>
                </c:pt>
                <c:pt idx="316">
                  <c:v>4.2</c:v>
                </c:pt>
                <c:pt idx="317">
                  <c:v>4.3</c:v>
                </c:pt>
                <c:pt idx="318">
                  <c:v>4.2</c:v>
                </c:pt>
                <c:pt idx="319">
                  <c:v>4</c:v>
                </c:pt>
                <c:pt idx="320">
                  <c:v>5</c:v>
                </c:pt>
                <c:pt idx="321">
                  <c:v>5</c:v>
                </c:pt>
                <c:pt idx="322">
                  <c:v>4.5</c:v>
                </c:pt>
                <c:pt idx="323">
                  <c:v>4.8</c:v>
                </c:pt>
                <c:pt idx="324">
                  <c:v>4.5</c:v>
                </c:pt>
                <c:pt idx="325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7-454C-9BE4-A19788BB1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65231"/>
        <c:axId val="1"/>
      </c:lineChart>
      <c:catAx>
        <c:axId val="186086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3489170207315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OPO</a:t>
                </a:r>
                <a:r>
                  <a:rPr lang="en-IN" sz="1200" b="1" i="0" u="none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4 </a:t>
                </a: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4464794110678E-3"/>
              <c:y val="0.31517518643502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65231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Conductivity</a:t>
            </a:r>
          </a:p>
        </c:rich>
      </c:tx>
      <c:layout>
        <c:manualLayout>
          <c:xMode val="edge"/>
          <c:yMode val="edge"/>
          <c:x val="0.40000038386426556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83829715373514"/>
          <c:y val="0.16163292167528714"/>
          <c:w val="0.8214804063860669"/>
          <c:h val="0.53034704727040893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Process'!$F$5:$F$332</c:f>
              <c:numCache>
                <c:formatCode>General</c:formatCode>
                <c:ptCount val="328"/>
                <c:pt idx="0">
                  <c:v>1165</c:v>
                </c:pt>
                <c:pt idx="1">
                  <c:v>1177</c:v>
                </c:pt>
                <c:pt idx="2">
                  <c:v>1213</c:v>
                </c:pt>
                <c:pt idx="3">
                  <c:v>1328</c:v>
                </c:pt>
                <c:pt idx="4">
                  <c:v>1300</c:v>
                </c:pt>
                <c:pt idx="5">
                  <c:v>1307</c:v>
                </c:pt>
                <c:pt idx="6" formatCode="0">
                  <c:v>1415</c:v>
                </c:pt>
                <c:pt idx="7">
                  <c:v>1271</c:v>
                </c:pt>
                <c:pt idx="8">
                  <c:v>1174</c:v>
                </c:pt>
                <c:pt idx="9">
                  <c:v>1341</c:v>
                </c:pt>
                <c:pt idx="10">
                  <c:v>1380</c:v>
                </c:pt>
                <c:pt idx="11">
                  <c:v>1489</c:v>
                </c:pt>
                <c:pt idx="12">
                  <c:v>1331</c:v>
                </c:pt>
                <c:pt idx="13">
                  <c:v>1338</c:v>
                </c:pt>
                <c:pt idx="14">
                  <c:v>1314</c:v>
                </c:pt>
                <c:pt idx="15">
                  <c:v>1334</c:v>
                </c:pt>
                <c:pt idx="16">
                  <c:v>1257</c:v>
                </c:pt>
                <c:pt idx="17">
                  <c:v>1361</c:v>
                </c:pt>
                <c:pt idx="18">
                  <c:v>1392</c:v>
                </c:pt>
                <c:pt idx="19">
                  <c:v>1085</c:v>
                </c:pt>
                <c:pt idx="20">
                  <c:v>1052</c:v>
                </c:pt>
                <c:pt idx="21">
                  <c:v>986</c:v>
                </c:pt>
                <c:pt idx="22">
                  <c:v>940</c:v>
                </c:pt>
                <c:pt idx="23">
                  <c:v>989</c:v>
                </c:pt>
                <c:pt idx="24">
                  <c:v>1023</c:v>
                </c:pt>
                <c:pt idx="25">
                  <c:v>989</c:v>
                </c:pt>
                <c:pt idx="26">
                  <c:v>1205</c:v>
                </c:pt>
                <c:pt idx="27">
                  <c:v>1035</c:v>
                </c:pt>
                <c:pt idx="28">
                  <c:v>1029</c:v>
                </c:pt>
                <c:pt idx="29">
                  <c:v>1186</c:v>
                </c:pt>
                <c:pt idx="30">
                  <c:v>1052</c:v>
                </c:pt>
                <c:pt idx="31" formatCode="0">
                  <c:v>1016</c:v>
                </c:pt>
                <c:pt idx="32">
                  <c:v>976</c:v>
                </c:pt>
                <c:pt idx="33">
                  <c:v>974</c:v>
                </c:pt>
                <c:pt idx="34">
                  <c:v>873</c:v>
                </c:pt>
                <c:pt idx="35">
                  <c:v>1334</c:v>
                </c:pt>
                <c:pt idx="36">
                  <c:v>876</c:v>
                </c:pt>
                <c:pt idx="37">
                  <c:v>928</c:v>
                </c:pt>
                <c:pt idx="38">
                  <c:v>886</c:v>
                </c:pt>
                <c:pt idx="39">
                  <c:v>1023</c:v>
                </c:pt>
                <c:pt idx="40">
                  <c:v>1056</c:v>
                </c:pt>
                <c:pt idx="41">
                  <c:v>1016</c:v>
                </c:pt>
                <c:pt idx="42">
                  <c:v>1120</c:v>
                </c:pt>
                <c:pt idx="43">
                  <c:v>1067</c:v>
                </c:pt>
                <c:pt idx="44">
                  <c:v>1092</c:v>
                </c:pt>
                <c:pt idx="45">
                  <c:v>1071</c:v>
                </c:pt>
                <c:pt idx="46">
                  <c:v>1220</c:v>
                </c:pt>
                <c:pt idx="47">
                  <c:v>1095</c:v>
                </c:pt>
                <c:pt idx="48">
                  <c:v>1120</c:v>
                </c:pt>
                <c:pt idx="49">
                  <c:v>986</c:v>
                </c:pt>
                <c:pt idx="50">
                  <c:v>970</c:v>
                </c:pt>
                <c:pt idx="51">
                  <c:v>908</c:v>
                </c:pt>
                <c:pt idx="52">
                  <c:v>952</c:v>
                </c:pt>
                <c:pt idx="53">
                  <c:v>976</c:v>
                </c:pt>
                <c:pt idx="54">
                  <c:v>986</c:v>
                </c:pt>
                <c:pt idx="55">
                  <c:v>1101</c:v>
                </c:pt>
                <c:pt idx="56" formatCode="0">
                  <c:v>982</c:v>
                </c:pt>
                <c:pt idx="57">
                  <c:v>1032</c:v>
                </c:pt>
                <c:pt idx="58">
                  <c:v>957</c:v>
                </c:pt>
                <c:pt idx="59">
                  <c:v>1001</c:v>
                </c:pt>
                <c:pt idx="60">
                  <c:v>937</c:v>
                </c:pt>
                <c:pt idx="61">
                  <c:v>955</c:v>
                </c:pt>
                <c:pt idx="62">
                  <c:v>828</c:v>
                </c:pt>
                <c:pt idx="63">
                  <c:v>798</c:v>
                </c:pt>
                <c:pt idx="64">
                  <c:v>946</c:v>
                </c:pt>
                <c:pt idx="65">
                  <c:v>1074</c:v>
                </c:pt>
                <c:pt idx="66">
                  <c:v>1025</c:v>
                </c:pt>
                <c:pt idx="67">
                  <c:v>1018</c:v>
                </c:pt>
                <c:pt idx="68">
                  <c:v>764</c:v>
                </c:pt>
                <c:pt idx="69">
                  <c:v>1058</c:v>
                </c:pt>
                <c:pt idx="70">
                  <c:v>0</c:v>
                </c:pt>
                <c:pt idx="71">
                  <c:v>1134</c:v>
                </c:pt>
                <c:pt idx="72">
                  <c:v>1201</c:v>
                </c:pt>
                <c:pt idx="73">
                  <c:v>1211</c:v>
                </c:pt>
                <c:pt idx="74">
                  <c:v>1299</c:v>
                </c:pt>
                <c:pt idx="75">
                  <c:v>1319</c:v>
                </c:pt>
                <c:pt idx="76">
                  <c:v>1331</c:v>
                </c:pt>
                <c:pt idx="77">
                  <c:v>1289</c:v>
                </c:pt>
                <c:pt idx="78">
                  <c:v>1311</c:v>
                </c:pt>
                <c:pt idx="79">
                  <c:v>1316</c:v>
                </c:pt>
                <c:pt idx="80">
                  <c:v>1210</c:v>
                </c:pt>
                <c:pt idx="81">
                  <c:v>1244</c:v>
                </c:pt>
                <c:pt idx="82">
                  <c:v>1177</c:v>
                </c:pt>
                <c:pt idx="83" formatCode="0">
                  <c:v>1225</c:v>
                </c:pt>
                <c:pt idx="84">
                  <c:v>1310</c:v>
                </c:pt>
                <c:pt idx="85">
                  <c:v>1311</c:v>
                </c:pt>
                <c:pt idx="86">
                  <c:v>1234</c:v>
                </c:pt>
                <c:pt idx="87">
                  <c:v>1249</c:v>
                </c:pt>
                <c:pt idx="88">
                  <c:v>1271</c:v>
                </c:pt>
                <c:pt idx="89">
                  <c:v>1243</c:v>
                </c:pt>
                <c:pt idx="90">
                  <c:v>1188</c:v>
                </c:pt>
                <c:pt idx="91">
                  <c:v>1232</c:v>
                </c:pt>
                <c:pt idx="92">
                  <c:v>1207</c:v>
                </c:pt>
                <c:pt idx="94">
                  <c:v>1214</c:v>
                </c:pt>
                <c:pt idx="95">
                  <c:v>1215</c:v>
                </c:pt>
                <c:pt idx="96">
                  <c:v>1225</c:v>
                </c:pt>
                <c:pt idx="97">
                  <c:v>1305</c:v>
                </c:pt>
                <c:pt idx="98">
                  <c:v>1290</c:v>
                </c:pt>
                <c:pt idx="99">
                  <c:v>1298</c:v>
                </c:pt>
                <c:pt idx="100">
                  <c:v>1400</c:v>
                </c:pt>
                <c:pt idx="101">
                  <c:v>1348</c:v>
                </c:pt>
                <c:pt idx="102">
                  <c:v>1405</c:v>
                </c:pt>
                <c:pt idx="104">
                  <c:v>1503</c:v>
                </c:pt>
                <c:pt idx="105">
                  <c:v>1400</c:v>
                </c:pt>
                <c:pt idx="106">
                  <c:v>1300</c:v>
                </c:pt>
                <c:pt idx="107" formatCode="0">
                  <c:v>1333</c:v>
                </c:pt>
                <c:pt idx="108">
                  <c:v>1247</c:v>
                </c:pt>
                <c:pt idx="109">
                  <c:v>1190</c:v>
                </c:pt>
                <c:pt idx="110">
                  <c:v>1262</c:v>
                </c:pt>
                <c:pt idx="111">
                  <c:v>1268</c:v>
                </c:pt>
                <c:pt idx="112">
                  <c:v>1167</c:v>
                </c:pt>
                <c:pt idx="113">
                  <c:v>1261</c:v>
                </c:pt>
                <c:pt idx="114">
                  <c:v>1191</c:v>
                </c:pt>
                <c:pt idx="115">
                  <c:v>1217</c:v>
                </c:pt>
                <c:pt idx="116">
                  <c:v>1267</c:v>
                </c:pt>
                <c:pt idx="118">
                  <c:v>1326</c:v>
                </c:pt>
                <c:pt idx="119">
                  <c:v>1300</c:v>
                </c:pt>
                <c:pt idx="120">
                  <c:v>1359</c:v>
                </c:pt>
                <c:pt idx="121">
                  <c:v>1404</c:v>
                </c:pt>
                <c:pt idx="122">
                  <c:v>1471</c:v>
                </c:pt>
                <c:pt idx="123">
                  <c:v>1297</c:v>
                </c:pt>
                <c:pt idx="124">
                  <c:v>1452</c:v>
                </c:pt>
                <c:pt idx="125">
                  <c:v>1429</c:v>
                </c:pt>
                <c:pt idx="126">
                  <c:v>1411</c:v>
                </c:pt>
                <c:pt idx="127">
                  <c:v>1425</c:v>
                </c:pt>
                <c:pt idx="128">
                  <c:v>1453</c:v>
                </c:pt>
                <c:pt idx="129">
                  <c:v>1408</c:v>
                </c:pt>
                <c:pt idx="131">
                  <c:v>1349</c:v>
                </c:pt>
                <c:pt idx="132">
                  <c:v>1353</c:v>
                </c:pt>
                <c:pt idx="133" formatCode="0">
                  <c:v>1455</c:v>
                </c:pt>
                <c:pt idx="134">
                  <c:v>1501</c:v>
                </c:pt>
                <c:pt idx="135">
                  <c:v>1539</c:v>
                </c:pt>
                <c:pt idx="136">
                  <c:v>1495</c:v>
                </c:pt>
                <c:pt idx="137">
                  <c:v>1501</c:v>
                </c:pt>
                <c:pt idx="138">
                  <c:v>1440</c:v>
                </c:pt>
                <c:pt idx="139">
                  <c:v>1404</c:v>
                </c:pt>
                <c:pt idx="140">
                  <c:v>1445</c:v>
                </c:pt>
                <c:pt idx="141">
                  <c:v>1528</c:v>
                </c:pt>
                <c:pt idx="142">
                  <c:v>1532</c:v>
                </c:pt>
                <c:pt idx="143">
                  <c:v>1516</c:v>
                </c:pt>
                <c:pt idx="144">
                  <c:v>1529</c:v>
                </c:pt>
                <c:pt idx="145">
                  <c:v>1435</c:v>
                </c:pt>
                <c:pt idx="146">
                  <c:v>1467</c:v>
                </c:pt>
                <c:pt idx="147">
                  <c:v>1494</c:v>
                </c:pt>
                <c:pt idx="148">
                  <c:v>1553</c:v>
                </c:pt>
                <c:pt idx="149">
                  <c:v>1626</c:v>
                </c:pt>
                <c:pt idx="150">
                  <c:v>1702</c:v>
                </c:pt>
                <c:pt idx="151">
                  <c:v>1561</c:v>
                </c:pt>
                <c:pt idx="152">
                  <c:v>1594</c:v>
                </c:pt>
                <c:pt idx="153">
                  <c:v>1567</c:v>
                </c:pt>
                <c:pt idx="154">
                  <c:v>1600</c:v>
                </c:pt>
                <c:pt idx="155">
                  <c:v>1593</c:v>
                </c:pt>
                <c:pt idx="156">
                  <c:v>1790</c:v>
                </c:pt>
                <c:pt idx="157">
                  <c:v>1737</c:v>
                </c:pt>
                <c:pt idx="158">
                  <c:v>1685</c:v>
                </c:pt>
                <c:pt idx="159" formatCode="0">
                  <c:v>1620</c:v>
                </c:pt>
                <c:pt idx="160">
                  <c:v>1711</c:v>
                </c:pt>
                <c:pt idx="161">
                  <c:v>1690</c:v>
                </c:pt>
                <c:pt idx="162">
                  <c:v>1840</c:v>
                </c:pt>
                <c:pt idx="163">
                  <c:v>1648</c:v>
                </c:pt>
                <c:pt idx="164">
                  <c:v>1695</c:v>
                </c:pt>
                <c:pt idx="165">
                  <c:v>1755</c:v>
                </c:pt>
                <c:pt idx="166">
                  <c:v>1780</c:v>
                </c:pt>
                <c:pt idx="167">
                  <c:v>1628</c:v>
                </c:pt>
                <c:pt idx="168">
                  <c:v>1676</c:v>
                </c:pt>
                <c:pt idx="169">
                  <c:v>1653</c:v>
                </c:pt>
                <c:pt idx="170">
                  <c:v>1556</c:v>
                </c:pt>
                <c:pt idx="171">
                  <c:v>1568</c:v>
                </c:pt>
                <c:pt idx="172">
                  <c:v>1625</c:v>
                </c:pt>
                <c:pt idx="173">
                  <c:v>1594</c:v>
                </c:pt>
                <c:pt idx="174">
                  <c:v>1635</c:v>
                </c:pt>
                <c:pt idx="175">
                  <c:v>1614</c:v>
                </c:pt>
                <c:pt idx="176">
                  <c:v>1576</c:v>
                </c:pt>
                <c:pt idx="177">
                  <c:v>1514</c:v>
                </c:pt>
                <c:pt idx="178">
                  <c:v>1405</c:v>
                </c:pt>
                <c:pt idx="179">
                  <c:v>1416</c:v>
                </c:pt>
                <c:pt idx="182" formatCode="0">
                  <c:v>1426</c:v>
                </c:pt>
                <c:pt idx="183">
                  <c:v>1515</c:v>
                </c:pt>
                <c:pt idx="184">
                  <c:v>1444</c:v>
                </c:pt>
                <c:pt idx="185">
                  <c:v>1549</c:v>
                </c:pt>
                <c:pt idx="186">
                  <c:v>1450</c:v>
                </c:pt>
                <c:pt idx="187">
                  <c:v>1574</c:v>
                </c:pt>
                <c:pt idx="188">
                  <c:v>1541</c:v>
                </c:pt>
                <c:pt idx="189">
                  <c:v>1626</c:v>
                </c:pt>
                <c:pt idx="190">
                  <c:v>1710</c:v>
                </c:pt>
                <c:pt idx="191">
                  <c:v>1759</c:v>
                </c:pt>
                <c:pt idx="192">
                  <c:v>1665</c:v>
                </c:pt>
                <c:pt idx="193">
                  <c:v>1759</c:v>
                </c:pt>
                <c:pt idx="194">
                  <c:v>1781</c:v>
                </c:pt>
                <c:pt idx="195">
                  <c:v>1876</c:v>
                </c:pt>
                <c:pt idx="196">
                  <c:v>1826</c:v>
                </c:pt>
                <c:pt idx="197">
                  <c:v>1776</c:v>
                </c:pt>
                <c:pt idx="198">
                  <c:v>1832</c:v>
                </c:pt>
                <c:pt idx="199">
                  <c:v>1916</c:v>
                </c:pt>
                <c:pt idx="200">
                  <c:v>1992</c:v>
                </c:pt>
                <c:pt idx="201">
                  <c:v>1867</c:v>
                </c:pt>
                <c:pt idx="202">
                  <c:v>1956</c:v>
                </c:pt>
                <c:pt idx="203">
                  <c:v>1988</c:v>
                </c:pt>
                <c:pt idx="204">
                  <c:v>2027</c:v>
                </c:pt>
                <c:pt idx="205">
                  <c:v>2070</c:v>
                </c:pt>
                <c:pt idx="206">
                  <c:v>2140</c:v>
                </c:pt>
                <c:pt idx="207">
                  <c:v>2124</c:v>
                </c:pt>
                <c:pt idx="208">
                  <c:v>1896</c:v>
                </c:pt>
                <c:pt idx="209">
                  <c:v>2046</c:v>
                </c:pt>
                <c:pt idx="210">
                  <c:v>2141</c:v>
                </c:pt>
                <c:pt idx="211">
                  <c:v>1611</c:v>
                </c:pt>
                <c:pt idx="212">
                  <c:v>1765</c:v>
                </c:pt>
                <c:pt idx="213">
                  <c:v>1901</c:v>
                </c:pt>
                <c:pt idx="214">
                  <c:v>1835</c:v>
                </c:pt>
                <c:pt idx="215">
                  <c:v>1870</c:v>
                </c:pt>
                <c:pt idx="216">
                  <c:v>2007</c:v>
                </c:pt>
                <c:pt idx="217">
                  <c:v>1820</c:v>
                </c:pt>
                <c:pt idx="218">
                  <c:v>1497</c:v>
                </c:pt>
                <c:pt idx="219">
                  <c:v>1431</c:v>
                </c:pt>
                <c:pt idx="220">
                  <c:v>1391</c:v>
                </c:pt>
                <c:pt idx="221">
                  <c:v>1746</c:v>
                </c:pt>
                <c:pt idx="222">
                  <c:v>1528</c:v>
                </c:pt>
                <c:pt idx="224">
                  <c:v>1450</c:v>
                </c:pt>
                <c:pt idx="225">
                  <c:v>1395</c:v>
                </c:pt>
                <c:pt idx="226">
                  <c:v>1356</c:v>
                </c:pt>
                <c:pt idx="227">
                  <c:v>1361</c:v>
                </c:pt>
                <c:pt idx="228">
                  <c:v>1325</c:v>
                </c:pt>
                <c:pt idx="229">
                  <c:v>1371</c:v>
                </c:pt>
                <c:pt idx="230">
                  <c:v>1323</c:v>
                </c:pt>
                <c:pt idx="231">
                  <c:v>1174</c:v>
                </c:pt>
                <c:pt idx="232">
                  <c:v>1451</c:v>
                </c:pt>
                <c:pt idx="233">
                  <c:v>1252</c:v>
                </c:pt>
                <c:pt idx="234">
                  <c:v>1309</c:v>
                </c:pt>
                <c:pt idx="235">
                  <c:v>1208</c:v>
                </c:pt>
                <c:pt idx="236">
                  <c:v>1179</c:v>
                </c:pt>
                <c:pt idx="237">
                  <c:v>1114</c:v>
                </c:pt>
                <c:pt idx="238">
                  <c:v>1095</c:v>
                </c:pt>
                <c:pt idx="239">
                  <c:v>1095</c:v>
                </c:pt>
                <c:pt idx="240">
                  <c:v>1414</c:v>
                </c:pt>
                <c:pt idx="241">
                  <c:v>1182</c:v>
                </c:pt>
                <c:pt idx="242">
                  <c:v>1188</c:v>
                </c:pt>
                <c:pt idx="243">
                  <c:v>1389</c:v>
                </c:pt>
                <c:pt idx="244">
                  <c:v>1294</c:v>
                </c:pt>
                <c:pt idx="245">
                  <c:v>1474</c:v>
                </c:pt>
                <c:pt idx="246">
                  <c:v>1540</c:v>
                </c:pt>
                <c:pt idx="247">
                  <c:v>1555</c:v>
                </c:pt>
                <c:pt idx="248">
                  <c:v>1231</c:v>
                </c:pt>
                <c:pt idx="249">
                  <c:v>1422</c:v>
                </c:pt>
                <c:pt idx="250">
                  <c:v>1386</c:v>
                </c:pt>
                <c:pt idx="251">
                  <c:v>1485</c:v>
                </c:pt>
                <c:pt idx="252">
                  <c:v>1322</c:v>
                </c:pt>
                <c:pt idx="253">
                  <c:v>1507</c:v>
                </c:pt>
                <c:pt idx="254">
                  <c:v>1455</c:v>
                </c:pt>
                <c:pt idx="255">
                  <c:v>1332</c:v>
                </c:pt>
                <c:pt idx="256">
                  <c:v>1329</c:v>
                </c:pt>
                <c:pt idx="257">
                  <c:v>1277</c:v>
                </c:pt>
                <c:pt idx="258">
                  <c:v>1365</c:v>
                </c:pt>
                <c:pt idx="259">
                  <c:v>1389</c:v>
                </c:pt>
                <c:pt idx="260">
                  <c:v>1485</c:v>
                </c:pt>
                <c:pt idx="261">
                  <c:v>960</c:v>
                </c:pt>
                <c:pt idx="262">
                  <c:v>930</c:v>
                </c:pt>
                <c:pt idx="263">
                  <c:v>900</c:v>
                </c:pt>
                <c:pt idx="264">
                  <c:v>831</c:v>
                </c:pt>
                <c:pt idx="265">
                  <c:v>775</c:v>
                </c:pt>
                <c:pt idx="266">
                  <c:v>937</c:v>
                </c:pt>
                <c:pt idx="267">
                  <c:v>900</c:v>
                </c:pt>
                <c:pt idx="268">
                  <c:v>913</c:v>
                </c:pt>
                <c:pt idx="269">
                  <c:v>983</c:v>
                </c:pt>
                <c:pt idx="270">
                  <c:v>970</c:v>
                </c:pt>
                <c:pt idx="271">
                  <c:v>1080</c:v>
                </c:pt>
                <c:pt idx="272">
                  <c:v>1073</c:v>
                </c:pt>
                <c:pt idx="273">
                  <c:v>1005</c:v>
                </c:pt>
                <c:pt idx="274">
                  <c:v>1047</c:v>
                </c:pt>
                <c:pt idx="275">
                  <c:v>1035</c:v>
                </c:pt>
                <c:pt idx="276">
                  <c:v>868</c:v>
                </c:pt>
                <c:pt idx="277">
                  <c:v>1088</c:v>
                </c:pt>
                <c:pt idx="278">
                  <c:v>1059</c:v>
                </c:pt>
                <c:pt idx="279">
                  <c:v>1059</c:v>
                </c:pt>
                <c:pt idx="280">
                  <c:v>1140</c:v>
                </c:pt>
                <c:pt idx="281">
                  <c:v>1110</c:v>
                </c:pt>
                <c:pt idx="282">
                  <c:v>1110</c:v>
                </c:pt>
                <c:pt idx="283">
                  <c:v>1123</c:v>
                </c:pt>
                <c:pt idx="284">
                  <c:v>1167</c:v>
                </c:pt>
                <c:pt idx="285">
                  <c:v>1223</c:v>
                </c:pt>
                <c:pt idx="286">
                  <c:v>1201</c:v>
                </c:pt>
                <c:pt idx="287">
                  <c:v>1252</c:v>
                </c:pt>
                <c:pt idx="288">
                  <c:v>1263</c:v>
                </c:pt>
                <c:pt idx="289">
                  <c:v>1312</c:v>
                </c:pt>
                <c:pt idx="290">
                  <c:v>1313</c:v>
                </c:pt>
                <c:pt idx="291">
                  <c:v>1410</c:v>
                </c:pt>
                <c:pt idx="292">
                  <c:v>1461</c:v>
                </c:pt>
                <c:pt idx="293">
                  <c:v>1365</c:v>
                </c:pt>
                <c:pt idx="294">
                  <c:v>1360</c:v>
                </c:pt>
                <c:pt idx="295">
                  <c:v>1423</c:v>
                </c:pt>
                <c:pt idx="296">
                  <c:v>1428</c:v>
                </c:pt>
                <c:pt idx="297">
                  <c:v>1460</c:v>
                </c:pt>
                <c:pt idx="298">
                  <c:v>1497</c:v>
                </c:pt>
                <c:pt idx="299">
                  <c:v>1565</c:v>
                </c:pt>
                <c:pt idx="301">
                  <c:v>1416</c:v>
                </c:pt>
                <c:pt idx="302">
                  <c:v>2028</c:v>
                </c:pt>
                <c:pt idx="303">
                  <c:v>1612</c:v>
                </c:pt>
                <c:pt idx="304">
                  <c:v>1643</c:v>
                </c:pt>
                <c:pt idx="305">
                  <c:v>1643</c:v>
                </c:pt>
                <c:pt idx="306">
                  <c:v>1188</c:v>
                </c:pt>
                <c:pt idx="307">
                  <c:v>1137</c:v>
                </c:pt>
                <c:pt idx="308">
                  <c:v>1298</c:v>
                </c:pt>
                <c:pt idx="309">
                  <c:v>1232</c:v>
                </c:pt>
                <c:pt idx="310">
                  <c:v>1219</c:v>
                </c:pt>
                <c:pt idx="311">
                  <c:v>1240</c:v>
                </c:pt>
                <c:pt idx="312">
                  <c:v>1246</c:v>
                </c:pt>
                <c:pt idx="313">
                  <c:v>1195</c:v>
                </c:pt>
                <c:pt idx="314">
                  <c:v>1243</c:v>
                </c:pt>
                <c:pt idx="315">
                  <c:v>1194</c:v>
                </c:pt>
                <c:pt idx="316">
                  <c:v>1280</c:v>
                </c:pt>
                <c:pt idx="317">
                  <c:v>1322</c:v>
                </c:pt>
                <c:pt idx="318">
                  <c:v>1361</c:v>
                </c:pt>
                <c:pt idx="319">
                  <c:v>1286</c:v>
                </c:pt>
                <c:pt idx="320">
                  <c:v>1274</c:v>
                </c:pt>
                <c:pt idx="321">
                  <c:v>1620</c:v>
                </c:pt>
                <c:pt idx="322">
                  <c:v>1495</c:v>
                </c:pt>
                <c:pt idx="323">
                  <c:v>1607</c:v>
                </c:pt>
                <c:pt idx="324">
                  <c:v>1537</c:v>
                </c:pt>
                <c:pt idx="325">
                  <c:v>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D-4391-85D9-1841C248F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77711"/>
        <c:axId val="1"/>
      </c:lineChart>
      <c:catAx>
        <c:axId val="1860877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Mhos / cm</a:t>
                </a:r>
                <a:r>
                  <a:rPr lang="en-IN" sz="1200" b="1" i="0" u="none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07392825896762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77711"/>
        <c:crosses val="autoZero"/>
        <c:crossBetween val="between"/>
        <c:majorUnit val="10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COC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F-47BE-8E0C-5EFD97448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73391"/>
        <c:axId val="1"/>
      </c:lineChart>
      <c:catAx>
        <c:axId val="1860873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83"/>
        <c:tickMarkSkip val="83"/>
        <c:noMultiLvlLbl val="0"/>
      </c:catAx>
      <c:valAx>
        <c:axId val="1"/>
        <c:scaling>
          <c:orientation val="minMax"/>
          <c:max val="8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COC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73391"/>
        <c:crosses val="autoZero"/>
        <c:crossBetween val="between"/>
        <c:maj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Delta  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F2A-4A01-A763-42968B4C9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68591"/>
        <c:axId val="1"/>
      </c:lineChart>
      <c:catAx>
        <c:axId val="1860868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7"/>
        <c:tickMarkSkip val="1"/>
        <c:noMultiLvlLbl val="0"/>
      </c:catAx>
      <c:valAx>
        <c:axId val="1"/>
        <c:scaling>
          <c:orientation val="minMax"/>
          <c:max val="1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Delta T (Deg. C)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68591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Condenser Vacumm vs Plant Load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Condenser Vacumm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E5-45A3-BE51-8133A0709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74351"/>
        <c:axId val="1"/>
      </c:lineChart>
      <c:lineChart>
        <c:grouping val="standard"/>
        <c:varyColors val="0"/>
        <c:ser>
          <c:idx val="1"/>
          <c:order val="1"/>
          <c:tx>
            <c:v>Plant Load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E5-45A3-BE51-8133A0709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860874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2"/>
        <c:auto val="1"/>
        <c:lblAlgn val="ctr"/>
        <c:lblOffset val="100"/>
        <c:tickLblSkip val="83"/>
        <c:tickMarkSkip val="83"/>
        <c:noMultiLvlLbl val="0"/>
      </c:catAx>
      <c:valAx>
        <c:axId val="1"/>
        <c:scaling>
          <c:orientation val="minMax"/>
          <c:max val="1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275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Vacumm(Kg/Cm</a:t>
                </a:r>
                <a:r>
                  <a:rPr lang="en-IN" sz="275" b="1" i="0" u="none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  <a:r>
                  <a:rPr lang="en-IN" sz="275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74351"/>
        <c:crosses val="autoZero"/>
        <c:crossBetween val="between"/>
        <c:majorUnit val="0.4"/>
        <c:minorUnit val="0.4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24"/>
        </c:scaling>
        <c:delete val="0"/>
        <c:axPos val="r"/>
        <c:title>
          <c:tx>
            <c:rich>
              <a:bodyPr/>
              <a:lstStyle/>
              <a:p>
                <a:pPr>
                  <a:defRPr sz="2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Plant Load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n-US"/>
            </a:pPr>
            <a:endParaRPr lang="en-US"/>
          </a:p>
        </c:txPr>
        <c:crossAx val="3"/>
        <c:crosses val="max"/>
        <c:crossBetween val="between"/>
        <c:majorUnit val="3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TDS</a:t>
            </a:r>
          </a:p>
        </c:rich>
      </c:tx>
      <c:layout>
        <c:manualLayout>
          <c:xMode val="edge"/>
          <c:yMode val="edge"/>
          <c:x val="0.47515198625765925"/>
          <c:y val="2.474607340749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3333805102824"/>
          <c:y val="0.19819877943992656"/>
          <c:w val="0.82173942118837084"/>
          <c:h val="0.49900482267169843"/>
        </c:manualLayout>
      </c:layout>
      <c:lineChart>
        <c:grouping val="standard"/>
        <c:varyColors val="0"/>
        <c:ser>
          <c:idx val="1"/>
          <c:order val="0"/>
          <c:tx>
            <c:v>TDS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Process'!$G$5:$G$332</c:f>
              <c:numCache>
                <c:formatCode>General</c:formatCode>
                <c:ptCount val="328"/>
                <c:pt idx="0">
                  <c:v>781</c:v>
                </c:pt>
                <c:pt idx="1">
                  <c:v>789</c:v>
                </c:pt>
                <c:pt idx="2">
                  <c:v>813</c:v>
                </c:pt>
                <c:pt idx="3">
                  <c:v>890</c:v>
                </c:pt>
                <c:pt idx="4">
                  <c:v>871</c:v>
                </c:pt>
                <c:pt idx="5">
                  <c:v>876</c:v>
                </c:pt>
                <c:pt idx="6" formatCode="0">
                  <c:v>948</c:v>
                </c:pt>
                <c:pt idx="7">
                  <c:v>852</c:v>
                </c:pt>
                <c:pt idx="8">
                  <c:v>787</c:v>
                </c:pt>
                <c:pt idx="9">
                  <c:v>899</c:v>
                </c:pt>
                <c:pt idx="10">
                  <c:v>925</c:v>
                </c:pt>
                <c:pt idx="11">
                  <c:v>998</c:v>
                </c:pt>
                <c:pt idx="12">
                  <c:v>892</c:v>
                </c:pt>
                <c:pt idx="13">
                  <c:v>897</c:v>
                </c:pt>
                <c:pt idx="14">
                  <c:v>881</c:v>
                </c:pt>
                <c:pt idx="15">
                  <c:v>874</c:v>
                </c:pt>
                <c:pt idx="16">
                  <c:v>842</c:v>
                </c:pt>
                <c:pt idx="17">
                  <c:v>912</c:v>
                </c:pt>
                <c:pt idx="18">
                  <c:v>933</c:v>
                </c:pt>
                <c:pt idx="19">
                  <c:v>727</c:v>
                </c:pt>
                <c:pt idx="20">
                  <c:v>705</c:v>
                </c:pt>
                <c:pt idx="21">
                  <c:v>661</c:v>
                </c:pt>
                <c:pt idx="22">
                  <c:v>630</c:v>
                </c:pt>
                <c:pt idx="23">
                  <c:v>663</c:v>
                </c:pt>
                <c:pt idx="24">
                  <c:v>686</c:v>
                </c:pt>
                <c:pt idx="25">
                  <c:v>663</c:v>
                </c:pt>
                <c:pt idx="26">
                  <c:v>808</c:v>
                </c:pt>
                <c:pt idx="27">
                  <c:v>694</c:v>
                </c:pt>
                <c:pt idx="28">
                  <c:v>690</c:v>
                </c:pt>
                <c:pt idx="29">
                  <c:v>795</c:v>
                </c:pt>
                <c:pt idx="30">
                  <c:v>705</c:v>
                </c:pt>
                <c:pt idx="31" formatCode="0">
                  <c:v>681</c:v>
                </c:pt>
                <c:pt idx="32">
                  <c:v>654</c:v>
                </c:pt>
                <c:pt idx="33">
                  <c:v>653</c:v>
                </c:pt>
                <c:pt idx="34">
                  <c:v>585</c:v>
                </c:pt>
                <c:pt idx="35">
                  <c:v>594</c:v>
                </c:pt>
                <c:pt idx="36">
                  <c:v>587</c:v>
                </c:pt>
                <c:pt idx="37">
                  <c:v>622</c:v>
                </c:pt>
                <c:pt idx="38">
                  <c:v>594</c:v>
                </c:pt>
                <c:pt idx="39">
                  <c:v>686</c:v>
                </c:pt>
                <c:pt idx="40">
                  <c:v>708</c:v>
                </c:pt>
                <c:pt idx="41">
                  <c:v>681</c:v>
                </c:pt>
                <c:pt idx="42">
                  <c:v>751</c:v>
                </c:pt>
                <c:pt idx="43">
                  <c:v>715</c:v>
                </c:pt>
                <c:pt idx="44">
                  <c:v>732</c:v>
                </c:pt>
                <c:pt idx="45">
                  <c:v>718</c:v>
                </c:pt>
                <c:pt idx="46">
                  <c:v>818</c:v>
                </c:pt>
                <c:pt idx="47">
                  <c:v>734</c:v>
                </c:pt>
                <c:pt idx="48">
                  <c:v>751</c:v>
                </c:pt>
                <c:pt idx="49">
                  <c:v>661</c:v>
                </c:pt>
                <c:pt idx="50">
                  <c:v>650</c:v>
                </c:pt>
                <c:pt idx="51">
                  <c:v>609</c:v>
                </c:pt>
                <c:pt idx="52">
                  <c:v>638</c:v>
                </c:pt>
                <c:pt idx="53">
                  <c:v>654</c:v>
                </c:pt>
                <c:pt idx="54">
                  <c:v>661</c:v>
                </c:pt>
                <c:pt idx="55">
                  <c:v>738</c:v>
                </c:pt>
                <c:pt idx="56" formatCode="0">
                  <c:v>658</c:v>
                </c:pt>
                <c:pt idx="57">
                  <c:v>692</c:v>
                </c:pt>
                <c:pt idx="58">
                  <c:v>641</c:v>
                </c:pt>
                <c:pt idx="59">
                  <c:v>671</c:v>
                </c:pt>
                <c:pt idx="60">
                  <c:v>628</c:v>
                </c:pt>
                <c:pt idx="61">
                  <c:v>640</c:v>
                </c:pt>
                <c:pt idx="62">
                  <c:v>555</c:v>
                </c:pt>
                <c:pt idx="63">
                  <c:v>535</c:v>
                </c:pt>
                <c:pt idx="64">
                  <c:v>634</c:v>
                </c:pt>
                <c:pt idx="65">
                  <c:v>720</c:v>
                </c:pt>
                <c:pt idx="66">
                  <c:v>687</c:v>
                </c:pt>
                <c:pt idx="67">
                  <c:v>682</c:v>
                </c:pt>
                <c:pt idx="68">
                  <c:v>512</c:v>
                </c:pt>
                <c:pt idx="69">
                  <c:v>709</c:v>
                </c:pt>
                <c:pt idx="70">
                  <c:v>774</c:v>
                </c:pt>
                <c:pt idx="71">
                  <c:v>760</c:v>
                </c:pt>
                <c:pt idx="72">
                  <c:v>805</c:v>
                </c:pt>
                <c:pt idx="73">
                  <c:v>812</c:v>
                </c:pt>
                <c:pt idx="74">
                  <c:v>870</c:v>
                </c:pt>
                <c:pt idx="75">
                  <c:v>884</c:v>
                </c:pt>
                <c:pt idx="76">
                  <c:v>892</c:v>
                </c:pt>
                <c:pt idx="77">
                  <c:v>864</c:v>
                </c:pt>
                <c:pt idx="78">
                  <c:v>879</c:v>
                </c:pt>
                <c:pt idx="79">
                  <c:v>882</c:v>
                </c:pt>
                <c:pt idx="80">
                  <c:v>811</c:v>
                </c:pt>
                <c:pt idx="81">
                  <c:v>834</c:v>
                </c:pt>
                <c:pt idx="82">
                  <c:v>789</c:v>
                </c:pt>
                <c:pt idx="83" formatCode="0">
                  <c:v>821</c:v>
                </c:pt>
                <c:pt idx="84">
                  <c:v>878</c:v>
                </c:pt>
                <c:pt idx="85">
                  <c:v>879</c:v>
                </c:pt>
                <c:pt idx="86">
                  <c:v>827</c:v>
                </c:pt>
                <c:pt idx="87">
                  <c:v>837</c:v>
                </c:pt>
                <c:pt idx="88">
                  <c:v>852</c:v>
                </c:pt>
                <c:pt idx="89">
                  <c:v>833</c:v>
                </c:pt>
                <c:pt idx="90">
                  <c:v>796</c:v>
                </c:pt>
                <c:pt idx="91">
                  <c:v>826</c:v>
                </c:pt>
                <c:pt idx="92">
                  <c:v>809</c:v>
                </c:pt>
                <c:pt idx="93">
                  <c:v>853</c:v>
                </c:pt>
                <c:pt idx="94">
                  <c:v>814</c:v>
                </c:pt>
                <c:pt idx="95">
                  <c:v>814</c:v>
                </c:pt>
                <c:pt idx="96">
                  <c:v>821</c:v>
                </c:pt>
                <c:pt idx="97">
                  <c:v>875</c:v>
                </c:pt>
                <c:pt idx="98">
                  <c:v>864</c:v>
                </c:pt>
                <c:pt idx="99">
                  <c:v>870</c:v>
                </c:pt>
                <c:pt idx="100">
                  <c:v>938</c:v>
                </c:pt>
                <c:pt idx="101">
                  <c:v>903</c:v>
                </c:pt>
                <c:pt idx="102">
                  <c:v>942</c:v>
                </c:pt>
                <c:pt idx="103">
                  <c:v>1007</c:v>
                </c:pt>
                <c:pt idx="104">
                  <c:v>1007</c:v>
                </c:pt>
                <c:pt idx="105">
                  <c:v>938</c:v>
                </c:pt>
                <c:pt idx="106">
                  <c:v>871</c:v>
                </c:pt>
                <c:pt idx="107" formatCode="0">
                  <c:v>893</c:v>
                </c:pt>
                <c:pt idx="108">
                  <c:v>836</c:v>
                </c:pt>
                <c:pt idx="109">
                  <c:v>797</c:v>
                </c:pt>
                <c:pt idx="110">
                  <c:v>846</c:v>
                </c:pt>
                <c:pt idx="111">
                  <c:v>850</c:v>
                </c:pt>
                <c:pt idx="112">
                  <c:v>782</c:v>
                </c:pt>
                <c:pt idx="113">
                  <c:v>845</c:v>
                </c:pt>
                <c:pt idx="114">
                  <c:v>798</c:v>
                </c:pt>
                <c:pt idx="115">
                  <c:v>816</c:v>
                </c:pt>
                <c:pt idx="116">
                  <c:v>849</c:v>
                </c:pt>
                <c:pt idx="117">
                  <c:v>821</c:v>
                </c:pt>
                <c:pt idx="118">
                  <c:v>889</c:v>
                </c:pt>
                <c:pt idx="119">
                  <c:v>871</c:v>
                </c:pt>
                <c:pt idx="120">
                  <c:v>911</c:v>
                </c:pt>
                <c:pt idx="121">
                  <c:v>941</c:v>
                </c:pt>
                <c:pt idx="122">
                  <c:v>986</c:v>
                </c:pt>
                <c:pt idx="123">
                  <c:v>869</c:v>
                </c:pt>
                <c:pt idx="124">
                  <c:v>973</c:v>
                </c:pt>
                <c:pt idx="125">
                  <c:v>958</c:v>
                </c:pt>
                <c:pt idx="126">
                  <c:v>946</c:v>
                </c:pt>
                <c:pt idx="127">
                  <c:v>955</c:v>
                </c:pt>
                <c:pt idx="128">
                  <c:v>974</c:v>
                </c:pt>
                <c:pt idx="129">
                  <c:v>944</c:v>
                </c:pt>
                <c:pt idx="130">
                  <c:v>900</c:v>
                </c:pt>
                <c:pt idx="131">
                  <c:v>904</c:v>
                </c:pt>
                <c:pt idx="132">
                  <c:v>907</c:v>
                </c:pt>
                <c:pt idx="133" formatCode="0">
                  <c:v>975</c:v>
                </c:pt>
                <c:pt idx="134">
                  <c:v>1006</c:v>
                </c:pt>
                <c:pt idx="135">
                  <c:v>1031</c:v>
                </c:pt>
                <c:pt idx="136">
                  <c:v>1002</c:v>
                </c:pt>
                <c:pt idx="137">
                  <c:v>1006</c:v>
                </c:pt>
                <c:pt idx="138">
                  <c:v>965</c:v>
                </c:pt>
                <c:pt idx="139">
                  <c:v>941</c:v>
                </c:pt>
                <c:pt idx="140">
                  <c:v>968</c:v>
                </c:pt>
                <c:pt idx="141">
                  <c:v>1024</c:v>
                </c:pt>
                <c:pt idx="142">
                  <c:v>1027</c:v>
                </c:pt>
                <c:pt idx="143">
                  <c:v>1016</c:v>
                </c:pt>
                <c:pt idx="144">
                  <c:v>1025</c:v>
                </c:pt>
                <c:pt idx="145">
                  <c:v>962</c:v>
                </c:pt>
                <c:pt idx="146">
                  <c:v>983</c:v>
                </c:pt>
                <c:pt idx="147">
                  <c:v>1001</c:v>
                </c:pt>
                <c:pt idx="148">
                  <c:v>1041</c:v>
                </c:pt>
                <c:pt idx="149">
                  <c:v>1090</c:v>
                </c:pt>
                <c:pt idx="150">
                  <c:v>1141</c:v>
                </c:pt>
                <c:pt idx="151">
                  <c:v>1046</c:v>
                </c:pt>
                <c:pt idx="152">
                  <c:v>1068</c:v>
                </c:pt>
                <c:pt idx="153">
                  <c:v>1050</c:v>
                </c:pt>
                <c:pt idx="154">
                  <c:v>1072</c:v>
                </c:pt>
                <c:pt idx="155">
                  <c:v>1067</c:v>
                </c:pt>
                <c:pt idx="156">
                  <c:v>1199</c:v>
                </c:pt>
                <c:pt idx="157">
                  <c:v>1164</c:v>
                </c:pt>
                <c:pt idx="158">
                  <c:v>1129</c:v>
                </c:pt>
                <c:pt idx="159" formatCode="0">
                  <c:v>1086</c:v>
                </c:pt>
                <c:pt idx="160">
                  <c:v>1147</c:v>
                </c:pt>
                <c:pt idx="161">
                  <c:v>1132</c:v>
                </c:pt>
                <c:pt idx="162">
                  <c:v>1233</c:v>
                </c:pt>
                <c:pt idx="163">
                  <c:v>1104</c:v>
                </c:pt>
                <c:pt idx="164">
                  <c:v>1136</c:v>
                </c:pt>
                <c:pt idx="165">
                  <c:v>1176</c:v>
                </c:pt>
                <c:pt idx="166">
                  <c:v>1193</c:v>
                </c:pt>
                <c:pt idx="167">
                  <c:v>1091</c:v>
                </c:pt>
                <c:pt idx="168">
                  <c:v>1123</c:v>
                </c:pt>
                <c:pt idx="169">
                  <c:v>1108</c:v>
                </c:pt>
                <c:pt idx="170">
                  <c:v>1043</c:v>
                </c:pt>
                <c:pt idx="171">
                  <c:v>1051</c:v>
                </c:pt>
                <c:pt idx="172">
                  <c:v>1089</c:v>
                </c:pt>
                <c:pt idx="173">
                  <c:v>1068</c:v>
                </c:pt>
                <c:pt idx="174">
                  <c:v>1096</c:v>
                </c:pt>
                <c:pt idx="175">
                  <c:v>1082</c:v>
                </c:pt>
                <c:pt idx="176">
                  <c:v>1056</c:v>
                </c:pt>
                <c:pt idx="177">
                  <c:v>1015</c:v>
                </c:pt>
                <c:pt idx="178">
                  <c:v>942</c:v>
                </c:pt>
                <c:pt idx="179">
                  <c:v>949</c:v>
                </c:pt>
                <c:pt idx="182" formatCode="0">
                  <c:v>956</c:v>
                </c:pt>
                <c:pt idx="183">
                  <c:v>1015</c:v>
                </c:pt>
                <c:pt idx="184">
                  <c:v>968</c:v>
                </c:pt>
                <c:pt idx="185">
                  <c:v>1038</c:v>
                </c:pt>
                <c:pt idx="186">
                  <c:v>972</c:v>
                </c:pt>
                <c:pt idx="187">
                  <c:v>1055</c:v>
                </c:pt>
                <c:pt idx="188">
                  <c:v>1033</c:v>
                </c:pt>
                <c:pt idx="189">
                  <c:v>1090</c:v>
                </c:pt>
                <c:pt idx="190">
                  <c:v>1146</c:v>
                </c:pt>
                <c:pt idx="191">
                  <c:v>1179</c:v>
                </c:pt>
                <c:pt idx="192">
                  <c:v>1116</c:v>
                </c:pt>
                <c:pt idx="193">
                  <c:v>1179</c:v>
                </c:pt>
                <c:pt idx="194">
                  <c:v>1193</c:v>
                </c:pt>
                <c:pt idx="195">
                  <c:v>1258</c:v>
                </c:pt>
                <c:pt idx="196">
                  <c:v>1224</c:v>
                </c:pt>
                <c:pt idx="197">
                  <c:v>1190</c:v>
                </c:pt>
                <c:pt idx="198">
                  <c:v>1228</c:v>
                </c:pt>
                <c:pt idx="199">
                  <c:v>1284</c:v>
                </c:pt>
                <c:pt idx="200">
                  <c:v>1335</c:v>
                </c:pt>
                <c:pt idx="201">
                  <c:v>1252</c:v>
                </c:pt>
                <c:pt idx="202">
                  <c:v>1311</c:v>
                </c:pt>
                <c:pt idx="203">
                  <c:v>1332</c:v>
                </c:pt>
                <c:pt idx="204">
                  <c:v>1358</c:v>
                </c:pt>
                <c:pt idx="205">
                  <c:v>1387</c:v>
                </c:pt>
                <c:pt idx="206">
                  <c:v>1434</c:v>
                </c:pt>
                <c:pt idx="207">
                  <c:v>1422</c:v>
                </c:pt>
                <c:pt idx="208">
                  <c:v>1270</c:v>
                </c:pt>
                <c:pt idx="209">
                  <c:v>1371</c:v>
                </c:pt>
                <c:pt idx="210">
                  <c:v>1435</c:v>
                </c:pt>
                <c:pt idx="211">
                  <c:v>1080</c:v>
                </c:pt>
                <c:pt idx="212">
                  <c:v>1183</c:v>
                </c:pt>
                <c:pt idx="213">
                  <c:v>1274</c:v>
                </c:pt>
                <c:pt idx="214">
                  <c:v>1230</c:v>
                </c:pt>
                <c:pt idx="215">
                  <c:v>1253</c:v>
                </c:pt>
                <c:pt idx="216">
                  <c:v>1345</c:v>
                </c:pt>
                <c:pt idx="217">
                  <c:v>1220</c:v>
                </c:pt>
                <c:pt idx="218">
                  <c:v>1003</c:v>
                </c:pt>
                <c:pt idx="219">
                  <c:v>959</c:v>
                </c:pt>
                <c:pt idx="220">
                  <c:v>932</c:v>
                </c:pt>
                <c:pt idx="221">
                  <c:v>1170</c:v>
                </c:pt>
                <c:pt idx="222">
                  <c:v>1024</c:v>
                </c:pt>
                <c:pt idx="223">
                  <c:v>935</c:v>
                </c:pt>
                <c:pt idx="224">
                  <c:v>972</c:v>
                </c:pt>
                <c:pt idx="225">
                  <c:v>935</c:v>
                </c:pt>
                <c:pt idx="226">
                  <c:v>909</c:v>
                </c:pt>
                <c:pt idx="227">
                  <c:v>912</c:v>
                </c:pt>
                <c:pt idx="228">
                  <c:v>888</c:v>
                </c:pt>
                <c:pt idx="229">
                  <c:v>919</c:v>
                </c:pt>
                <c:pt idx="230">
                  <c:v>887</c:v>
                </c:pt>
                <c:pt idx="231">
                  <c:v>787</c:v>
                </c:pt>
                <c:pt idx="232">
                  <c:v>972</c:v>
                </c:pt>
                <c:pt idx="233">
                  <c:v>839</c:v>
                </c:pt>
                <c:pt idx="234">
                  <c:v>877</c:v>
                </c:pt>
                <c:pt idx="235">
                  <c:v>810</c:v>
                </c:pt>
                <c:pt idx="236">
                  <c:v>790</c:v>
                </c:pt>
                <c:pt idx="237">
                  <c:v>747</c:v>
                </c:pt>
                <c:pt idx="238">
                  <c:v>734</c:v>
                </c:pt>
                <c:pt idx="239">
                  <c:v>734</c:v>
                </c:pt>
                <c:pt idx="240">
                  <c:v>948</c:v>
                </c:pt>
                <c:pt idx="241">
                  <c:v>792</c:v>
                </c:pt>
                <c:pt idx="242">
                  <c:v>796</c:v>
                </c:pt>
                <c:pt idx="243">
                  <c:v>931</c:v>
                </c:pt>
                <c:pt idx="244">
                  <c:v>867</c:v>
                </c:pt>
                <c:pt idx="245">
                  <c:v>988</c:v>
                </c:pt>
                <c:pt idx="246">
                  <c:v>1032</c:v>
                </c:pt>
                <c:pt idx="247">
                  <c:v>1042</c:v>
                </c:pt>
                <c:pt idx="248">
                  <c:v>825</c:v>
                </c:pt>
                <c:pt idx="249">
                  <c:v>953</c:v>
                </c:pt>
                <c:pt idx="250">
                  <c:v>929</c:v>
                </c:pt>
                <c:pt idx="251">
                  <c:v>995</c:v>
                </c:pt>
                <c:pt idx="252">
                  <c:v>886</c:v>
                </c:pt>
                <c:pt idx="253">
                  <c:v>1010</c:v>
                </c:pt>
                <c:pt idx="254">
                  <c:v>975</c:v>
                </c:pt>
                <c:pt idx="255">
                  <c:v>893</c:v>
                </c:pt>
                <c:pt idx="256">
                  <c:v>891</c:v>
                </c:pt>
                <c:pt idx="257">
                  <c:v>856</c:v>
                </c:pt>
                <c:pt idx="258">
                  <c:v>915</c:v>
                </c:pt>
                <c:pt idx="259">
                  <c:v>931</c:v>
                </c:pt>
                <c:pt idx="260">
                  <c:v>995</c:v>
                </c:pt>
                <c:pt idx="261">
                  <c:v>643</c:v>
                </c:pt>
                <c:pt idx="262">
                  <c:v>623</c:v>
                </c:pt>
                <c:pt idx="263">
                  <c:v>603</c:v>
                </c:pt>
                <c:pt idx="264">
                  <c:v>556</c:v>
                </c:pt>
                <c:pt idx="265">
                  <c:v>519</c:v>
                </c:pt>
                <c:pt idx="266">
                  <c:v>628</c:v>
                </c:pt>
                <c:pt idx="267">
                  <c:v>603</c:v>
                </c:pt>
                <c:pt idx="268">
                  <c:v>612</c:v>
                </c:pt>
                <c:pt idx="269">
                  <c:v>659</c:v>
                </c:pt>
                <c:pt idx="270">
                  <c:v>650</c:v>
                </c:pt>
                <c:pt idx="271">
                  <c:v>724</c:v>
                </c:pt>
                <c:pt idx="272">
                  <c:v>719</c:v>
                </c:pt>
                <c:pt idx="273">
                  <c:v>679</c:v>
                </c:pt>
                <c:pt idx="274">
                  <c:v>702</c:v>
                </c:pt>
                <c:pt idx="275">
                  <c:v>694</c:v>
                </c:pt>
                <c:pt idx="276">
                  <c:v>582</c:v>
                </c:pt>
                <c:pt idx="277">
                  <c:v>729</c:v>
                </c:pt>
                <c:pt idx="278">
                  <c:v>710</c:v>
                </c:pt>
                <c:pt idx="279">
                  <c:v>710</c:v>
                </c:pt>
                <c:pt idx="280">
                  <c:v>764</c:v>
                </c:pt>
                <c:pt idx="281">
                  <c:v>744</c:v>
                </c:pt>
                <c:pt idx="282">
                  <c:v>744</c:v>
                </c:pt>
                <c:pt idx="283">
                  <c:v>753</c:v>
                </c:pt>
                <c:pt idx="284">
                  <c:v>782</c:v>
                </c:pt>
                <c:pt idx="285">
                  <c:v>820</c:v>
                </c:pt>
                <c:pt idx="286">
                  <c:v>805</c:v>
                </c:pt>
                <c:pt idx="287">
                  <c:v>839</c:v>
                </c:pt>
                <c:pt idx="288">
                  <c:v>846</c:v>
                </c:pt>
                <c:pt idx="289">
                  <c:v>879</c:v>
                </c:pt>
                <c:pt idx="290">
                  <c:v>880</c:v>
                </c:pt>
                <c:pt idx="291">
                  <c:v>945</c:v>
                </c:pt>
                <c:pt idx="292">
                  <c:v>979</c:v>
                </c:pt>
                <c:pt idx="293">
                  <c:v>915</c:v>
                </c:pt>
                <c:pt idx="294">
                  <c:v>911</c:v>
                </c:pt>
                <c:pt idx="295">
                  <c:v>954</c:v>
                </c:pt>
                <c:pt idx="296">
                  <c:v>957</c:v>
                </c:pt>
                <c:pt idx="297">
                  <c:v>978</c:v>
                </c:pt>
                <c:pt idx="298">
                  <c:v>1003</c:v>
                </c:pt>
                <c:pt idx="299">
                  <c:v>1049</c:v>
                </c:pt>
                <c:pt idx="301">
                  <c:v>949</c:v>
                </c:pt>
                <c:pt idx="302">
                  <c:v>1359</c:v>
                </c:pt>
                <c:pt idx="303">
                  <c:v>1080</c:v>
                </c:pt>
                <c:pt idx="304">
                  <c:v>1101</c:v>
                </c:pt>
                <c:pt idx="305">
                  <c:v>1101</c:v>
                </c:pt>
                <c:pt idx="306">
                  <c:v>796</c:v>
                </c:pt>
                <c:pt idx="307">
                  <c:v>762</c:v>
                </c:pt>
                <c:pt idx="308">
                  <c:v>870</c:v>
                </c:pt>
                <c:pt idx="309">
                  <c:v>826</c:v>
                </c:pt>
                <c:pt idx="310">
                  <c:v>817</c:v>
                </c:pt>
                <c:pt idx="311">
                  <c:v>831</c:v>
                </c:pt>
                <c:pt idx="312">
                  <c:v>835</c:v>
                </c:pt>
                <c:pt idx="313">
                  <c:v>801</c:v>
                </c:pt>
                <c:pt idx="314">
                  <c:v>833</c:v>
                </c:pt>
                <c:pt idx="315">
                  <c:v>800</c:v>
                </c:pt>
                <c:pt idx="316">
                  <c:v>858</c:v>
                </c:pt>
                <c:pt idx="317">
                  <c:v>886</c:v>
                </c:pt>
                <c:pt idx="318">
                  <c:v>912</c:v>
                </c:pt>
                <c:pt idx="319">
                  <c:v>862</c:v>
                </c:pt>
                <c:pt idx="320">
                  <c:v>854</c:v>
                </c:pt>
                <c:pt idx="321">
                  <c:v>1086</c:v>
                </c:pt>
                <c:pt idx="322">
                  <c:v>1002</c:v>
                </c:pt>
                <c:pt idx="323">
                  <c:v>1077</c:v>
                </c:pt>
                <c:pt idx="324">
                  <c:v>1030</c:v>
                </c:pt>
                <c:pt idx="325">
                  <c:v>1060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2-48C3-80C7-6DBF9E2F9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71951"/>
        <c:axId val="1"/>
      </c:lineChart>
      <c:catAx>
        <c:axId val="1860871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3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1.8181730939939636E-3"/>
              <c:y val="0.413212931716868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0871951"/>
        <c:crosses val="autoZero"/>
        <c:crossBetween val="between"/>
        <c:majorUnit val="5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Iron</a:t>
            </a:r>
          </a:p>
        </c:rich>
      </c:tx>
      <c:layout>
        <c:manualLayout>
          <c:xMode val="edge"/>
          <c:yMode val="edge"/>
          <c:x val="0.50671635658802316"/>
          <c:y val="4.06190892805066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73110634528833"/>
          <c:y val="0.19879561928391631"/>
          <c:w val="0.83187208733103557"/>
          <c:h val="0.45067428990927166"/>
        </c:manualLayout>
      </c:layout>
      <c:lineChart>
        <c:grouping val="standard"/>
        <c:varyColors val="0"/>
        <c:ser>
          <c:idx val="1"/>
          <c:order val="0"/>
          <c:tx>
            <c:v>Total Iron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Process'!$O$6:$O$332</c:f>
              <c:numCache>
                <c:formatCode>0.00</c:formatCode>
                <c:ptCount val="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99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B-4E22-AA54-EACFE3D4C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9469167"/>
        <c:axId val="1"/>
      </c:lineChart>
      <c:catAx>
        <c:axId val="1849469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3489170207315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 </a:t>
                </a: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4464794110678E-3"/>
              <c:y val="0.368085239345081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9469167"/>
        <c:crosses val="autoZero"/>
        <c:crossBetween val="between"/>
        <c:majorUnit val="0.5"/>
        <c:minorUnit val="1.0000000000000005E-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Total</a:t>
            </a:r>
            <a:r>
              <a:rPr lang="en-US" baseline="0"/>
              <a:t> Alk.</a:t>
            </a:r>
            <a:endParaRPr lang="en-US"/>
          </a:p>
        </c:rich>
      </c:tx>
      <c:layout>
        <c:manualLayout>
          <c:xMode val="edge"/>
          <c:yMode val="edge"/>
          <c:x val="0.44363673005225351"/>
          <c:y val="2.474607340749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5268505079826"/>
          <c:y val="0.19819877943992656"/>
          <c:w val="0.8214804063860669"/>
          <c:h val="0.42385410157063702"/>
        </c:manualLayout>
      </c:layout>
      <c:lineChart>
        <c:grouping val="standard"/>
        <c:varyColors val="0"/>
        <c:ser>
          <c:idx val="1"/>
          <c:order val="0"/>
          <c:tx>
            <c:v>Total Alk.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Process'!$M$5:$M$332</c:f>
              <c:numCache>
                <c:formatCode>0</c:formatCode>
                <c:ptCount val="3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45</c:v>
                </c:pt>
                <c:pt idx="262">
                  <c:v>48</c:v>
                </c:pt>
                <c:pt idx="263">
                  <c:v>50</c:v>
                </c:pt>
                <c:pt idx="264">
                  <c:v>53</c:v>
                </c:pt>
                <c:pt idx="265">
                  <c:v>67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12-4E4C-9ACD-04C4AFADD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262575"/>
        <c:axId val="1"/>
      </c:lineChart>
      <c:catAx>
        <c:axId val="1123262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86757905261842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262575"/>
        <c:crosses val="autoZero"/>
        <c:crossBetween val="between"/>
        <c:majorUnit val="5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88" r="0.75000000000001188" t="1" header="0.5" footer="0.5"/>
    <c:pageSetup orientation="landscape" horizontalDpi="-4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Sulphates</a:t>
            </a:r>
          </a:p>
        </c:rich>
      </c:tx>
      <c:layout>
        <c:manualLayout>
          <c:xMode val="edge"/>
          <c:yMode val="edge"/>
          <c:x val="0.42218172820818839"/>
          <c:y val="2.47531558555180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4302976766433"/>
          <c:y val="0.20180767412155143"/>
          <c:w val="0.83847493823871999"/>
          <c:h val="0.47384055363037153"/>
        </c:manualLayout>
      </c:layout>
      <c:lineChart>
        <c:grouping val="standard"/>
        <c:varyColors val="0"/>
        <c:ser>
          <c:idx val="1"/>
          <c:order val="0"/>
          <c:tx>
            <c:v>Sulphates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Process'!$Q$5:$Q$332</c:f>
              <c:numCache>
                <c:formatCode>0</c:formatCode>
                <c:ptCount val="3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5-455D-A008-D9AA855A8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268815"/>
        <c:axId val="1"/>
      </c:lineChart>
      <c:catAx>
        <c:axId val="1123268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61807870134532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100"/>
          <c:min val="500"/>
        </c:scaling>
        <c:delete val="0"/>
        <c:axPos val="l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Silica ppm</a:t>
                </a:r>
              </a:p>
            </c:rich>
          </c:tx>
          <c:layout>
            <c:manualLayout>
              <c:xMode val="edge"/>
              <c:yMode val="edge"/>
              <c:x val="9.1911061949049352E-3"/>
              <c:y val="0.31517518643502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268815"/>
        <c:crosses val="autoZero"/>
        <c:crossBetween val="between"/>
        <c:majorUnit val="200"/>
        <c:min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88" r="0.75000000000001188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Suspended Solids</a:t>
            </a:r>
          </a:p>
        </c:rich>
      </c:tx>
      <c:layout>
        <c:manualLayout>
          <c:xMode val="edge"/>
          <c:yMode val="edge"/>
          <c:x val="0.37575801196696845"/>
          <c:y val="3.00370786984960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3714436290811"/>
          <c:y val="0.19879561928391631"/>
          <c:w val="0.82096230329894349"/>
          <c:h val="0.39318722758457225"/>
        </c:manualLayout>
      </c:layout>
      <c:lineChart>
        <c:grouping val="standard"/>
        <c:varyColors val="0"/>
        <c:ser>
          <c:idx val="1"/>
          <c:order val="0"/>
          <c:tx>
            <c:v>Suspended Solids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Process'!$P$5:$P$332</c:f>
              <c:numCache>
                <c:formatCode>0</c:formatCode>
                <c:ptCount val="3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4-4A65-A538-B18F94DB1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270735"/>
        <c:axId val="1"/>
      </c:lineChart>
      <c:catAx>
        <c:axId val="112327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0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1.8181730939939636E-3"/>
              <c:y val="0.413212931716868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270735"/>
        <c:crosses val="autoZero"/>
        <c:crossBetween val="between"/>
        <c:majorUnit val="20"/>
        <c:min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71438</xdr:colOff>
      <xdr:row>8</xdr:row>
      <xdr:rowOff>66675</xdr:rowOff>
    </xdr:from>
    <xdr:to>
      <xdr:col>4</xdr:col>
      <xdr:colOff>190500</xdr:colOff>
      <xdr:row>9</xdr:row>
      <xdr:rowOff>28575</xdr:rowOff>
    </xdr:to>
    <xdr:sp macro="" textlink="">
      <xdr:nvSpPr>
        <xdr:cNvPr id="16075749" name="Oval 1">
          <a:extLst>
            <a:ext uri="{FF2B5EF4-FFF2-40B4-BE49-F238E27FC236}">
              <a16:creationId xmlns:a16="http://schemas.microsoft.com/office/drawing/2014/main" id="{EDA7DCF5-DC9B-43CB-C17E-E9D2A9251D10}"/>
            </a:ext>
          </a:extLst>
        </xdr:cNvPr>
        <xdr:cNvSpPr>
          <a:spLocks noChangeArrowheads="1"/>
        </xdr:cNvSpPr>
      </xdr:nvSpPr>
      <xdr:spPr bwMode="auto">
        <a:xfrm>
          <a:off x="2662238" y="1362075"/>
          <a:ext cx="119062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109538</xdr:colOff>
      <xdr:row>0</xdr:row>
      <xdr:rowOff>66675</xdr:rowOff>
    </xdr:from>
    <xdr:to>
      <xdr:col>8</xdr:col>
      <xdr:colOff>495300</xdr:colOff>
      <xdr:row>15</xdr:row>
      <xdr:rowOff>85725</xdr:rowOff>
    </xdr:to>
    <xdr:graphicFrame macro="">
      <xdr:nvGraphicFramePr>
        <xdr:cNvPr id="16075750" name="Chart 2">
          <a:extLst>
            <a:ext uri="{FF2B5EF4-FFF2-40B4-BE49-F238E27FC236}">
              <a16:creationId xmlns:a16="http://schemas.microsoft.com/office/drawing/2014/main" id="{F7D0D565-2098-A632-7271-27B1C58A7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90488</xdr:colOff>
      <xdr:row>6</xdr:row>
      <xdr:rowOff>19050</xdr:rowOff>
    </xdr:from>
    <xdr:to>
      <xdr:col>8</xdr:col>
      <xdr:colOff>295275</xdr:colOff>
      <xdr:row>6</xdr:row>
      <xdr:rowOff>28575</xdr:rowOff>
    </xdr:to>
    <xdr:sp macro="" textlink="">
      <xdr:nvSpPr>
        <xdr:cNvPr id="16075751" name="Line 3">
          <a:extLst>
            <a:ext uri="{FF2B5EF4-FFF2-40B4-BE49-F238E27FC236}">
              <a16:creationId xmlns:a16="http://schemas.microsoft.com/office/drawing/2014/main" id="{156D1704-684C-34FA-8E76-69575F30E58C}"/>
            </a:ext>
          </a:extLst>
        </xdr:cNvPr>
        <xdr:cNvSpPr>
          <a:spLocks noChangeShapeType="1"/>
        </xdr:cNvSpPr>
      </xdr:nvSpPr>
      <xdr:spPr bwMode="auto">
        <a:xfrm>
          <a:off x="738188" y="990600"/>
          <a:ext cx="4738687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80963</xdr:colOff>
      <xdr:row>7</xdr:row>
      <xdr:rowOff>95250</xdr:rowOff>
    </xdr:from>
    <xdr:to>
      <xdr:col>8</xdr:col>
      <xdr:colOff>271463</xdr:colOff>
      <xdr:row>7</xdr:row>
      <xdr:rowOff>123825</xdr:rowOff>
    </xdr:to>
    <xdr:sp macro="" textlink="">
      <xdr:nvSpPr>
        <xdr:cNvPr id="16075752" name="Line 4">
          <a:extLst>
            <a:ext uri="{FF2B5EF4-FFF2-40B4-BE49-F238E27FC236}">
              <a16:creationId xmlns:a16="http://schemas.microsoft.com/office/drawing/2014/main" id="{1541CBAD-CB15-BC95-FEB2-3500FFFEEE79}"/>
            </a:ext>
          </a:extLst>
        </xdr:cNvPr>
        <xdr:cNvSpPr>
          <a:spLocks noChangeShapeType="1"/>
        </xdr:cNvSpPr>
      </xdr:nvSpPr>
      <xdr:spPr bwMode="auto">
        <a:xfrm>
          <a:off x="728663" y="1228725"/>
          <a:ext cx="4724400" cy="2857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109538</xdr:colOff>
      <xdr:row>16</xdr:row>
      <xdr:rowOff>85725</xdr:rowOff>
    </xdr:from>
    <xdr:to>
      <xdr:col>8</xdr:col>
      <xdr:colOff>495300</xdr:colOff>
      <xdr:row>31</xdr:row>
      <xdr:rowOff>104775</xdr:rowOff>
    </xdr:to>
    <xdr:graphicFrame macro="">
      <xdr:nvGraphicFramePr>
        <xdr:cNvPr id="16075753" name="Chart 5">
          <a:extLst>
            <a:ext uri="{FF2B5EF4-FFF2-40B4-BE49-F238E27FC236}">
              <a16:creationId xmlns:a16="http://schemas.microsoft.com/office/drawing/2014/main" id="{9DBD54EA-2E8D-6F80-8964-03960055C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161925</xdr:colOff>
      <xdr:row>24</xdr:row>
      <xdr:rowOff>95250</xdr:rowOff>
    </xdr:from>
    <xdr:to>
      <xdr:col>8</xdr:col>
      <xdr:colOff>261938</xdr:colOff>
      <xdr:row>24</xdr:row>
      <xdr:rowOff>95250</xdr:rowOff>
    </xdr:to>
    <xdr:sp macro="" textlink="">
      <xdr:nvSpPr>
        <xdr:cNvPr id="16075754" name="Line 6">
          <a:extLst>
            <a:ext uri="{FF2B5EF4-FFF2-40B4-BE49-F238E27FC236}">
              <a16:creationId xmlns:a16="http://schemas.microsoft.com/office/drawing/2014/main" id="{32E96FE8-AE13-6007-30E2-FB8BE4041A48}"/>
            </a:ext>
          </a:extLst>
        </xdr:cNvPr>
        <xdr:cNvSpPr>
          <a:spLocks noChangeShapeType="1"/>
        </xdr:cNvSpPr>
      </xdr:nvSpPr>
      <xdr:spPr bwMode="auto">
        <a:xfrm>
          <a:off x="809625" y="3981450"/>
          <a:ext cx="4633913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142875</xdr:colOff>
      <xdr:row>32</xdr:row>
      <xdr:rowOff>123825</xdr:rowOff>
    </xdr:from>
    <xdr:to>
      <xdr:col>8</xdr:col>
      <xdr:colOff>528638</xdr:colOff>
      <xdr:row>47</xdr:row>
      <xdr:rowOff>142875</xdr:rowOff>
    </xdr:to>
    <xdr:graphicFrame macro="">
      <xdr:nvGraphicFramePr>
        <xdr:cNvPr id="16075755" name="Chart 7">
          <a:extLst>
            <a:ext uri="{FF2B5EF4-FFF2-40B4-BE49-F238E27FC236}">
              <a16:creationId xmlns:a16="http://schemas.microsoft.com/office/drawing/2014/main" id="{B4A886F2-8956-F714-DA1D-33822FE25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133350</xdr:colOff>
      <xdr:row>40</xdr:row>
      <xdr:rowOff>9525</xdr:rowOff>
    </xdr:from>
    <xdr:to>
      <xdr:col>8</xdr:col>
      <xdr:colOff>285750</xdr:colOff>
      <xdr:row>40</xdr:row>
      <xdr:rowOff>9525</xdr:rowOff>
    </xdr:to>
    <xdr:sp macro="" textlink="">
      <xdr:nvSpPr>
        <xdr:cNvPr id="16075756" name="Line 8">
          <a:extLst>
            <a:ext uri="{FF2B5EF4-FFF2-40B4-BE49-F238E27FC236}">
              <a16:creationId xmlns:a16="http://schemas.microsoft.com/office/drawing/2014/main" id="{4FF898DF-3350-9F44-5818-E7BA061B1738}"/>
            </a:ext>
          </a:extLst>
        </xdr:cNvPr>
        <xdr:cNvSpPr>
          <a:spLocks noChangeShapeType="1"/>
        </xdr:cNvSpPr>
      </xdr:nvSpPr>
      <xdr:spPr bwMode="auto">
        <a:xfrm>
          <a:off x="781050" y="6486525"/>
          <a:ext cx="46863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100013</xdr:colOff>
      <xdr:row>42</xdr:row>
      <xdr:rowOff>85725</xdr:rowOff>
    </xdr:from>
    <xdr:to>
      <xdr:col>8</xdr:col>
      <xdr:colOff>242888</xdr:colOff>
      <xdr:row>42</xdr:row>
      <xdr:rowOff>85725</xdr:rowOff>
    </xdr:to>
    <xdr:sp macro="" textlink="">
      <xdr:nvSpPr>
        <xdr:cNvPr id="16075757" name="Line 9">
          <a:extLst>
            <a:ext uri="{FF2B5EF4-FFF2-40B4-BE49-F238E27FC236}">
              <a16:creationId xmlns:a16="http://schemas.microsoft.com/office/drawing/2014/main" id="{58131707-B8E7-FEE4-273A-4F9FF00B19A6}"/>
            </a:ext>
          </a:extLst>
        </xdr:cNvPr>
        <xdr:cNvSpPr>
          <a:spLocks noChangeShapeType="1"/>
        </xdr:cNvSpPr>
      </xdr:nvSpPr>
      <xdr:spPr bwMode="auto">
        <a:xfrm>
          <a:off x="747713" y="6886575"/>
          <a:ext cx="467677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109538</xdr:colOff>
      <xdr:row>0</xdr:row>
      <xdr:rowOff>66675</xdr:rowOff>
    </xdr:from>
    <xdr:to>
      <xdr:col>17</xdr:col>
      <xdr:colOff>495300</xdr:colOff>
      <xdr:row>15</xdr:row>
      <xdr:rowOff>85725</xdr:rowOff>
    </xdr:to>
    <xdr:graphicFrame macro="">
      <xdr:nvGraphicFramePr>
        <xdr:cNvPr id="16075758" name="Chart 10">
          <a:extLst>
            <a:ext uri="{FF2B5EF4-FFF2-40B4-BE49-F238E27FC236}">
              <a16:creationId xmlns:a16="http://schemas.microsoft.com/office/drawing/2014/main" id="{5B595C55-6DCF-60D0-D43B-3D4C5E97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100013</xdr:colOff>
      <xdr:row>16</xdr:row>
      <xdr:rowOff>85725</xdr:rowOff>
    </xdr:from>
    <xdr:to>
      <xdr:col>17</xdr:col>
      <xdr:colOff>485775</xdr:colOff>
      <xdr:row>31</xdr:row>
      <xdr:rowOff>104775</xdr:rowOff>
    </xdr:to>
    <xdr:graphicFrame macro="">
      <xdr:nvGraphicFramePr>
        <xdr:cNvPr id="16075759" name="Chart 11">
          <a:extLst>
            <a:ext uri="{FF2B5EF4-FFF2-40B4-BE49-F238E27FC236}">
              <a16:creationId xmlns:a16="http://schemas.microsoft.com/office/drawing/2014/main" id="{B1594493-2ABA-5FDA-4DAF-80CDFB469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109538</xdr:colOff>
      <xdr:row>32</xdr:row>
      <xdr:rowOff>76200</xdr:rowOff>
    </xdr:from>
    <xdr:to>
      <xdr:col>17</xdr:col>
      <xdr:colOff>495300</xdr:colOff>
      <xdr:row>47</xdr:row>
      <xdr:rowOff>95250</xdr:rowOff>
    </xdr:to>
    <xdr:graphicFrame macro="">
      <xdr:nvGraphicFramePr>
        <xdr:cNvPr id="16075760" name="Chart 12">
          <a:extLst>
            <a:ext uri="{FF2B5EF4-FFF2-40B4-BE49-F238E27FC236}">
              <a16:creationId xmlns:a16="http://schemas.microsoft.com/office/drawing/2014/main" id="{481B90F1-08F8-158B-B408-05D0A9AEE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109538</xdr:colOff>
      <xdr:row>38</xdr:row>
      <xdr:rowOff>47625</xdr:rowOff>
    </xdr:from>
    <xdr:to>
      <xdr:col>17</xdr:col>
      <xdr:colOff>233363</xdr:colOff>
      <xdr:row>38</xdr:row>
      <xdr:rowOff>47625</xdr:rowOff>
    </xdr:to>
    <xdr:sp macro="" textlink="">
      <xdr:nvSpPr>
        <xdr:cNvPr id="16075761" name="Line 14">
          <a:extLst>
            <a:ext uri="{FF2B5EF4-FFF2-40B4-BE49-F238E27FC236}">
              <a16:creationId xmlns:a16="http://schemas.microsoft.com/office/drawing/2014/main" id="{08EB2E49-B6A6-33BE-4F2F-A0CF96A8B085}"/>
            </a:ext>
          </a:extLst>
        </xdr:cNvPr>
        <xdr:cNvSpPr>
          <a:spLocks noChangeShapeType="1"/>
        </xdr:cNvSpPr>
      </xdr:nvSpPr>
      <xdr:spPr bwMode="auto">
        <a:xfrm>
          <a:off x="6586538" y="6200775"/>
          <a:ext cx="465772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123825</xdr:colOff>
      <xdr:row>0</xdr:row>
      <xdr:rowOff>76200</xdr:rowOff>
    </xdr:from>
    <xdr:to>
      <xdr:col>35</xdr:col>
      <xdr:colOff>466725</xdr:colOff>
      <xdr:row>15</xdr:row>
      <xdr:rowOff>95250</xdr:rowOff>
    </xdr:to>
    <xdr:graphicFrame macro="">
      <xdr:nvGraphicFramePr>
        <xdr:cNvPr id="16075762" name="Chart 15">
          <a:extLst>
            <a:ext uri="{FF2B5EF4-FFF2-40B4-BE49-F238E27FC236}">
              <a16:creationId xmlns:a16="http://schemas.microsoft.com/office/drawing/2014/main" id="{5217B3A6-55D9-E258-60F7-2AC6AB840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223838</xdr:colOff>
      <xdr:row>0</xdr:row>
      <xdr:rowOff>95250</xdr:rowOff>
    </xdr:from>
    <xdr:to>
      <xdr:col>26</xdr:col>
      <xdr:colOff>614363</xdr:colOff>
      <xdr:row>15</xdr:row>
      <xdr:rowOff>114300</xdr:rowOff>
    </xdr:to>
    <xdr:graphicFrame macro="">
      <xdr:nvGraphicFramePr>
        <xdr:cNvPr id="16075763" name="Chart 24">
          <a:extLst>
            <a:ext uri="{FF2B5EF4-FFF2-40B4-BE49-F238E27FC236}">
              <a16:creationId xmlns:a16="http://schemas.microsoft.com/office/drawing/2014/main" id="{5F55D2A5-9AD4-3C83-7293-F95B35CD6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323850</xdr:colOff>
      <xdr:row>4</xdr:row>
      <xdr:rowOff>142875</xdr:rowOff>
    </xdr:from>
    <xdr:to>
      <xdr:col>26</xdr:col>
      <xdr:colOff>357188</xdr:colOff>
      <xdr:row>4</xdr:row>
      <xdr:rowOff>152400</xdr:rowOff>
    </xdr:to>
    <xdr:sp macro="" textlink="">
      <xdr:nvSpPr>
        <xdr:cNvPr id="16075764" name="Line 25">
          <a:extLst>
            <a:ext uri="{FF2B5EF4-FFF2-40B4-BE49-F238E27FC236}">
              <a16:creationId xmlns:a16="http://schemas.microsoft.com/office/drawing/2014/main" id="{546C2A53-1C9D-B133-91BD-FC9804BF6F51}"/>
            </a:ext>
          </a:extLst>
        </xdr:cNvPr>
        <xdr:cNvSpPr>
          <a:spLocks noChangeShapeType="1"/>
        </xdr:cNvSpPr>
      </xdr:nvSpPr>
      <xdr:spPr bwMode="auto">
        <a:xfrm>
          <a:off x="12630150" y="790575"/>
          <a:ext cx="4567238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123825</xdr:rowOff>
    </xdr:from>
    <xdr:to>
      <xdr:col>27</xdr:col>
      <xdr:colOff>0</xdr:colOff>
      <xdr:row>15</xdr:row>
      <xdr:rowOff>95250</xdr:rowOff>
    </xdr:to>
    <xdr:graphicFrame macro="">
      <xdr:nvGraphicFramePr>
        <xdr:cNvPr id="16075765" name="Chart 28">
          <a:extLst>
            <a:ext uri="{FF2B5EF4-FFF2-40B4-BE49-F238E27FC236}">
              <a16:creationId xmlns:a16="http://schemas.microsoft.com/office/drawing/2014/main" id="{C26BA7AF-35A9-7CD9-D3B5-52BA27006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16</xdr:row>
      <xdr:rowOff>104775</xdr:rowOff>
    </xdr:from>
    <xdr:to>
      <xdr:col>27</xdr:col>
      <xdr:colOff>0</xdr:colOff>
      <xdr:row>31</xdr:row>
      <xdr:rowOff>123825</xdr:rowOff>
    </xdr:to>
    <xdr:graphicFrame macro="">
      <xdr:nvGraphicFramePr>
        <xdr:cNvPr id="16075766" name="Chart 33">
          <a:extLst>
            <a:ext uri="{FF2B5EF4-FFF2-40B4-BE49-F238E27FC236}">
              <a16:creationId xmlns:a16="http://schemas.microsoft.com/office/drawing/2014/main" id="{224F55FE-BD9B-A5CE-91FA-4E422C422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5</xdr:row>
      <xdr:rowOff>38100</xdr:rowOff>
    </xdr:from>
    <xdr:to>
      <xdr:col>27</xdr:col>
      <xdr:colOff>0</xdr:colOff>
      <xdr:row>5</xdr:row>
      <xdr:rowOff>47625</xdr:rowOff>
    </xdr:to>
    <xdr:sp macro="" textlink="">
      <xdr:nvSpPr>
        <xdr:cNvPr id="16075767" name="Line 41">
          <a:extLst>
            <a:ext uri="{FF2B5EF4-FFF2-40B4-BE49-F238E27FC236}">
              <a16:creationId xmlns:a16="http://schemas.microsoft.com/office/drawing/2014/main" id="{41578952-3D8B-E8DC-A423-CA4034AE2CE6}"/>
            </a:ext>
          </a:extLst>
        </xdr:cNvPr>
        <xdr:cNvSpPr>
          <a:spLocks noChangeShapeType="1"/>
        </xdr:cNvSpPr>
      </xdr:nvSpPr>
      <xdr:spPr bwMode="auto">
        <a:xfrm>
          <a:off x="17635538" y="847725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204788</xdr:colOff>
      <xdr:row>4</xdr:row>
      <xdr:rowOff>123825</xdr:rowOff>
    </xdr:from>
    <xdr:to>
      <xdr:col>17</xdr:col>
      <xdr:colOff>242888</xdr:colOff>
      <xdr:row>4</xdr:row>
      <xdr:rowOff>123825</xdr:rowOff>
    </xdr:to>
    <xdr:sp macro="" textlink="">
      <xdr:nvSpPr>
        <xdr:cNvPr id="16075768" name="Line 42">
          <a:extLst>
            <a:ext uri="{FF2B5EF4-FFF2-40B4-BE49-F238E27FC236}">
              <a16:creationId xmlns:a16="http://schemas.microsoft.com/office/drawing/2014/main" id="{1CF69C89-5DE8-5381-A560-A5044F484B36}"/>
            </a:ext>
          </a:extLst>
        </xdr:cNvPr>
        <xdr:cNvSpPr>
          <a:spLocks noChangeShapeType="1"/>
        </xdr:cNvSpPr>
      </xdr:nvSpPr>
      <xdr:spPr bwMode="auto">
        <a:xfrm>
          <a:off x="6681788" y="771525"/>
          <a:ext cx="45720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133350</xdr:colOff>
      <xdr:row>6</xdr:row>
      <xdr:rowOff>133350</xdr:rowOff>
    </xdr:from>
    <xdr:to>
      <xdr:col>35</xdr:col>
      <xdr:colOff>223838</xdr:colOff>
      <xdr:row>6</xdr:row>
      <xdr:rowOff>133350</xdr:rowOff>
    </xdr:to>
    <xdr:sp macro="" textlink="">
      <xdr:nvSpPr>
        <xdr:cNvPr id="16075769" name="Line 26">
          <a:extLst>
            <a:ext uri="{FF2B5EF4-FFF2-40B4-BE49-F238E27FC236}">
              <a16:creationId xmlns:a16="http://schemas.microsoft.com/office/drawing/2014/main" id="{BB02B70D-412D-DCBF-4F83-CE392A5C9EBC}"/>
            </a:ext>
          </a:extLst>
        </xdr:cNvPr>
        <xdr:cNvSpPr>
          <a:spLocks noChangeShapeType="1"/>
        </xdr:cNvSpPr>
      </xdr:nvSpPr>
      <xdr:spPr bwMode="auto">
        <a:xfrm>
          <a:off x="18416588" y="1104900"/>
          <a:ext cx="4624387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5</xdr:row>
      <xdr:rowOff>28575</xdr:rowOff>
    </xdr:from>
    <xdr:to>
      <xdr:col>35</xdr:col>
      <xdr:colOff>233363</xdr:colOff>
      <xdr:row>5</xdr:row>
      <xdr:rowOff>28575</xdr:rowOff>
    </xdr:to>
    <xdr:sp macro="" textlink="">
      <xdr:nvSpPr>
        <xdr:cNvPr id="16075770" name="Line 45">
          <a:extLst>
            <a:ext uri="{FF2B5EF4-FFF2-40B4-BE49-F238E27FC236}">
              <a16:creationId xmlns:a16="http://schemas.microsoft.com/office/drawing/2014/main" id="{BDBCB11B-E448-1D5D-BA09-9C6000D80A7B}"/>
            </a:ext>
          </a:extLst>
        </xdr:cNvPr>
        <xdr:cNvSpPr>
          <a:spLocks noChangeShapeType="1"/>
        </xdr:cNvSpPr>
      </xdr:nvSpPr>
      <xdr:spPr bwMode="auto">
        <a:xfrm>
          <a:off x="18426113" y="838200"/>
          <a:ext cx="4624387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32</xdr:row>
      <xdr:rowOff>142875</xdr:rowOff>
    </xdr:from>
    <xdr:to>
      <xdr:col>27</xdr:col>
      <xdr:colOff>0</xdr:colOff>
      <xdr:row>48</xdr:row>
      <xdr:rowOff>0</xdr:rowOff>
    </xdr:to>
    <xdr:graphicFrame macro="">
      <xdr:nvGraphicFramePr>
        <xdr:cNvPr id="16075771" name="Chart 46">
          <a:extLst>
            <a:ext uri="{FF2B5EF4-FFF2-40B4-BE49-F238E27FC236}">
              <a16:creationId xmlns:a16="http://schemas.microsoft.com/office/drawing/2014/main" id="{15C90E9C-C9AB-4F97-B44F-51D347753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252413</xdr:colOff>
      <xdr:row>16</xdr:row>
      <xdr:rowOff>133350</xdr:rowOff>
    </xdr:from>
    <xdr:to>
      <xdr:col>26</xdr:col>
      <xdr:colOff>642938</xdr:colOff>
      <xdr:row>31</xdr:row>
      <xdr:rowOff>152400</xdr:rowOff>
    </xdr:to>
    <xdr:graphicFrame macro="">
      <xdr:nvGraphicFramePr>
        <xdr:cNvPr id="16075772" name="Chart 24">
          <a:extLst>
            <a:ext uri="{FF2B5EF4-FFF2-40B4-BE49-F238E27FC236}">
              <a16:creationId xmlns:a16="http://schemas.microsoft.com/office/drawing/2014/main" id="{604BC073-8173-CF52-8EF3-002FE85D2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352425</xdr:colOff>
      <xdr:row>22</xdr:row>
      <xdr:rowOff>57150</xdr:rowOff>
    </xdr:from>
    <xdr:to>
      <xdr:col>26</xdr:col>
      <xdr:colOff>385763</xdr:colOff>
      <xdr:row>22</xdr:row>
      <xdr:rowOff>66675</xdr:rowOff>
    </xdr:to>
    <xdr:sp macro="" textlink="">
      <xdr:nvSpPr>
        <xdr:cNvPr id="16075773" name="Line 25">
          <a:extLst>
            <a:ext uri="{FF2B5EF4-FFF2-40B4-BE49-F238E27FC236}">
              <a16:creationId xmlns:a16="http://schemas.microsoft.com/office/drawing/2014/main" id="{2C9C2BA2-F061-50E8-DCD9-A833C406C541}"/>
            </a:ext>
          </a:extLst>
        </xdr:cNvPr>
        <xdr:cNvSpPr>
          <a:spLocks noChangeShapeType="1"/>
        </xdr:cNvSpPr>
      </xdr:nvSpPr>
      <xdr:spPr bwMode="auto">
        <a:xfrm>
          <a:off x="12658725" y="3619500"/>
          <a:ext cx="4567238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271463</xdr:colOff>
      <xdr:row>32</xdr:row>
      <xdr:rowOff>152400</xdr:rowOff>
    </xdr:from>
    <xdr:to>
      <xdr:col>26</xdr:col>
      <xdr:colOff>623888</xdr:colOff>
      <xdr:row>48</xdr:row>
      <xdr:rowOff>9525</xdr:rowOff>
    </xdr:to>
    <xdr:graphicFrame macro="">
      <xdr:nvGraphicFramePr>
        <xdr:cNvPr id="16075774" name="Chart 15">
          <a:extLst>
            <a:ext uri="{FF2B5EF4-FFF2-40B4-BE49-F238E27FC236}">
              <a16:creationId xmlns:a16="http://schemas.microsoft.com/office/drawing/2014/main" id="{86F021F4-EC75-9C1B-54C2-69129A376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223838</xdr:colOff>
      <xdr:row>0</xdr:row>
      <xdr:rowOff>95250</xdr:rowOff>
    </xdr:from>
    <xdr:to>
      <xdr:col>44</xdr:col>
      <xdr:colOff>614363</xdr:colOff>
      <xdr:row>15</xdr:row>
      <xdr:rowOff>114300</xdr:rowOff>
    </xdr:to>
    <xdr:graphicFrame macro="">
      <xdr:nvGraphicFramePr>
        <xdr:cNvPr id="16075775" name="Chart 24">
          <a:extLst>
            <a:ext uri="{FF2B5EF4-FFF2-40B4-BE49-F238E27FC236}">
              <a16:creationId xmlns:a16="http://schemas.microsoft.com/office/drawing/2014/main" id="{AF51D61D-1B96-718A-6BF3-BC230EE76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323850</xdr:colOff>
      <xdr:row>8</xdr:row>
      <xdr:rowOff>114300</xdr:rowOff>
    </xdr:from>
    <xdr:to>
      <xdr:col>44</xdr:col>
      <xdr:colOff>357188</xdr:colOff>
      <xdr:row>8</xdr:row>
      <xdr:rowOff>123825</xdr:rowOff>
    </xdr:to>
    <xdr:sp macro="" textlink="">
      <xdr:nvSpPr>
        <xdr:cNvPr id="16617472" name="Line 25">
          <a:extLst>
            <a:ext uri="{FF2B5EF4-FFF2-40B4-BE49-F238E27FC236}">
              <a16:creationId xmlns:a16="http://schemas.microsoft.com/office/drawing/2014/main" id="{B99083C9-AA85-C9A8-A72F-D3706F3DD6F3}"/>
            </a:ext>
          </a:extLst>
        </xdr:cNvPr>
        <xdr:cNvSpPr>
          <a:spLocks noChangeShapeType="1"/>
        </xdr:cNvSpPr>
      </xdr:nvSpPr>
      <xdr:spPr bwMode="auto">
        <a:xfrm>
          <a:off x="24436388" y="1409700"/>
          <a:ext cx="4567237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33</xdr:row>
      <xdr:rowOff>57150</xdr:rowOff>
    </xdr:from>
    <xdr:to>
      <xdr:col>35</xdr:col>
      <xdr:colOff>466725</xdr:colOff>
      <xdr:row>48</xdr:row>
      <xdr:rowOff>76200</xdr:rowOff>
    </xdr:to>
    <xdr:graphicFrame macro="">
      <xdr:nvGraphicFramePr>
        <xdr:cNvPr id="16617473" name="Chart 43">
          <a:extLst>
            <a:ext uri="{FF2B5EF4-FFF2-40B4-BE49-F238E27FC236}">
              <a16:creationId xmlns:a16="http://schemas.microsoft.com/office/drawing/2014/main" id="{21179B60-6C2A-D4D3-1E8D-AEE3C01DB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152400</xdr:colOff>
      <xdr:row>28</xdr:row>
      <xdr:rowOff>38100</xdr:rowOff>
    </xdr:from>
    <xdr:to>
      <xdr:col>44</xdr:col>
      <xdr:colOff>252413</xdr:colOff>
      <xdr:row>28</xdr:row>
      <xdr:rowOff>38100</xdr:rowOff>
    </xdr:to>
    <xdr:sp macro="" textlink="">
      <xdr:nvSpPr>
        <xdr:cNvPr id="16617474" name="Line 44">
          <a:extLst>
            <a:ext uri="{FF2B5EF4-FFF2-40B4-BE49-F238E27FC236}">
              <a16:creationId xmlns:a16="http://schemas.microsoft.com/office/drawing/2014/main" id="{A5D1E8AA-47E8-D91C-A798-F52BDC442313}"/>
            </a:ext>
          </a:extLst>
        </xdr:cNvPr>
        <xdr:cNvSpPr>
          <a:spLocks noChangeShapeType="1"/>
        </xdr:cNvSpPr>
      </xdr:nvSpPr>
      <xdr:spPr bwMode="auto">
        <a:xfrm>
          <a:off x="24264938" y="4572000"/>
          <a:ext cx="4633912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171450</xdr:colOff>
      <xdr:row>16</xdr:row>
      <xdr:rowOff>152400</xdr:rowOff>
    </xdr:from>
    <xdr:to>
      <xdr:col>35</xdr:col>
      <xdr:colOff>557213</xdr:colOff>
      <xdr:row>32</xdr:row>
      <xdr:rowOff>9525</xdr:rowOff>
    </xdr:to>
    <xdr:graphicFrame macro="">
      <xdr:nvGraphicFramePr>
        <xdr:cNvPr id="16617475" name="Chart 24">
          <a:extLst>
            <a:ext uri="{FF2B5EF4-FFF2-40B4-BE49-F238E27FC236}">
              <a16:creationId xmlns:a16="http://schemas.microsoft.com/office/drawing/2014/main" id="{7682CC52-49B9-60DA-5526-BA490AF6B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E29A-AFF2-45CD-AC76-C294CC17A4AE}">
  <dimension ref="A1:R613"/>
  <sheetViews>
    <sheetView showGridLines="0" zoomScale="75" zoomScaleNormal="75" zoomScaleSheetLayoutView="64" workbookViewId="0">
      <pane xSplit="1" ySplit="4" topLeftCell="B275" activePane="bottomRight" state="frozen"/>
      <selection pane="topRight" activeCell="B1" sqref="B1"/>
      <selection pane="bottomLeft" activeCell="A5" sqref="A5"/>
      <selection pane="bottomRight" activeCell="C323" sqref="C323"/>
    </sheetView>
  </sheetViews>
  <sheetFormatPr defaultColWidth="9.1328125" defaultRowHeight="12.75" x14ac:dyDescent="0.35"/>
  <cols>
    <col min="1" max="1" width="13.1328125" style="4" customWidth="1"/>
    <col min="2" max="2" width="11.3984375" style="4" customWidth="1"/>
    <col min="3" max="4" width="14.73046875" style="4" customWidth="1"/>
    <col min="5" max="5" width="14" style="4" customWidth="1"/>
    <col min="6" max="6" width="14.59765625" style="4" customWidth="1"/>
    <col min="7" max="7" width="13.265625" style="4" customWidth="1"/>
    <col min="8" max="8" width="13.73046875" style="4" customWidth="1"/>
    <col min="9" max="9" width="11.86328125" style="4" customWidth="1"/>
    <col min="10" max="11" width="14.1328125" style="4" customWidth="1"/>
    <col min="12" max="12" width="13.3984375" style="4" customWidth="1"/>
    <col min="13" max="16384" width="9.1328125" style="4"/>
  </cols>
  <sheetData>
    <row r="1" spans="1:12" ht="23.25" customHeight="1" x14ac:dyDescent="0.35">
      <c r="A1" s="117" t="s">
        <v>13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2" ht="7.5" customHeight="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s="6" customFormat="1" ht="35.25" customHeight="1" thickBot="1" x14ac:dyDescent="0.4">
      <c r="A3" s="38" t="s">
        <v>14</v>
      </c>
      <c r="B3" s="42" t="s">
        <v>15</v>
      </c>
      <c r="C3" s="39" t="s">
        <v>17</v>
      </c>
      <c r="D3" s="39"/>
      <c r="E3" s="51" t="s">
        <v>16</v>
      </c>
      <c r="F3" s="51" t="s">
        <v>28</v>
      </c>
      <c r="G3" s="52" t="s">
        <v>4</v>
      </c>
      <c r="H3" s="51" t="s">
        <v>19</v>
      </c>
      <c r="I3" s="51" t="s">
        <v>7</v>
      </c>
      <c r="J3" s="53" t="s">
        <v>20</v>
      </c>
      <c r="K3" s="40" t="s">
        <v>30</v>
      </c>
      <c r="L3" s="41" t="s">
        <v>31</v>
      </c>
    </row>
    <row r="4" spans="1:12" s="6" customFormat="1" ht="23.25" customHeight="1" thickBot="1" x14ac:dyDescent="0.4">
      <c r="A4" s="64" t="s">
        <v>26</v>
      </c>
      <c r="B4" s="65" t="s">
        <v>12</v>
      </c>
      <c r="C4" s="66" t="s">
        <v>27</v>
      </c>
      <c r="D4" s="66"/>
      <c r="E4" s="66" t="s">
        <v>29</v>
      </c>
      <c r="F4" s="66" t="s">
        <v>11</v>
      </c>
      <c r="G4" s="67" t="s">
        <v>11</v>
      </c>
      <c r="H4" s="66" t="s">
        <v>11</v>
      </c>
      <c r="I4" s="66" t="s">
        <v>11</v>
      </c>
      <c r="J4" s="66" t="s">
        <v>11</v>
      </c>
      <c r="K4" s="66" t="s">
        <v>11</v>
      </c>
      <c r="L4" s="68" t="s">
        <v>11</v>
      </c>
    </row>
    <row r="5" spans="1:12" s="10" customFormat="1" ht="28.5" customHeight="1" x14ac:dyDescent="0.35">
      <c r="A5" s="99">
        <v>45505</v>
      </c>
      <c r="B5" s="1">
        <v>7.66</v>
      </c>
      <c r="C5" s="1">
        <v>5</v>
      </c>
      <c r="D5" s="1"/>
      <c r="E5" s="76">
        <v>286</v>
      </c>
      <c r="F5" s="12">
        <v>192</v>
      </c>
      <c r="G5" s="12"/>
      <c r="H5" s="12"/>
      <c r="I5" s="12"/>
      <c r="J5" s="12"/>
      <c r="K5" s="12"/>
      <c r="L5" s="77"/>
    </row>
    <row r="6" spans="1:12" s="10" customFormat="1" ht="28.5" customHeight="1" x14ac:dyDescent="0.35">
      <c r="A6" s="99">
        <v>45506</v>
      </c>
      <c r="B6" s="2">
        <v>7.8</v>
      </c>
      <c r="C6" s="63">
        <v>5</v>
      </c>
      <c r="D6" s="63"/>
      <c r="E6" s="25">
        <v>283</v>
      </c>
      <c r="F6" s="17">
        <v>190</v>
      </c>
      <c r="G6" s="17"/>
      <c r="H6" s="17"/>
      <c r="I6" s="17"/>
      <c r="J6" s="17"/>
      <c r="K6" s="17"/>
      <c r="L6" s="75"/>
    </row>
    <row r="7" spans="1:12" s="10" customFormat="1" ht="28.5" customHeight="1" x14ac:dyDescent="0.35">
      <c r="A7" s="99">
        <v>45507</v>
      </c>
      <c r="B7" s="2">
        <v>7.84</v>
      </c>
      <c r="C7" s="63">
        <v>5</v>
      </c>
      <c r="D7" s="63"/>
      <c r="E7" s="25">
        <v>291</v>
      </c>
      <c r="F7" s="17">
        <v>195</v>
      </c>
      <c r="G7" s="17"/>
      <c r="H7" s="17"/>
      <c r="I7" s="17"/>
      <c r="J7" s="17"/>
      <c r="K7" s="17"/>
      <c r="L7" s="75"/>
    </row>
    <row r="8" spans="1:12" s="10" customFormat="1" ht="28.5" customHeight="1" x14ac:dyDescent="0.35">
      <c r="A8" s="99">
        <v>45509</v>
      </c>
      <c r="B8" s="2">
        <v>8.27</v>
      </c>
      <c r="C8" s="63">
        <v>8</v>
      </c>
      <c r="D8" s="63"/>
      <c r="E8" s="25">
        <v>304</v>
      </c>
      <c r="F8" s="25">
        <v>204</v>
      </c>
      <c r="G8" s="17"/>
      <c r="H8" s="17"/>
      <c r="I8" s="17"/>
      <c r="J8" s="17"/>
      <c r="K8" s="17"/>
      <c r="L8" s="75"/>
    </row>
    <row r="9" spans="1:12" s="10" customFormat="1" ht="28.5" customHeight="1" x14ac:dyDescent="0.35">
      <c r="A9" s="99">
        <v>45510</v>
      </c>
      <c r="B9" s="2">
        <v>7.75</v>
      </c>
      <c r="C9" s="63">
        <v>5</v>
      </c>
      <c r="D9" s="63"/>
      <c r="E9" s="25">
        <v>303</v>
      </c>
      <c r="F9" s="17">
        <v>204</v>
      </c>
      <c r="G9" s="17"/>
      <c r="H9" s="17"/>
      <c r="I9" s="17"/>
      <c r="J9" s="17"/>
      <c r="K9" s="17"/>
      <c r="L9" s="75"/>
    </row>
    <row r="10" spans="1:12" s="10" customFormat="1" ht="28.5" customHeight="1" x14ac:dyDescent="0.35">
      <c r="A10" s="99">
        <v>45511</v>
      </c>
      <c r="B10" s="2">
        <v>8.27</v>
      </c>
      <c r="C10" s="63">
        <v>8</v>
      </c>
      <c r="D10" s="63"/>
      <c r="E10" s="25">
        <v>305</v>
      </c>
      <c r="F10" s="17">
        <v>204</v>
      </c>
      <c r="G10" s="17"/>
      <c r="H10" s="17"/>
      <c r="I10" s="17"/>
      <c r="J10" s="17"/>
      <c r="K10" s="17"/>
      <c r="L10" s="44"/>
    </row>
    <row r="11" spans="1:12" s="10" customFormat="1" ht="28.5" customHeight="1" x14ac:dyDescent="0.35">
      <c r="A11" s="99">
        <v>45512</v>
      </c>
      <c r="B11" s="25">
        <v>8.14</v>
      </c>
      <c r="C11" s="2">
        <v>6</v>
      </c>
      <c r="D11" s="2"/>
      <c r="E11" s="25">
        <v>304</v>
      </c>
      <c r="F11" s="25">
        <v>214</v>
      </c>
      <c r="G11" s="25"/>
      <c r="H11" s="25"/>
      <c r="I11" s="25"/>
      <c r="J11" s="17"/>
      <c r="K11" s="17"/>
      <c r="L11" s="44"/>
    </row>
    <row r="12" spans="1:12" s="10" customFormat="1" ht="28.5" customHeight="1" x14ac:dyDescent="0.35">
      <c r="A12" s="99">
        <v>45513</v>
      </c>
      <c r="B12" s="2">
        <v>8.31</v>
      </c>
      <c r="C12" s="63">
        <v>5</v>
      </c>
      <c r="D12" s="63"/>
      <c r="E12" s="25">
        <v>277</v>
      </c>
      <c r="F12" s="17">
        <v>186</v>
      </c>
      <c r="G12" s="17"/>
      <c r="H12" s="17"/>
      <c r="I12" s="17"/>
      <c r="J12" s="17"/>
      <c r="K12" s="17"/>
      <c r="L12" s="44"/>
    </row>
    <row r="13" spans="1:12" s="10" customFormat="1" ht="28.5" customHeight="1" x14ac:dyDescent="0.35">
      <c r="A13" s="99">
        <v>45514</v>
      </c>
      <c r="B13" s="2">
        <v>8.16</v>
      </c>
      <c r="C13" s="63">
        <v>5</v>
      </c>
      <c r="D13" s="63"/>
      <c r="E13" s="25">
        <v>294</v>
      </c>
      <c r="F13" s="17">
        <v>197</v>
      </c>
      <c r="G13" s="17"/>
      <c r="H13" s="17"/>
      <c r="I13" s="17"/>
      <c r="J13" s="17"/>
      <c r="K13" s="17"/>
      <c r="L13" s="44"/>
    </row>
    <row r="14" spans="1:12" s="10" customFormat="1" ht="28.5" customHeight="1" x14ac:dyDescent="0.35">
      <c r="A14" s="99">
        <v>45516</v>
      </c>
      <c r="B14" s="2">
        <v>8.07</v>
      </c>
      <c r="C14" s="2">
        <v>5</v>
      </c>
      <c r="D14" s="2"/>
      <c r="E14" s="25">
        <v>266</v>
      </c>
      <c r="F14" s="17">
        <v>178</v>
      </c>
      <c r="G14" s="17"/>
      <c r="H14" s="17"/>
      <c r="I14" s="17"/>
      <c r="J14" s="17"/>
      <c r="K14" s="17"/>
      <c r="L14" s="44"/>
    </row>
    <row r="15" spans="1:12" s="10" customFormat="1" ht="28.5" customHeight="1" x14ac:dyDescent="0.35">
      <c r="A15" s="99">
        <v>45517</v>
      </c>
      <c r="B15" s="2">
        <v>7.8</v>
      </c>
      <c r="C15" s="63">
        <v>8</v>
      </c>
      <c r="D15" s="63"/>
      <c r="E15" s="25">
        <v>314</v>
      </c>
      <c r="F15" s="17">
        <v>211</v>
      </c>
      <c r="G15" s="17"/>
      <c r="H15" s="17"/>
      <c r="I15" s="17"/>
      <c r="J15" s="17"/>
      <c r="K15" s="17"/>
      <c r="L15" s="44"/>
    </row>
    <row r="16" spans="1:12" s="10" customFormat="1" ht="28.5" customHeight="1" x14ac:dyDescent="0.35">
      <c r="A16" s="99">
        <v>45518</v>
      </c>
      <c r="B16" s="2">
        <v>8.0299999999999994</v>
      </c>
      <c r="C16" s="2">
        <v>8</v>
      </c>
      <c r="D16" s="2"/>
      <c r="E16" s="25">
        <v>332</v>
      </c>
      <c r="F16" s="17">
        <v>223</v>
      </c>
      <c r="G16" s="17"/>
      <c r="H16" s="17"/>
      <c r="I16" s="17"/>
      <c r="J16" s="17"/>
      <c r="K16" s="17"/>
      <c r="L16" s="44"/>
    </row>
    <row r="17" spans="1:12" s="10" customFormat="1" ht="28.5" customHeight="1" x14ac:dyDescent="0.35">
      <c r="A17" s="99">
        <v>45520</v>
      </c>
      <c r="B17" s="2">
        <v>7.93</v>
      </c>
      <c r="C17" s="63">
        <v>7</v>
      </c>
      <c r="D17" s="63"/>
      <c r="E17" s="25">
        <v>270</v>
      </c>
      <c r="F17" s="17">
        <v>189</v>
      </c>
      <c r="G17" s="17"/>
      <c r="H17" s="17"/>
      <c r="I17" s="17"/>
      <c r="J17" s="17"/>
      <c r="K17" s="17"/>
      <c r="L17" s="44"/>
    </row>
    <row r="18" spans="1:12" s="10" customFormat="1" ht="28.5" customHeight="1" x14ac:dyDescent="0.35">
      <c r="A18" s="99">
        <v>45521</v>
      </c>
      <c r="B18" s="2">
        <v>7.74</v>
      </c>
      <c r="C18" s="2">
        <v>8</v>
      </c>
      <c r="D18" s="2"/>
      <c r="E18" s="25">
        <v>292</v>
      </c>
      <c r="F18" s="17">
        <v>196</v>
      </c>
      <c r="G18" s="17"/>
      <c r="H18" s="17"/>
      <c r="I18" s="17"/>
      <c r="J18" s="17"/>
      <c r="K18" s="17"/>
      <c r="L18" s="44"/>
    </row>
    <row r="19" spans="1:12" s="10" customFormat="1" ht="28.5" customHeight="1" x14ac:dyDescent="0.35">
      <c r="A19" s="99">
        <v>45524</v>
      </c>
      <c r="B19" s="2">
        <v>6.04</v>
      </c>
      <c r="C19" s="63">
        <v>9</v>
      </c>
      <c r="D19" s="63"/>
      <c r="E19" s="25">
        <v>283</v>
      </c>
      <c r="F19" s="17">
        <v>190</v>
      </c>
      <c r="G19" s="17"/>
      <c r="H19" s="17"/>
      <c r="I19" s="17"/>
      <c r="J19" s="17"/>
      <c r="K19" s="17"/>
      <c r="L19" s="44"/>
    </row>
    <row r="20" spans="1:12" s="10" customFormat="1" ht="28.5" customHeight="1" x14ac:dyDescent="0.35">
      <c r="A20" s="99">
        <v>45525</v>
      </c>
      <c r="B20" s="25">
        <v>8.02</v>
      </c>
      <c r="C20" s="63">
        <v>3</v>
      </c>
      <c r="D20" s="63"/>
      <c r="E20" s="25">
        <v>285</v>
      </c>
      <c r="F20" s="25">
        <v>191</v>
      </c>
      <c r="G20" s="25"/>
      <c r="H20" s="25"/>
      <c r="I20" s="25"/>
      <c r="J20" s="25"/>
      <c r="K20" s="17"/>
      <c r="L20" s="44"/>
    </row>
    <row r="21" spans="1:12" s="10" customFormat="1" ht="28.5" customHeight="1" x14ac:dyDescent="0.35">
      <c r="A21" s="99" t="s">
        <v>52</v>
      </c>
      <c r="B21" s="25">
        <v>8.3699999999999992</v>
      </c>
      <c r="C21" s="63">
        <v>4</v>
      </c>
      <c r="D21" s="63"/>
      <c r="E21" s="25">
        <v>272</v>
      </c>
      <c r="F21" s="25">
        <v>187</v>
      </c>
      <c r="G21" s="25"/>
      <c r="H21" s="25"/>
      <c r="I21" s="25"/>
      <c r="J21" s="25"/>
      <c r="K21" s="17"/>
      <c r="L21" s="44"/>
    </row>
    <row r="22" spans="1:12" s="10" customFormat="1" ht="28.5" customHeight="1" x14ac:dyDescent="0.35">
      <c r="A22" s="99">
        <v>45527</v>
      </c>
      <c r="B22" s="2">
        <v>8.1999999999999993</v>
      </c>
      <c r="C22" s="63">
        <v>4</v>
      </c>
      <c r="D22" s="63"/>
      <c r="E22" s="25">
        <v>262</v>
      </c>
      <c r="F22" s="17">
        <v>180</v>
      </c>
      <c r="G22" s="17"/>
      <c r="H22" s="17"/>
      <c r="I22" s="17"/>
      <c r="J22" s="17"/>
      <c r="K22" s="17"/>
      <c r="L22" s="44"/>
    </row>
    <row r="23" spans="1:12" s="10" customFormat="1" ht="28.5" customHeight="1" x14ac:dyDescent="0.35">
      <c r="A23" s="70">
        <v>45528</v>
      </c>
      <c r="B23" s="2">
        <v>8.02</v>
      </c>
      <c r="C23" s="63">
        <v>5</v>
      </c>
      <c r="D23" s="63"/>
      <c r="E23" s="25">
        <v>283</v>
      </c>
      <c r="F23" s="17">
        <v>190</v>
      </c>
      <c r="G23" s="17"/>
      <c r="H23" s="17"/>
      <c r="I23" s="17"/>
      <c r="J23" s="17"/>
      <c r="K23" s="17"/>
      <c r="L23" s="44"/>
    </row>
    <row r="24" spans="1:12" s="10" customFormat="1" ht="28.5" customHeight="1" x14ac:dyDescent="0.35">
      <c r="A24" s="99">
        <v>45531</v>
      </c>
      <c r="B24" s="2">
        <v>7.56</v>
      </c>
      <c r="C24" s="63">
        <v>5</v>
      </c>
      <c r="D24" s="63"/>
      <c r="E24" s="25">
        <v>268</v>
      </c>
      <c r="F24" s="17">
        <v>178</v>
      </c>
      <c r="G24" s="17"/>
      <c r="H24" s="17"/>
      <c r="I24" s="17"/>
      <c r="J24" s="17"/>
      <c r="K24" s="17"/>
      <c r="L24" s="44"/>
    </row>
    <row r="25" spans="1:12" s="10" customFormat="1" ht="28.5" customHeight="1" x14ac:dyDescent="0.35">
      <c r="A25" s="99">
        <v>45532</v>
      </c>
      <c r="B25" s="25">
        <v>7.68</v>
      </c>
      <c r="C25" s="63">
        <v>5</v>
      </c>
      <c r="D25" s="63"/>
      <c r="E25" s="25">
        <v>244</v>
      </c>
      <c r="F25" s="25">
        <v>164</v>
      </c>
      <c r="G25" s="25"/>
      <c r="H25" s="25"/>
      <c r="I25" s="25"/>
      <c r="J25" s="25"/>
      <c r="K25" s="25"/>
      <c r="L25" s="44"/>
    </row>
    <row r="26" spans="1:12" s="10" customFormat="1" ht="28.5" customHeight="1" x14ac:dyDescent="0.35">
      <c r="A26" s="99" t="s">
        <v>53</v>
      </c>
      <c r="B26" s="25">
        <v>7.76</v>
      </c>
      <c r="C26" s="63">
        <v>7</v>
      </c>
      <c r="D26" s="63"/>
      <c r="E26" s="25">
        <v>213</v>
      </c>
      <c r="F26" s="25">
        <v>143</v>
      </c>
      <c r="G26" s="25"/>
      <c r="H26" s="25"/>
      <c r="I26" s="25"/>
      <c r="J26" s="25"/>
      <c r="K26" s="25"/>
      <c r="L26" s="44"/>
    </row>
    <row r="27" spans="1:12" s="10" customFormat="1" ht="28.5" customHeight="1" x14ac:dyDescent="0.35">
      <c r="A27" s="99">
        <v>45534</v>
      </c>
      <c r="B27" s="2">
        <v>7.72</v>
      </c>
      <c r="C27" s="63">
        <v>6</v>
      </c>
      <c r="D27" s="63"/>
      <c r="E27" s="25">
        <v>202</v>
      </c>
      <c r="F27" s="17">
        <v>136</v>
      </c>
      <c r="G27" s="17"/>
      <c r="H27" s="17"/>
      <c r="I27" s="17"/>
      <c r="J27" s="17"/>
      <c r="K27" s="17"/>
      <c r="L27" s="44"/>
    </row>
    <row r="28" spans="1:12" s="10" customFormat="1" ht="28.5" customHeight="1" thickBot="1" x14ac:dyDescent="0.4">
      <c r="A28" s="109">
        <v>45535</v>
      </c>
      <c r="B28" s="96">
        <v>8.1</v>
      </c>
      <c r="C28" s="97">
        <v>7</v>
      </c>
      <c r="D28" s="97"/>
      <c r="E28" s="96">
        <v>226</v>
      </c>
      <c r="F28" s="96">
        <v>152</v>
      </c>
      <c r="G28" s="96"/>
      <c r="H28" s="96"/>
      <c r="I28" s="96"/>
      <c r="J28" s="96"/>
      <c r="K28" s="96"/>
      <c r="L28" s="98"/>
    </row>
    <row r="29" spans="1:12" s="10" customFormat="1" ht="28.5" customHeight="1" x14ac:dyDescent="0.35">
      <c r="A29" s="108">
        <v>45537</v>
      </c>
      <c r="B29" s="1">
        <v>8.0299999999999994</v>
      </c>
      <c r="C29" s="1">
        <v>4</v>
      </c>
      <c r="D29" s="1"/>
      <c r="E29" s="76">
        <v>237</v>
      </c>
      <c r="F29" s="12">
        <v>159</v>
      </c>
      <c r="G29" s="12"/>
      <c r="H29" s="12"/>
      <c r="I29" s="12"/>
      <c r="J29" s="12"/>
      <c r="K29" s="12"/>
      <c r="L29" s="77"/>
    </row>
    <row r="30" spans="1:12" s="10" customFormat="1" ht="28.5" customHeight="1" x14ac:dyDescent="0.35">
      <c r="A30" s="99">
        <v>45538</v>
      </c>
      <c r="B30" s="2">
        <v>7.98</v>
      </c>
      <c r="C30" s="63">
        <v>4</v>
      </c>
      <c r="D30" s="63"/>
      <c r="E30" s="25">
        <v>213</v>
      </c>
      <c r="F30" s="17">
        <v>143</v>
      </c>
      <c r="G30" s="17"/>
      <c r="H30" s="17"/>
      <c r="I30" s="17"/>
      <c r="J30" s="17"/>
      <c r="K30" s="17"/>
      <c r="L30" s="75"/>
    </row>
    <row r="31" spans="1:12" s="10" customFormat="1" ht="28.5" customHeight="1" x14ac:dyDescent="0.35">
      <c r="A31" s="99">
        <v>45539</v>
      </c>
      <c r="B31" s="2">
        <v>7.93</v>
      </c>
      <c r="C31" s="63">
        <v>6</v>
      </c>
      <c r="D31" s="63"/>
      <c r="E31" s="25">
        <v>243</v>
      </c>
      <c r="F31" s="17">
        <v>163</v>
      </c>
      <c r="G31" s="17"/>
      <c r="H31" s="17"/>
      <c r="I31" s="17"/>
      <c r="J31" s="17"/>
      <c r="K31" s="17"/>
      <c r="L31" s="75"/>
    </row>
    <row r="32" spans="1:12" s="10" customFormat="1" ht="28.5" customHeight="1" x14ac:dyDescent="0.35">
      <c r="A32" s="99">
        <v>45540</v>
      </c>
      <c r="B32" s="2">
        <v>8.32</v>
      </c>
      <c r="C32" s="63">
        <v>5</v>
      </c>
      <c r="D32" s="63"/>
      <c r="E32" s="25">
        <v>214</v>
      </c>
      <c r="F32" s="25">
        <v>144</v>
      </c>
      <c r="G32" s="17"/>
      <c r="H32" s="17"/>
      <c r="I32" s="17"/>
      <c r="J32" s="17"/>
      <c r="K32" s="17"/>
      <c r="L32" s="75"/>
    </row>
    <row r="33" spans="1:12" s="10" customFormat="1" ht="28.5" customHeight="1" x14ac:dyDescent="0.35">
      <c r="A33" s="99">
        <v>45541</v>
      </c>
      <c r="B33" s="2">
        <v>8.19</v>
      </c>
      <c r="C33" s="63">
        <v>4</v>
      </c>
      <c r="D33" s="63"/>
      <c r="E33" s="25">
        <v>223</v>
      </c>
      <c r="F33" s="25">
        <v>150</v>
      </c>
      <c r="G33" s="17"/>
      <c r="H33" s="17"/>
      <c r="I33" s="17"/>
      <c r="J33" s="17"/>
      <c r="K33" s="17"/>
      <c r="L33" s="75"/>
    </row>
    <row r="34" spans="1:12" s="10" customFormat="1" ht="28.5" customHeight="1" x14ac:dyDescent="0.35">
      <c r="A34" s="99">
        <v>45542</v>
      </c>
      <c r="B34" s="2">
        <v>7.97</v>
      </c>
      <c r="C34" s="63">
        <v>5</v>
      </c>
      <c r="D34" s="63"/>
      <c r="E34" s="25">
        <v>220</v>
      </c>
      <c r="F34" s="17">
        <v>148</v>
      </c>
      <c r="G34" s="17"/>
      <c r="H34" s="17"/>
      <c r="I34" s="17"/>
      <c r="J34" s="17"/>
      <c r="K34" s="17"/>
      <c r="L34" s="75"/>
    </row>
    <row r="35" spans="1:12" s="10" customFormat="1" ht="28.5" customHeight="1" x14ac:dyDescent="0.35">
      <c r="A35" s="99" t="s">
        <v>54</v>
      </c>
      <c r="B35" s="2">
        <v>7.9</v>
      </c>
      <c r="C35" s="63">
        <v>6</v>
      </c>
      <c r="D35" s="63"/>
      <c r="E35" s="25">
        <v>253</v>
      </c>
      <c r="F35" s="17">
        <v>149</v>
      </c>
      <c r="G35" s="17"/>
      <c r="H35" s="17"/>
      <c r="I35" s="17"/>
      <c r="J35" s="17"/>
      <c r="K35" s="17"/>
      <c r="L35" s="44"/>
    </row>
    <row r="36" spans="1:12" s="10" customFormat="1" ht="28.5" customHeight="1" x14ac:dyDescent="0.35">
      <c r="A36" s="99" t="s">
        <v>55</v>
      </c>
      <c r="B36" s="25">
        <v>8.1999999999999993</v>
      </c>
      <c r="C36" s="2">
        <v>8</v>
      </c>
      <c r="D36" s="2"/>
      <c r="E36" s="25">
        <v>250</v>
      </c>
      <c r="F36" s="25">
        <v>144</v>
      </c>
      <c r="G36" s="25"/>
      <c r="H36" s="25"/>
      <c r="I36" s="25"/>
      <c r="J36" s="17"/>
      <c r="K36" s="17"/>
      <c r="L36" s="44"/>
    </row>
    <row r="37" spans="1:12" s="10" customFormat="1" ht="28.5" customHeight="1" x14ac:dyDescent="0.35">
      <c r="A37" s="99" t="s">
        <v>56</v>
      </c>
      <c r="B37" s="2">
        <v>8.56</v>
      </c>
      <c r="C37" s="63">
        <v>7</v>
      </c>
      <c r="D37" s="63"/>
      <c r="E37" s="25">
        <v>219</v>
      </c>
      <c r="F37" s="17">
        <v>147</v>
      </c>
      <c r="G37" s="17"/>
      <c r="H37" s="17"/>
      <c r="I37" s="17"/>
      <c r="J37" s="17"/>
      <c r="K37" s="17"/>
      <c r="L37" s="44"/>
    </row>
    <row r="38" spans="1:12" s="10" customFormat="1" ht="28.5" customHeight="1" x14ac:dyDescent="0.35">
      <c r="A38" s="99" t="s">
        <v>57</v>
      </c>
      <c r="B38" s="2">
        <v>8.07</v>
      </c>
      <c r="C38" s="63">
        <v>8</v>
      </c>
      <c r="D38" s="63"/>
      <c r="E38" s="25">
        <v>225</v>
      </c>
      <c r="F38" s="17">
        <v>151</v>
      </c>
      <c r="G38" s="17"/>
      <c r="H38" s="17"/>
      <c r="I38" s="17"/>
      <c r="J38" s="17"/>
      <c r="K38" s="17"/>
      <c r="L38" s="44"/>
    </row>
    <row r="39" spans="1:12" s="10" customFormat="1" ht="28.5" customHeight="1" x14ac:dyDescent="0.35">
      <c r="A39" s="99">
        <v>45548</v>
      </c>
      <c r="B39" s="2">
        <v>8.31</v>
      </c>
      <c r="C39" s="63">
        <v>8</v>
      </c>
      <c r="D39" s="63"/>
      <c r="E39" s="25">
        <v>241</v>
      </c>
      <c r="F39" s="17">
        <v>162</v>
      </c>
      <c r="G39" s="17"/>
      <c r="H39" s="17"/>
      <c r="I39" s="17"/>
      <c r="J39" s="17"/>
      <c r="K39" s="17"/>
      <c r="L39" s="44"/>
    </row>
    <row r="40" spans="1:12" s="10" customFormat="1" ht="28.5" customHeight="1" x14ac:dyDescent="0.35">
      <c r="A40" s="99">
        <v>45549</v>
      </c>
      <c r="B40" s="2">
        <v>8.17</v>
      </c>
      <c r="C40" s="2">
        <v>8</v>
      </c>
      <c r="D40" s="2"/>
      <c r="E40" s="25">
        <v>236</v>
      </c>
      <c r="F40" s="17">
        <v>158</v>
      </c>
      <c r="G40" s="17"/>
      <c r="H40" s="17"/>
      <c r="I40" s="17"/>
      <c r="J40" s="17"/>
      <c r="K40" s="17"/>
      <c r="L40" s="44"/>
    </row>
    <row r="41" spans="1:12" s="10" customFormat="1" ht="28.5" customHeight="1" x14ac:dyDescent="0.35">
      <c r="A41" s="99">
        <v>45551</v>
      </c>
      <c r="B41" s="2">
        <v>8</v>
      </c>
      <c r="C41" s="63">
        <v>9</v>
      </c>
      <c r="D41" s="63"/>
      <c r="E41" s="25">
        <v>234</v>
      </c>
      <c r="F41" s="17">
        <v>157</v>
      </c>
      <c r="G41" s="17"/>
      <c r="H41" s="17"/>
      <c r="I41" s="17"/>
      <c r="J41" s="17"/>
      <c r="K41" s="17"/>
      <c r="L41" s="44"/>
    </row>
    <row r="42" spans="1:12" s="10" customFormat="1" ht="28.5" customHeight="1" x14ac:dyDescent="0.35">
      <c r="A42" s="99">
        <v>45552</v>
      </c>
      <c r="B42" s="2">
        <v>7.31</v>
      </c>
      <c r="C42" s="2">
        <v>9</v>
      </c>
      <c r="D42" s="2"/>
      <c r="E42" s="25">
        <v>241</v>
      </c>
      <c r="F42" s="17">
        <v>162</v>
      </c>
      <c r="G42" s="17"/>
      <c r="H42" s="17"/>
      <c r="I42" s="17"/>
      <c r="J42" s="17"/>
      <c r="K42" s="17"/>
      <c r="L42" s="44"/>
    </row>
    <row r="43" spans="1:12" s="10" customFormat="1" ht="28.5" customHeight="1" x14ac:dyDescent="0.35">
      <c r="A43" s="99">
        <v>45553</v>
      </c>
      <c r="B43" s="2">
        <v>8.1999999999999993</v>
      </c>
      <c r="C43" s="63">
        <v>7</v>
      </c>
      <c r="D43" s="63"/>
      <c r="E43" s="25">
        <v>243</v>
      </c>
      <c r="F43" s="17">
        <v>163</v>
      </c>
      <c r="G43" s="17"/>
      <c r="H43" s="17"/>
      <c r="I43" s="17"/>
      <c r="J43" s="17"/>
      <c r="K43" s="17"/>
      <c r="L43" s="44"/>
    </row>
    <row r="44" spans="1:12" s="10" customFormat="1" ht="28.5" customHeight="1" x14ac:dyDescent="0.35">
      <c r="A44" s="99">
        <v>45554</v>
      </c>
      <c r="B44" s="2">
        <v>8.17</v>
      </c>
      <c r="C44" s="63">
        <v>8</v>
      </c>
      <c r="D44" s="63"/>
      <c r="E44" s="25">
        <v>269</v>
      </c>
      <c r="F44" s="17">
        <v>180</v>
      </c>
      <c r="G44" s="17"/>
      <c r="H44" s="17"/>
      <c r="I44" s="17"/>
      <c r="J44" s="17"/>
      <c r="K44" s="17"/>
      <c r="L44" s="44"/>
    </row>
    <row r="45" spans="1:12" s="10" customFormat="1" ht="28.5" customHeight="1" x14ac:dyDescent="0.35">
      <c r="A45" s="99">
        <v>45555</v>
      </c>
      <c r="B45" s="2">
        <v>8.43</v>
      </c>
      <c r="C45" s="2">
        <v>8</v>
      </c>
      <c r="D45" s="2"/>
      <c r="E45" s="25">
        <v>269</v>
      </c>
      <c r="F45" s="17">
        <v>182</v>
      </c>
      <c r="G45" s="17"/>
      <c r="H45" s="17"/>
      <c r="I45" s="17"/>
      <c r="J45" s="17"/>
      <c r="K45" s="17"/>
      <c r="L45" s="44"/>
    </row>
    <row r="46" spans="1:12" s="10" customFormat="1" ht="28.5" customHeight="1" x14ac:dyDescent="0.35">
      <c r="A46" s="99">
        <v>45556</v>
      </c>
      <c r="B46" s="2">
        <v>8.4</v>
      </c>
      <c r="C46" s="2">
        <v>8</v>
      </c>
      <c r="D46" s="2"/>
      <c r="E46" s="25">
        <v>261</v>
      </c>
      <c r="F46" s="17">
        <v>175</v>
      </c>
      <c r="G46" s="17"/>
      <c r="H46" s="17"/>
      <c r="I46" s="17"/>
      <c r="J46" s="17"/>
      <c r="K46" s="17"/>
      <c r="L46" s="44"/>
    </row>
    <row r="47" spans="1:12" s="10" customFormat="1" ht="28.5" customHeight="1" x14ac:dyDescent="0.35">
      <c r="A47" s="99">
        <v>45558</v>
      </c>
      <c r="B47" s="2">
        <v>8.48</v>
      </c>
      <c r="C47" s="63">
        <v>8</v>
      </c>
      <c r="D47" s="63"/>
      <c r="E47" s="25">
        <v>283</v>
      </c>
      <c r="F47" s="17">
        <v>190</v>
      </c>
      <c r="G47" s="17"/>
      <c r="H47" s="17"/>
      <c r="I47" s="17"/>
      <c r="J47" s="17"/>
      <c r="K47" s="17"/>
      <c r="L47" s="44"/>
    </row>
    <row r="48" spans="1:12" s="10" customFormat="1" ht="28.5" customHeight="1" x14ac:dyDescent="0.35">
      <c r="A48" s="99" t="s">
        <v>58</v>
      </c>
      <c r="B48" s="2">
        <v>7.27</v>
      </c>
      <c r="C48" s="63">
        <v>8</v>
      </c>
      <c r="D48" s="63"/>
      <c r="E48" s="25"/>
      <c r="F48" s="17">
        <v>186</v>
      </c>
      <c r="G48" s="17"/>
      <c r="H48" s="17"/>
      <c r="I48" s="17"/>
      <c r="J48" s="17"/>
      <c r="K48" s="17"/>
      <c r="L48" s="44"/>
    </row>
    <row r="49" spans="1:12" s="10" customFormat="1" ht="28.5" customHeight="1" x14ac:dyDescent="0.35">
      <c r="A49" s="99">
        <v>45560</v>
      </c>
      <c r="B49" s="2">
        <v>8.49</v>
      </c>
      <c r="C49" s="63">
        <v>9</v>
      </c>
      <c r="D49" s="63"/>
      <c r="E49" s="25">
        <v>270</v>
      </c>
      <c r="F49" s="25">
        <v>181</v>
      </c>
      <c r="G49" s="25"/>
      <c r="H49" s="25"/>
      <c r="I49" s="25"/>
      <c r="J49" s="25"/>
      <c r="K49" s="17"/>
      <c r="L49" s="44"/>
    </row>
    <row r="50" spans="1:12" s="10" customFormat="1" ht="28.5" customHeight="1" x14ac:dyDescent="0.35">
      <c r="A50" s="99">
        <v>45561</v>
      </c>
      <c r="B50" s="2">
        <v>7.41</v>
      </c>
      <c r="C50" s="63">
        <v>9</v>
      </c>
      <c r="D50" s="63"/>
      <c r="E50" s="25">
        <v>195</v>
      </c>
      <c r="F50" s="25">
        <v>131</v>
      </c>
      <c r="G50" s="25"/>
      <c r="H50" s="25"/>
      <c r="I50" s="25"/>
      <c r="J50" s="25"/>
      <c r="K50" s="17"/>
      <c r="L50" s="44"/>
    </row>
    <row r="51" spans="1:12" s="10" customFormat="1" ht="28.5" customHeight="1" x14ac:dyDescent="0.35">
      <c r="A51" s="99">
        <v>45562</v>
      </c>
      <c r="B51" s="2">
        <v>8.24</v>
      </c>
      <c r="C51" s="63">
        <v>9</v>
      </c>
      <c r="D51" s="63"/>
      <c r="E51" s="25">
        <v>307</v>
      </c>
      <c r="F51" s="17">
        <v>206</v>
      </c>
      <c r="G51" s="17"/>
      <c r="H51" s="17"/>
      <c r="I51" s="17"/>
      <c r="J51" s="17"/>
      <c r="K51" s="17"/>
      <c r="L51" s="44"/>
    </row>
    <row r="52" spans="1:12" s="10" customFormat="1" ht="28.5" customHeight="1" x14ac:dyDescent="0.35">
      <c r="A52" s="70">
        <v>45563</v>
      </c>
      <c r="B52" s="2">
        <v>8.52</v>
      </c>
      <c r="C52" s="63">
        <v>9</v>
      </c>
      <c r="D52" s="63"/>
      <c r="E52" s="25">
        <v>305</v>
      </c>
      <c r="F52" s="17">
        <v>205</v>
      </c>
      <c r="G52" s="17"/>
      <c r="H52" s="17"/>
      <c r="I52" s="17"/>
      <c r="J52" s="17"/>
      <c r="K52" s="17"/>
      <c r="L52" s="44"/>
    </row>
    <row r="53" spans="1:12" s="10" customFormat="1" ht="28.5" customHeight="1" thickBot="1" x14ac:dyDescent="0.4">
      <c r="A53" s="109" t="s">
        <v>59</v>
      </c>
      <c r="B53" s="2">
        <v>7.98</v>
      </c>
      <c r="C53" s="63">
        <v>9</v>
      </c>
      <c r="D53" s="63"/>
      <c r="E53" s="25">
        <v>304</v>
      </c>
      <c r="F53" s="17">
        <v>203</v>
      </c>
      <c r="G53" s="17"/>
      <c r="H53" s="17"/>
      <c r="I53" s="17"/>
      <c r="J53" s="17"/>
      <c r="K53" s="17"/>
      <c r="L53" s="44"/>
    </row>
    <row r="54" spans="1:12" s="10" customFormat="1" ht="28.5" customHeight="1" x14ac:dyDescent="0.35">
      <c r="A54" s="108">
        <v>45566</v>
      </c>
      <c r="B54" s="1">
        <v>8.18</v>
      </c>
      <c r="C54" s="1">
        <v>5</v>
      </c>
      <c r="D54" s="1"/>
      <c r="E54" s="76">
        <v>276</v>
      </c>
      <c r="F54" s="12">
        <v>185</v>
      </c>
      <c r="G54" s="12"/>
      <c r="H54" s="12"/>
      <c r="I54" s="12"/>
      <c r="J54" s="12"/>
      <c r="K54" s="12"/>
      <c r="L54" s="77"/>
    </row>
    <row r="55" spans="1:12" s="10" customFormat="1" ht="28.5" customHeight="1" x14ac:dyDescent="0.35">
      <c r="A55" s="99">
        <v>45567</v>
      </c>
      <c r="B55" s="2">
        <v>8.1</v>
      </c>
      <c r="C55" s="63">
        <v>6</v>
      </c>
      <c r="D55" s="63"/>
      <c r="E55" s="25">
        <v>279</v>
      </c>
      <c r="F55" s="17">
        <v>187</v>
      </c>
      <c r="G55" s="17"/>
      <c r="H55" s="17"/>
      <c r="I55" s="17"/>
      <c r="J55" s="17"/>
      <c r="K55" s="17"/>
      <c r="L55" s="75"/>
    </row>
    <row r="56" spans="1:12" s="10" customFormat="1" ht="28.5" customHeight="1" x14ac:dyDescent="0.35">
      <c r="A56" s="99" t="s">
        <v>61</v>
      </c>
      <c r="B56" s="2">
        <v>8.1</v>
      </c>
      <c r="C56" s="63">
        <v>5</v>
      </c>
      <c r="D56" s="63"/>
      <c r="E56" s="25">
        <v>252</v>
      </c>
      <c r="F56" s="17">
        <v>169</v>
      </c>
      <c r="G56" s="17"/>
      <c r="H56" s="17"/>
      <c r="I56" s="17"/>
      <c r="J56" s="17"/>
      <c r="K56" s="17"/>
      <c r="L56" s="75"/>
    </row>
    <row r="57" spans="1:12" s="10" customFormat="1" ht="28.5" customHeight="1" x14ac:dyDescent="0.35">
      <c r="A57" s="99">
        <v>45569</v>
      </c>
      <c r="B57" s="2">
        <v>8.24</v>
      </c>
      <c r="C57" s="63">
        <v>7</v>
      </c>
      <c r="D57" s="63"/>
      <c r="E57" s="25">
        <v>274</v>
      </c>
      <c r="F57" s="25">
        <v>184</v>
      </c>
      <c r="G57" s="17"/>
      <c r="H57" s="17"/>
      <c r="I57" s="17"/>
      <c r="J57" s="17"/>
      <c r="K57" s="17"/>
      <c r="L57" s="75"/>
    </row>
    <row r="58" spans="1:12" s="10" customFormat="1" ht="28.5" customHeight="1" x14ac:dyDescent="0.35">
      <c r="A58" s="99">
        <v>45570</v>
      </c>
      <c r="B58" s="2">
        <v>8.1999999999999993</v>
      </c>
      <c r="C58" s="63">
        <v>7</v>
      </c>
      <c r="D58" s="63"/>
      <c r="E58" s="25">
        <v>301</v>
      </c>
      <c r="F58" s="25">
        <v>202</v>
      </c>
      <c r="G58" s="17"/>
      <c r="H58" s="17"/>
      <c r="I58" s="17"/>
      <c r="J58" s="17"/>
      <c r="K58" s="17"/>
      <c r="L58" s="75"/>
    </row>
    <row r="59" spans="1:12" s="10" customFormat="1" ht="28.5" customHeight="1" x14ac:dyDescent="0.35">
      <c r="A59" s="99">
        <v>45572</v>
      </c>
      <c r="B59" s="2">
        <v>8.4</v>
      </c>
      <c r="C59" s="63">
        <v>6</v>
      </c>
      <c r="D59" s="63"/>
      <c r="E59" s="25">
        <v>302</v>
      </c>
      <c r="F59" s="17">
        <v>203</v>
      </c>
      <c r="G59" s="17"/>
      <c r="H59" s="17"/>
      <c r="I59" s="17"/>
      <c r="J59" s="17"/>
      <c r="K59" s="17"/>
      <c r="L59" s="75"/>
    </row>
    <row r="60" spans="1:12" s="10" customFormat="1" ht="28.5" customHeight="1" x14ac:dyDescent="0.35">
      <c r="A60" s="99" t="s">
        <v>62</v>
      </c>
      <c r="B60" s="2">
        <v>8.5</v>
      </c>
      <c r="C60" s="63">
        <v>7</v>
      </c>
      <c r="D60" s="63"/>
      <c r="E60" s="25">
        <v>302</v>
      </c>
      <c r="F60" s="17">
        <v>203</v>
      </c>
      <c r="G60" s="17"/>
      <c r="H60" s="17"/>
      <c r="I60" s="17"/>
      <c r="J60" s="17"/>
      <c r="K60" s="17"/>
      <c r="L60" s="44"/>
    </row>
    <row r="61" spans="1:12" s="10" customFormat="1" ht="28.5" customHeight="1" x14ac:dyDescent="0.35">
      <c r="A61" s="99" t="s">
        <v>63</v>
      </c>
      <c r="B61" s="25">
        <v>8.5399999999999991</v>
      </c>
      <c r="C61" s="2">
        <v>6</v>
      </c>
      <c r="D61" s="2"/>
      <c r="E61" s="25">
        <v>298</v>
      </c>
      <c r="F61" s="25">
        <v>200</v>
      </c>
      <c r="G61" s="25"/>
      <c r="H61" s="25"/>
      <c r="I61" s="25"/>
      <c r="J61" s="17"/>
      <c r="K61" s="17"/>
      <c r="L61" s="44"/>
    </row>
    <row r="62" spans="1:12" s="10" customFormat="1" ht="28.5" customHeight="1" x14ac:dyDescent="0.35">
      <c r="A62" s="99" t="s">
        <v>64</v>
      </c>
      <c r="B62" s="2">
        <v>8.6300000000000008</v>
      </c>
      <c r="C62" s="63">
        <v>7</v>
      </c>
      <c r="D62" s="63"/>
      <c r="E62" s="25">
        <v>328</v>
      </c>
      <c r="F62" s="17">
        <v>220</v>
      </c>
      <c r="G62" s="17"/>
      <c r="H62" s="17"/>
      <c r="I62" s="17"/>
      <c r="J62" s="17"/>
      <c r="K62" s="17"/>
      <c r="L62" s="44"/>
    </row>
    <row r="63" spans="1:12" s="10" customFormat="1" ht="28.5" customHeight="1" x14ac:dyDescent="0.35">
      <c r="A63" s="99" t="s">
        <v>65</v>
      </c>
      <c r="B63" s="2">
        <v>8.84</v>
      </c>
      <c r="C63" s="63">
        <v>6</v>
      </c>
      <c r="D63" s="63"/>
      <c r="E63" s="25">
        <v>328</v>
      </c>
      <c r="F63" s="17">
        <v>217</v>
      </c>
      <c r="G63" s="17"/>
      <c r="H63" s="17"/>
      <c r="I63" s="17"/>
      <c r="J63" s="17"/>
      <c r="K63" s="17"/>
      <c r="L63" s="44"/>
    </row>
    <row r="64" spans="1:12" s="10" customFormat="1" ht="28.5" customHeight="1" x14ac:dyDescent="0.35">
      <c r="A64" s="99" t="s">
        <v>66</v>
      </c>
      <c r="B64" s="2">
        <v>8.02</v>
      </c>
      <c r="C64" s="63">
        <v>5</v>
      </c>
      <c r="D64" s="63"/>
      <c r="E64" s="25">
        <v>322</v>
      </c>
      <c r="F64" s="17">
        <v>216</v>
      </c>
      <c r="G64" s="17"/>
      <c r="H64" s="17"/>
      <c r="I64" s="17"/>
      <c r="J64" s="17"/>
      <c r="K64" s="17"/>
      <c r="L64" s="44"/>
    </row>
    <row r="65" spans="1:12" s="10" customFormat="1" ht="28.5" customHeight="1" x14ac:dyDescent="0.35">
      <c r="A65" s="99" t="s">
        <v>67</v>
      </c>
      <c r="B65" s="2">
        <v>8.06</v>
      </c>
      <c r="C65" s="2">
        <v>5</v>
      </c>
      <c r="D65" s="2"/>
      <c r="E65" s="25">
        <v>337</v>
      </c>
      <c r="F65" s="17">
        <v>226</v>
      </c>
      <c r="G65" s="17"/>
      <c r="H65" s="17"/>
      <c r="I65" s="17"/>
      <c r="J65" s="17"/>
      <c r="K65" s="17"/>
      <c r="L65" s="44"/>
    </row>
    <row r="66" spans="1:12" s="10" customFormat="1" ht="28.5" customHeight="1" x14ac:dyDescent="0.35">
      <c r="A66" s="99" t="s">
        <v>68</v>
      </c>
      <c r="B66" s="2">
        <v>8.52</v>
      </c>
      <c r="C66" s="63">
        <v>5</v>
      </c>
      <c r="D66" s="63"/>
      <c r="E66" s="25">
        <v>346</v>
      </c>
      <c r="F66" s="17">
        <v>232</v>
      </c>
      <c r="G66" s="17"/>
      <c r="H66" s="17"/>
      <c r="I66" s="17"/>
      <c r="J66" s="17"/>
      <c r="K66" s="17"/>
      <c r="L66" s="44"/>
    </row>
    <row r="67" spans="1:12" s="10" customFormat="1" ht="28.5" customHeight="1" x14ac:dyDescent="0.35">
      <c r="A67" s="99" t="s">
        <v>69</v>
      </c>
      <c r="B67" s="2">
        <v>8.27</v>
      </c>
      <c r="C67" s="2">
        <v>8</v>
      </c>
      <c r="D67" s="2"/>
      <c r="E67" s="25">
        <v>313</v>
      </c>
      <c r="F67" s="17">
        <v>209</v>
      </c>
      <c r="G67" s="17"/>
      <c r="H67" s="17"/>
      <c r="I67" s="17"/>
      <c r="J67" s="17"/>
      <c r="K67" s="17"/>
      <c r="L67" s="44"/>
    </row>
    <row r="68" spans="1:12" s="10" customFormat="1" ht="28.5" customHeight="1" x14ac:dyDescent="0.35">
      <c r="A68" s="99" t="s">
        <v>70</v>
      </c>
      <c r="B68" s="2">
        <v>8.2899999999999991</v>
      </c>
      <c r="C68" s="63">
        <v>8</v>
      </c>
      <c r="D68" s="63"/>
      <c r="E68" s="25">
        <v>320</v>
      </c>
      <c r="F68" s="17">
        <v>215</v>
      </c>
      <c r="G68" s="17"/>
      <c r="H68" s="17"/>
      <c r="I68" s="17"/>
      <c r="J68" s="17"/>
      <c r="K68" s="17"/>
      <c r="L68" s="44"/>
    </row>
    <row r="69" spans="1:12" s="10" customFormat="1" ht="28.5" customHeight="1" x14ac:dyDescent="0.35">
      <c r="A69" s="99" t="s">
        <v>71</v>
      </c>
      <c r="B69" s="2">
        <v>8.49</v>
      </c>
      <c r="C69" s="63">
        <v>8</v>
      </c>
      <c r="D69" s="63"/>
      <c r="E69" s="25">
        <v>332</v>
      </c>
      <c r="F69" s="17">
        <v>223</v>
      </c>
      <c r="G69" s="17"/>
      <c r="H69" s="17"/>
      <c r="I69" s="17"/>
      <c r="J69" s="17"/>
      <c r="K69" s="17"/>
      <c r="L69" s="44"/>
    </row>
    <row r="70" spans="1:12" s="10" customFormat="1" ht="28.5" customHeight="1" x14ac:dyDescent="0.35">
      <c r="A70" s="99" t="s">
        <v>72</v>
      </c>
      <c r="B70" s="2">
        <v>8.41</v>
      </c>
      <c r="C70" s="2">
        <v>8</v>
      </c>
      <c r="D70" s="2"/>
      <c r="E70" s="25">
        <v>341</v>
      </c>
      <c r="F70" s="17">
        <v>229</v>
      </c>
      <c r="G70" s="17"/>
      <c r="H70" s="17"/>
      <c r="I70" s="17"/>
      <c r="J70" s="17"/>
      <c r="K70" s="17"/>
      <c r="L70" s="44"/>
    </row>
    <row r="71" spans="1:12" s="10" customFormat="1" ht="28.5" customHeight="1" x14ac:dyDescent="0.35">
      <c r="A71" s="99" t="s">
        <v>73</v>
      </c>
      <c r="B71" s="2">
        <v>8.65</v>
      </c>
      <c r="C71" s="2">
        <v>5</v>
      </c>
      <c r="D71" s="2"/>
      <c r="E71" s="25"/>
      <c r="F71" s="17">
        <v>229</v>
      </c>
      <c r="G71" s="17"/>
      <c r="H71" s="17"/>
      <c r="I71" s="17"/>
      <c r="J71" s="17"/>
      <c r="K71" s="17"/>
      <c r="L71" s="44"/>
    </row>
    <row r="72" spans="1:12" s="10" customFormat="1" ht="28.5" customHeight="1" x14ac:dyDescent="0.35">
      <c r="A72" s="99" t="s">
        <v>74</v>
      </c>
      <c r="B72" s="2">
        <v>8.32</v>
      </c>
      <c r="C72" s="63">
        <v>6</v>
      </c>
      <c r="D72" s="63"/>
      <c r="E72" s="25">
        <v>328</v>
      </c>
      <c r="F72" s="17">
        <v>220</v>
      </c>
      <c r="G72" s="17"/>
      <c r="H72" s="17"/>
      <c r="I72" s="17"/>
      <c r="J72" s="17"/>
      <c r="K72" s="17"/>
      <c r="L72" s="44"/>
    </row>
    <row r="73" spans="1:12" s="10" customFormat="1" ht="28.5" customHeight="1" x14ac:dyDescent="0.35">
      <c r="A73" s="99" t="s">
        <v>75</v>
      </c>
      <c r="B73" s="2">
        <v>7.52</v>
      </c>
      <c r="C73" s="63">
        <v>5</v>
      </c>
      <c r="D73" s="63"/>
      <c r="E73" s="25">
        <v>337</v>
      </c>
      <c r="F73" s="17">
        <v>226</v>
      </c>
      <c r="G73" s="17"/>
      <c r="H73" s="17"/>
      <c r="I73" s="17"/>
      <c r="J73" s="17"/>
      <c r="K73" s="17"/>
      <c r="L73" s="44"/>
    </row>
    <row r="74" spans="1:12" s="10" customFormat="1" ht="28.5" customHeight="1" x14ac:dyDescent="0.35">
      <c r="A74" s="99" t="s">
        <v>76</v>
      </c>
      <c r="B74" s="2">
        <v>8.4499999999999993</v>
      </c>
      <c r="C74" s="63">
        <v>5</v>
      </c>
      <c r="D74" s="63"/>
      <c r="E74" s="25">
        <v>353</v>
      </c>
      <c r="F74" s="25">
        <v>237</v>
      </c>
      <c r="G74" s="25"/>
      <c r="H74" s="25"/>
      <c r="I74" s="25"/>
      <c r="J74" s="25"/>
      <c r="K74" s="17"/>
      <c r="L74" s="44"/>
    </row>
    <row r="75" spans="1:12" s="10" customFormat="1" ht="28.5" customHeight="1" x14ac:dyDescent="0.35">
      <c r="A75" s="99" t="s">
        <v>77</v>
      </c>
      <c r="B75" s="2">
        <v>8.4600000000000009</v>
      </c>
      <c r="C75" s="63">
        <v>6</v>
      </c>
      <c r="D75" s="63"/>
      <c r="E75" s="25"/>
      <c r="F75" s="25">
        <v>248</v>
      </c>
      <c r="G75" s="25"/>
      <c r="H75" s="25"/>
      <c r="I75" s="25"/>
      <c r="J75" s="25"/>
      <c r="K75" s="17"/>
      <c r="L75" s="44"/>
    </row>
    <row r="76" spans="1:12" s="10" customFormat="1" ht="28.5" customHeight="1" x14ac:dyDescent="0.35">
      <c r="A76" s="99" t="s">
        <v>78</v>
      </c>
      <c r="B76" s="2">
        <v>8.51</v>
      </c>
      <c r="C76" s="63">
        <v>6</v>
      </c>
      <c r="D76" s="63"/>
      <c r="E76" s="25">
        <v>372</v>
      </c>
      <c r="F76" s="17">
        <v>249</v>
      </c>
      <c r="G76" s="17"/>
      <c r="H76" s="17"/>
      <c r="I76" s="17"/>
      <c r="J76" s="17"/>
      <c r="K76" s="17"/>
      <c r="L76" s="44"/>
    </row>
    <row r="77" spans="1:12" s="10" customFormat="1" ht="28.5" customHeight="1" x14ac:dyDescent="0.35">
      <c r="A77" s="70" t="s">
        <v>79</v>
      </c>
      <c r="B77" s="2">
        <v>8.3699999999999992</v>
      </c>
      <c r="C77" s="63">
        <v>6</v>
      </c>
      <c r="D77" s="63"/>
      <c r="E77" s="25">
        <v>306</v>
      </c>
      <c r="F77" s="17">
        <v>207</v>
      </c>
      <c r="G77" s="17"/>
      <c r="H77" s="17"/>
      <c r="I77" s="17"/>
      <c r="J77" s="17"/>
      <c r="K77" s="17"/>
      <c r="L77" s="44"/>
    </row>
    <row r="78" spans="1:12" s="10" customFormat="1" ht="28.5" customHeight="1" x14ac:dyDescent="0.35">
      <c r="A78" s="99" t="s">
        <v>80</v>
      </c>
      <c r="B78" s="2">
        <v>8.4</v>
      </c>
      <c r="C78" s="63">
        <v>6</v>
      </c>
      <c r="D78" s="63"/>
      <c r="E78" s="25">
        <v>355</v>
      </c>
      <c r="F78" s="17">
        <v>238</v>
      </c>
      <c r="G78" s="17"/>
      <c r="H78" s="17"/>
      <c r="I78" s="17"/>
      <c r="J78" s="17"/>
      <c r="K78" s="17"/>
      <c r="L78" s="44"/>
    </row>
    <row r="79" spans="1:12" s="10" customFormat="1" ht="28.5" customHeight="1" x14ac:dyDescent="0.35">
      <c r="A79" s="99" t="s">
        <v>81</v>
      </c>
      <c r="B79" s="2">
        <v>8.34</v>
      </c>
      <c r="C79" s="63">
        <v>5</v>
      </c>
      <c r="D79" s="63"/>
      <c r="E79" s="25">
        <v>387</v>
      </c>
      <c r="F79" s="25">
        <v>259</v>
      </c>
      <c r="G79" s="25"/>
      <c r="H79" s="25"/>
      <c r="I79" s="25"/>
      <c r="J79" s="25"/>
      <c r="K79" s="25"/>
      <c r="L79" s="44"/>
    </row>
    <row r="80" spans="1:12" s="10" customFormat="1" ht="28.5" customHeight="1" thickBot="1" x14ac:dyDescent="0.4">
      <c r="A80" s="109" t="s">
        <v>82</v>
      </c>
      <c r="B80" s="2">
        <v>8.41</v>
      </c>
      <c r="C80" s="63">
        <v>4</v>
      </c>
      <c r="D80" s="63"/>
      <c r="E80" s="25">
        <v>356</v>
      </c>
      <c r="F80" s="17">
        <v>239</v>
      </c>
      <c r="G80" s="17"/>
      <c r="H80" s="17"/>
      <c r="I80" s="17"/>
      <c r="J80" s="17"/>
      <c r="K80" s="17"/>
      <c r="L80" s="44"/>
    </row>
    <row r="81" spans="1:12" s="10" customFormat="1" ht="28.5" customHeight="1" x14ac:dyDescent="0.35">
      <c r="A81" s="108" t="s">
        <v>84</v>
      </c>
      <c r="B81" s="1">
        <v>8.5</v>
      </c>
      <c r="C81" s="1">
        <v>5</v>
      </c>
      <c r="D81" s="1"/>
      <c r="E81" s="76">
        <v>344</v>
      </c>
      <c r="F81" s="12">
        <v>231</v>
      </c>
      <c r="G81" s="12"/>
      <c r="H81" s="12"/>
      <c r="I81" s="12"/>
      <c r="J81" s="12"/>
      <c r="K81" s="12"/>
      <c r="L81" s="77"/>
    </row>
    <row r="82" spans="1:12" s="10" customFormat="1" ht="28.5" customHeight="1" x14ac:dyDescent="0.35">
      <c r="A82" s="99" t="s">
        <v>85</v>
      </c>
      <c r="B82" s="2">
        <v>8.49</v>
      </c>
      <c r="C82" s="63">
        <v>5</v>
      </c>
      <c r="D82" s="63"/>
      <c r="E82" s="25">
        <v>343</v>
      </c>
      <c r="F82" s="17">
        <v>230</v>
      </c>
      <c r="G82" s="17"/>
      <c r="H82" s="17"/>
      <c r="I82" s="17"/>
      <c r="J82" s="17"/>
      <c r="K82" s="17"/>
      <c r="L82" s="75"/>
    </row>
    <row r="83" spans="1:12" s="10" customFormat="1" ht="28.5" customHeight="1" x14ac:dyDescent="0.35">
      <c r="A83" s="99" t="s">
        <v>86</v>
      </c>
      <c r="B83" s="2">
        <v>8.42</v>
      </c>
      <c r="C83" s="63">
        <v>8</v>
      </c>
      <c r="D83" s="63"/>
      <c r="E83" s="25">
        <v>356</v>
      </c>
      <c r="F83" s="17">
        <v>239</v>
      </c>
      <c r="G83" s="17"/>
      <c r="H83" s="17"/>
      <c r="I83" s="17"/>
      <c r="J83" s="17"/>
      <c r="K83" s="17"/>
      <c r="L83" s="75"/>
    </row>
    <row r="84" spans="1:12" s="10" customFormat="1" ht="28.5" customHeight="1" x14ac:dyDescent="0.35">
      <c r="A84" s="99" t="s">
        <v>87</v>
      </c>
      <c r="B84" s="2">
        <v>8.4600000000000009</v>
      </c>
      <c r="C84" s="63">
        <v>8</v>
      </c>
      <c r="D84" s="63"/>
      <c r="E84" s="25">
        <v>337</v>
      </c>
      <c r="F84" s="25">
        <v>226</v>
      </c>
      <c r="G84" s="17"/>
      <c r="H84" s="17"/>
      <c r="I84" s="17"/>
      <c r="J84" s="17"/>
      <c r="K84" s="17"/>
      <c r="L84" s="75"/>
    </row>
    <row r="85" spans="1:12" s="10" customFormat="1" ht="28.5" customHeight="1" x14ac:dyDescent="0.35">
      <c r="A85" s="99" t="s">
        <v>88</v>
      </c>
      <c r="B85" s="2">
        <v>8.5</v>
      </c>
      <c r="C85" s="63">
        <v>8</v>
      </c>
      <c r="D85" s="63"/>
      <c r="E85" s="25">
        <v>359</v>
      </c>
      <c r="F85" s="25">
        <v>241</v>
      </c>
      <c r="G85" s="17"/>
      <c r="H85" s="17"/>
      <c r="I85" s="17"/>
      <c r="J85" s="17"/>
      <c r="K85" s="17"/>
      <c r="L85" s="75"/>
    </row>
    <row r="86" spans="1:12" s="10" customFormat="1" ht="28.5" customHeight="1" x14ac:dyDescent="0.35">
      <c r="A86" s="99" t="s">
        <v>89</v>
      </c>
      <c r="B86" s="2">
        <v>8.43</v>
      </c>
      <c r="C86" s="63">
        <v>9</v>
      </c>
      <c r="D86" s="63"/>
      <c r="E86" s="25">
        <v>352</v>
      </c>
      <c r="F86" s="17">
        <v>236</v>
      </c>
      <c r="G86" s="17"/>
      <c r="H86" s="17"/>
      <c r="I86" s="17"/>
      <c r="J86" s="17"/>
      <c r="K86" s="17"/>
      <c r="L86" s="75"/>
    </row>
    <row r="87" spans="1:12" s="10" customFormat="1" ht="28.5" customHeight="1" x14ac:dyDescent="0.35">
      <c r="A87" s="99" t="s">
        <v>90</v>
      </c>
      <c r="B87" s="2">
        <v>8.33</v>
      </c>
      <c r="C87" s="63">
        <v>9</v>
      </c>
      <c r="D87" s="63"/>
      <c r="E87" s="25">
        <v>325</v>
      </c>
      <c r="F87" s="17">
        <v>218</v>
      </c>
      <c r="G87" s="17"/>
      <c r="H87" s="17"/>
      <c r="I87" s="17"/>
      <c r="J87" s="17"/>
      <c r="K87" s="17"/>
      <c r="L87" s="44"/>
    </row>
    <row r="88" spans="1:12" s="10" customFormat="1" ht="28.5" customHeight="1" x14ac:dyDescent="0.35">
      <c r="A88" s="99" t="s">
        <v>91</v>
      </c>
      <c r="B88" s="2">
        <v>8.2899999999999991</v>
      </c>
      <c r="C88" s="2">
        <v>9</v>
      </c>
      <c r="D88" s="2"/>
      <c r="E88" s="25">
        <v>383</v>
      </c>
      <c r="F88" s="25">
        <v>257</v>
      </c>
      <c r="G88" s="25"/>
      <c r="H88" s="25"/>
      <c r="I88" s="25"/>
      <c r="J88" s="17"/>
      <c r="K88" s="17"/>
      <c r="L88" s="44"/>
    </row>
    <row r="89" spans="1:12" s="10" customFormat="1" ht="28.5" customHeight="1" x14ac:dyDescent="0.35">
      <c r="A89" s="99" t="s">
        <v>92</v>
      </c>
      <c r="B89" s="2">
        <v>8.52</v>
      </c>
      <c r="C89" s="63">
        <v>8</v>
      </c>
      <c r="D89" s="63"/>
      <c r="E89" s="25">
        <v>397</v>
      </c>
      <c r="F89" s="17">
        <v>266</v>
      </c>
      <c r="G89" s="17"/>
      <c r="H89" s="17"/>
      <c r="I89" s="17"/>
      <c r="J89" s="17"/>
      <c r="K89" s="17"/>
      <c r="L89" s="44"/>
    </row>
    <row r="90" spans="1:12" s="10" customFormat="1" ht="28.5" customHeight="1" x14ac:dyDescent="0.35">
      <c r="A90" s="99" t="s">
        <v>93</v>
      </c>
      <c r="B90" s="2">
        <v>8.65</v>
      </c>
      <c r="C90" s="63">
        <v>7</v>
      </c>
      <c r="D90" s="63"/>
      <c r="E90" s="25">
        <v>371</v>
      </c>
      <c r="F90" s="17">
        <v>249</v>
      </c>
      <c r="G90" s="17"/>
      <c r="H90" s="17"/>
      <c r="I90" s="17"/>
      <c r="J90" s="17"/>
      <c r="K90" s="17"/>
      <c r="L90" s="44"/>
    </row>
    <row r="91" spans="1:12" s="10" customFormat="1" ht="28.5" customHeight="1" x14ac:dyDescent="0.35">
      <c r="A91" s="99" t="s">
        <v>94</v>
      </c>
      <c r="B91" s="2">
        <v>8.9600000000000009</v>
      </c>
      <c r="C91" s="63">
        <v>9</v>
      </c>
      <c r="D91" s="63"/>
      <c r="E91" s="25">
        <v>374</v>
      </c>
      <c r="F91" s="17">
        <v>251</v>
      </c>
      <c r="G91" s="17"/>
      <c r="H91" s="17"/>
      <c r="I91" s="17"/>
      <c r="J91" s="17"/>
      <c r="K91" s="17"/>
      <c r="L91" s="44"/>
    </row>
    <row r="92" spans="1:12" s="10" customFormat="1" ht="28.5" customHeight="1" x14ac:dyDescent="0.35">
      <c r="A92" s="99" t="s">
        <v>95</v>
      </c>
      <c r="B92" s="2">
        <v>8.6</v>
      </c>
      <c r="C92" s="2">
        <v>7</v>
      </c>
      <c r="D92" s="2"/>
      <c r="E92" s="25">
        <v>356</v>
      </c>
      <c r="F92" s="17">
        <v>239</v>
      </c>
      <c r="G92" s="17"/>
      <c r="H92" s="17"/>
      <c r="I92" s="17"/>
      <c r="J92" s="17"/>
      <c r="K92" s="17"/>
      <c r="L92" s="44"/>
    </row>
    <row r="93" spans="1:12" s="10" customFormat="1" ht="28.5" customHeight="1" x14ac:dyDescent="0.35">
      <c r="A93" s="99" t="s">
        <v>96</v>
      </c>
      <c r="B93" s="2">
        <v>8.56</v>
      </c>
      <c r="C93" s="63">
        <v>8</v>
      </c>
      <c r="D93" s="63"/>
      <c r="E93" s="25">
        <v>231</v>
      </c>
      <c r="F93" s="17">
        <v>155</v>
      </c>
      <c r="G93" s="17"/>
      <c r="H93" s="17"/>
      <c r="I93" s="17"/>
      <c r="J93" s="17"/>
      <c r="K93" s="17"/>
      <c r="L93" s="44"/>
    </row>
    <row r="94" spans="1:12" s="10" customFormat="1" ht="28.5" customHeight="1" x14ac:dyDescent="0.35">
      <c r="A94" s="99" t="s">
        <v>97</v>
      </c>
      <c r="B94" s="2">
        <v>8.4</v>
      </c>
      <c r="C94" s="2">
        <v>8</v>
      </c>
      <c r="D94" s="2"/>
      <c r="E94" s="25">
        <v>320</v>
      </c>
      <c r="F94" s="17">
        <v>215</v>
      </c>
      <c r="G94" s="17"/>
      <c r="H94" s="17"/>
      <c r="I94" s="17"/>
      <c r="J94" s="17"/>
      <c r="K94" s="17"/>
      <c r="L94" s="44"/>
    </row>
    <row r="95" spans="1:12" s="10" customFormat="1" ht="28.5" customHeight="1" x14ac:dyDescent="0.35">
      <c r="A95" s="99" t="s">
        <v>98</v>
      </c>
      <c r="B95" s="2">
        <v>8.17</v>
      </c>
      <c r="C95" s="63">
        <v>7</v>
      </c>
      <c r="D95" s="63"/>
      <c r="E95" s="25">
        <v>300</v>
      </c>
      <c r="F95" s="17">
        <v>201</v>
      </c>
      <c r="G95" s="17"/>
      <c r="H95" s="17"/>
      <c r="I95" s="17"/>
      <c r="J95" s="17"/>
      <c r="K95" s="17"/>
      <c r="L95" s="44"/>
    </row>
    <row r="96" spans="1:12" s="10" customFormat="1" ht="28.5" customHeight="1" x14ac:dyDescent="0.35">
      <c r="A96" s="99" t="s">
        <v>99</v>
      </c>
      <c r="B96" s="2">
        <v>8.24</v>
      </c>
      <c r="C96" s="63">
        <v>8</v>
      </c>
      <c r="D96" s="63"/>
      <c r="E96" s="25">
        <v>307</v>
      </c>
      <c r="F96" s="17">
        <v>206</v>
      </c>
      <c r="G96" s="17"/>
      <c r="H96" s="17"/>
      <c r="I96" s="17"/>
      <c r="J96" s="17"/>
      <c r="K96" s="17"/>
      <c r="L96" s="44"/>
    </row>
    <row r="97" spans="1:12" s="10" customFormat="1" ht="28.5" customHeight="1" x14ac:dyDescent="0.35">
      <c r="A97" s="99" t="s">
        <v>100</v>
      </c>
      <c r="B97" s="2">
        <v>8.44</v>
      </c>
      <c r="C97" s="2">
        <v>7</v>
      </c>
      <c r="D97" s="2"/>
      <c r="E97" s="25">
        <v>319</v>
      </c>
      <c r="F97" s="17">
        <v>214</v>
      </c>
      <c r="G97" s="17"/>
      <c r="H97" s="17"/>
      <c r="I97" s="17"/>
      <c r="J97" s="17"/>
      <c r="K97" s="17"/>
      <c r="L97" s="44"/>
    </row>
    <row r="98" spans="1:12" s="10" customFormat="1" ht="28.5" customHeight="1" x14ac:dyDescent="0.35">
      <c r="A98" s="99" t="s">
        <v>101</v>
      </c>
      <c r="B98" s="2">
        <v>8.4</v>
      </c>
      <c r="C98" s="2">
        <v>7</v>
      </c>
      <c r="D98" s="2"/>
      <c r="E98" s="25"/>
      <c r="F98" s="17">
        <v>219</v>
      </c>
      <c r="G98" s="17"/>
      <c r="H98" s="17"/>
      <c r="I98" s="17"/>
      <c r="J98" s="17"/>
      <c r="K98" s="17"/>
      <c r="L98" s="44"/>
    </row>
    <row r="99" spans="1:12" s="10" customFormat="1" ht="28.5" customHeight="1" x14ac:dyDescent="0.35">
      <c r="A99" s="99" t="s">
        <v>102</v>
      </c>
      <c r="B99" s="2">
        <v>8.2799999999999994</v>
      </c>
      <c r="C99" s="63">
        <v>6</v>
      </c>
      <c r="D99" s="63"/>
      <c r="E99" s="25">
        <v>274</v>
      </c>
      <c r="F99" s="17">
        <v>184</v>
      </c>
      <c r="G99" s="17"/>
      <c r="H99" s="17"/>
      <c r="I99" s="17"/>
      <c r="J99" s="17"/>
      <c r="K99" s="17"/>
      <c r="L99" s="44"/>
    </row>
    <row r="100" spans="1:12" s="10" customFormat="1" ht="28.5" customHeight="1" x14ac:dyDescent="0.35">
      <c r="A100" s="99" t="s">
        <v>103</v>
      </c>
      <c r="B100" s="2">
        <v>8.4</v>
      </c>
      <c r="C100" s="63">
        <v>5</v>
      </c>
      <c r="D100" s="63"/>
      <c r="E100" s="25">
        <v>278</v>
      </c>
      <c r="F100" s="17">
        <v>186</v>
      </c>
      <c r="G100" s="17"/>
      <c r="H100" s="17"/>
      <c r="I100" s="17"/>
      <c r="J100" s="17"/>
      <c r="K100" s="17"/>
      <c r="L100" s="44"/>
    </row>
    <row r="101" spans="1:12" s="10" customFormat="1" ht="28.5" customHeight="1" x14ac:dyDescent="0.35">
      <c r="A101" s="99" t="s">
        <v>104</v>
      </c>
      <c r="B101" s="2">
        <v>8.4499999999999993</v>
      </c>
      <c r="C101" s="63">
        <v>5</v>
      </c>
      <c r="D101" s="63"/>
      <c r="E101" s="25">
        <v>268</v>
      </c>
      <c r="F101" s="25">
        <v>180</v>
      </c>
      <c r="G101" s="25"/>
      <c r="H101" s="25"/>
      <c r="I101" s="25"/>
      <c r="J101" s="25"/>
      <c r="K101" s="17"/>
      <c r="L101" s="44"/>
    </row>
    <row r="102" spans="1:12" s="10" customFormat="1" ht="28.5" customHeight="1" x14ac:dyDescent="0.35">
      <c r="A102" s="99" t="s">
        <v>105</v>
      </c>
      <c r="B102" s="2">
        <v>8.35</v>
      </c>
      <c r="C102" s="63">
        <v>5</v>
      </c>
      <c r="D102" s="63"/>
      <c r="E102" s="25">
        <v>292</v>
      </c>
      <c r="F102" s="25">
        <v>196</v>
      </c>
      <c r="G102" s="25"/>
      <c r="H102" s="25"/>
      <c r="I102" s="25"/>
      <c r="J102" s="25"/>
      <c r="K102" s="17"/>
      <c r="L102" s="44"/>
    </row>
    <row r="103" spans="1:12" s="10" customFormat="1" ht="28.5" customHeight="1" x14ac:dyDescent="0.35">
      <c r="A103" s="99" t="s">
        <v>106</v>
      </c>
      <c r="B103" s="2">
        <v>8.73</v>
      </c>
      <c r="C103" s="63">
        <v>5</v>
      </c>
      <c r="D103" s="63"/>
      <c r="E103" s="25">
        <v>310</v>
      </c>
      <c r="F103" s="17">
        <v>207</v>
      </c>
      <c r="G103" s="25"/>
      <c r="H103" s="17"/>
      <c r="I103" s="17"/>
      <c r="J103" s="17"/>
      <c r="K103" s="17"/>
      <c r="L103" s="44"/>
    </row>
    <row r="104" spans="1:12" s="10" customFormat="1" ht="28.5" customHeight="1" thickBot="1" x14ac:dyDescent="0.4">
      <c r="A104" s="73" t="s">
        <v>107</v>
      </c>
      <c r="B104" s="2">
        <v>8.2100000000000009</v>
      </c>
      <c r="C104" s="63">
        <v>5</v>
      </c>
      <c r="D104" s="63"/>
      <c r="E104" s="25">
        <v>297</v>
      </c>
      <c r="F104" s="17">
        <v>199</v>
      </c>
      <c r="G104" s="17"/>
      <c r="H104" s="17"/>
      <c r="I104" s="17"/>
      <c r="J104" s="17"/>
      <c r="K104" s="17"/>
      <c r="L104" s="44"/>
    </row>
    <row r="105" spans="1:12" s="10" customFormat="1" ht="28.5" customHeight="1" x14ac:dyDescent="0.35">
      <c r="A105" s="108" t="s">
        <v>108</v>
      </c>
      <c r="B105" s="1">
        <v>8.3000000000000007</v>
      </c>
      <c r="C105" s="1">
        <v>5</v>
      </c>
      <c r="D105" s="1"/>
      <c r="E105" s="76">
        <v>273</v>
      </c>
      <c r="F105" s="12">
        <v>183</v>
      </c>
      <c r="G105" s="12"/>
      <c r="H105" s="12"/>
      <c r="I105" s="12"/>
      <c r="J105" s="12"/>
      <c r="K105" s="12"/>
      <c r="L105" s="77"/>
    </row>
    <row r="106" spans="1:12" s="10" customFormat="1" ht="28.5" customHeight="1" x14ac:dyDescent="0.35">
      <c r="A106" s="99" t="s">
        <v>109</v>
      </c>
      <c r="B106" s="2">
        <v>8.48</v>
      </c>
      <c r="C106" s="63">
        <v>6</v>
      </c>
      <c r="D106" s="63"/>
      <c r="E106" s="25">
        <v>267</v>
      </c>
      <c r="F106" s="17">
        <v>179</v>
      </c>
      <c r="G106" s="17"/>
      <c r="H106" s="17"/>
      <c r="I106" s="17"/>
      <c r="J106" s="17"/>
      <c r="K106" s="17"/>
      <c r="L106" s="75"/>
    </row>
    <row r="107" spans="1:12" s="10" customFormat="1" ht="28.5" customHeight="1" x14ac:dyDescent="0.35">
      <c r="A107" s="99" t="s">
        <v>110</v>
      </c>
      <c r="B107" s="2">
        <v>8.6199999999999992</v>
      </c>
      <c r="C107" s="63">
        <v>6</v>
      </c>
      <c r="D107" s="63"/>
      <c r="E107" s="25">
        <v>294</v>
      </c>
      <c r="F107" s="17">
        <v>197</v>
      </c>
      <c r="G107" s="17"/>
      <c r="H107" s="17"/>
      <c r="I107" s="17"/>
      <c r="J107" s="17"/>
      <c r="K107" s="17"/>
      <c r="L107" s="75"/>
    </row>
    <row r="108" spans="1:12" s="10" customFormat="1" ht="28.5" customHeight="1" x14ac:dyDescent="0.35">
      <c r="A108" s="99" t="s">
        <v>111</v>
      </c>
      <c r="B108" s="2">
        <v>8.16</v>
      </c>
      <c r="C108" s="63">
        <v>6</v>
      </c>
      <c r="D108" s="63"/>
      <c r="E108" s="25">
        <v>293</v>
      </c>
      <c r="F108" s="25">
        <v>196</v>
      </c>
      <c r="G108" s="17"/>
      <c r="H108" s="17"/>
      <c r="I108" s="17"/>
      <c r="J108" s="17"/>
      <c r="K108" s="17"/>
      <c r="L108" s="75"/>
    </row>
    <row r="109" spans="1:12" s="10" customFormat="1" ht="28.5" customHeight="1" x14ac:dyDescent="0.35">
      <c r="A109" s="99" t="s">
        <v>112</v>
      </c>
      <c r="B109" s="2">
        <v>8.65</v>
      </c>
      <c r="C109" s="63">
        <v>5</v>
      </c>
      <c r="D109" s="63"/>
      <c r="E109" s="25">
        <v>322</v>
      </c>
      <c r="F109" s="25">
        <v>216</v>
      </c>
      <c r="G109" s="17"/>
      <c r="H109" s="17"/>
      <c r="I109" s="17"/>
      <c r="J109" s="17"/>
      <c r="K109" s="17"/>
      <c r="L109" s="75"/>
    </row>
    <row r="110" spans="1:12" s="10" customFormat="1" ht="28.5" customHeight="1" x14ac:dyDescent="0.35">
      <c r="A110" s="99" t="s">
        <v>113</v>
      </c>
      <c r="B110" s="2">
        <v>8.36</v>
      </c>
      <c r="C110" s="63">
        <v>5</v>
      </c>
      <c r="D110" s="63"/>
      <c r="E110" s="25">
        <v>306</v>
      </c>
      <c r="F110" s="17">
        <v>205</v>
      </c>
      <c r="G110" s="17"/>
      <c r="H110" s="17"/>
      <c r="I110" s="17"/>
      <c r="J110" s="17"/>
      <c r="K110" s="17"/>
      <c r="L110" s="75"/>
    </row>
    <row r="111" spans="1:12" s="10" customFormat="1" ht="28.5" customHeight="1" x14ac:dyDescent="0.35">
      <c r="A111" s="99" t="s">
        <v>114</v>
      </c>
      <c r="B111" s="2">
        <v>8.43</v>
      </c>
      <c r="C111" s="63">
        <v>6</v>
      </c>
      <c r="D111" s="63"/>
      <c r="E111" s="25">
        <v>279</v>
      </c>
      <c r="F111" s="17">
        <v>187</v>
      </c>
      <c r="G111" s="17"/>
      <c r="H111" s="17"/>
      <c r="I111" s="17"/>
      <c r="J111" s="17"/>
      <c r="K111" s="17"/>
      <c r="L111" s="44"/>
    </row>
    <row r="112" spans="1:12" s="10" customFormat="1" ht="28.5" customHeight="1" x14ac:dyDescent="0.35">
      <c r="A112" s="99" t="s">
        <v>115</v>
      </c>
      <c r="B112" s="2">
        <v>8.17</v>
      </c>
      <c r="C112" s="2">
        <v>5</v>
      </c>
      <c r="D112" s="2"/>
      <c r="E112" s="25">
        <v>291</v>
      </c>
      <c r="F112" s="25">
        <v>195</v>
      </c>
      <c r="G112" s="25"/>
      <c r="H112" s="25"/>
      <c r="I112" s="25"/>
      <c r="J112" s="17"/>
      <c r="K112" s="17"/>
      <c r="L112" s="44"/>
    </row>
    <row r="113" spans="1:12" s="10" customFormat="1" ht="28.5" customHeight="1" x14ac:dyDescent="0.35">
      <c r="A113" s="99" t="s">
        <v>116</v>
      </c>
      <c r="B113" s="2">
        <v>8.65</v>
      </c>
      <c r="C113" s="63">
        <v>6</v>
      </c>
      <c r="D113" s="63"/>
      <c r="E113" s="25">
        <v>256</v>
      </c>
      <c r="F113" s="17">
        <v>172</v>
      </c>
      <c r="G113" s="17"/>
      <c r="H113" s="17"/>
      <c r="I113" s="17"/>
      <c r="J113" s="17"/>
      <c r="K113" s="17"/>
      <c r="L113" s="44"/>
    </row>
    <row r="114" spans="1:12" s="10" customFormat="1" ht="28.5" customHeight="1" x14ac:dyDescent="0.35">
      <c r="A114" s="99" t="s">
        <v>117</v>
      </c>
      <c r="B114" s="2">
        <v>8.4499999999999993</v>
      </c>
      <c r="C114" s="63">
        <v>5</v>
      </c>
      <c r="D114" s="63"/>
      <c r="E114" s="25">
        <v>228</v>
      </c>
      <c r="F114" s="17">
        <v>153</v>
      </c>
      <c r="G114" s="17"/>
      <c r="H114" s="17"/>
      <c r="I114" s="17"/>
      <c r="J114" s="17"/>
      <c r="K114" s="17"/>
      <c r="L114" s="44"/>
    </row>
    <row r="115" spans="1:12" s="10" customFormat="1" ht="28.5" customHeight="1" x14ac:dyDescent="0.35">
      <c r="A115" s="99" t="s">
        <v>118</v>
      </c>
      <c r="B115" s="2">
        <v>8.52</v>
      </c>
      <c r="C115" s="63">
        <v>5</v>
      </c>
      <c r="D115" s="63"/>
      <c r="E115" s="25">
        <v>292</v>
      </c>
      <c r="F115" s="17">
        <v>196</v>
      </c>
      <c r="G115" s="17"/>
      <c r="H115" s="17"/>
      <c r="I115" s="17"/>
      <c r="J115" s="17"/>
      <c r="K115" s="17"/>
      <c r="L115" s="44"/>
    </row>
    <row r="116" spans="1:12" s="10" customFormat="1" ht="28.5" customHeight="1" x14ac:dyDescent="0.35">
      <c r="A116" s="99" t="s">
        <v>119</v>
      </c>
      <c r="B116" s="2">
        <v>8.4499999999999993</v>
      </c>
      <c r="C116" s="2">
        <v>5</v>
      </c>
      <c r="D116" s="2"/>
      <c r="E116" s="25">
        <v>300</v>
      </c>
      <c r="F116" s="17">
        <v>201</v>
      </c>
      <c r="G116" s="17"/>
      <c r="H116" s="17"/>
      <c r="I116" s="17"/>
      <c r="J116" s="17"/>
      <c r="K116" s="17"/>
      <c r="L116" s="44"/>
    </row>
    <row r="117" spans="1:12" s="10" customFormat="1" ht="28.5" customHeight="1" x14ac:dyDescent="0.35">
      <c r="A117" s="99" t="s">
        <v>120</v>
      </c>
      <c r="B117" s="2">
        <v>8.51</v>
      </c>
      <c r="C117" s="63">
        <v>6</v>
      </c>
      <c r="D117" s="63"/>
      <c r="E117" s="25">
        <v>302</v>
      </c>
      <c r="F117" s="17">
        <v>203</v>
      </c>
      <c r="G117" s="17"/>
      <c r="H117" s="17"/>
      <c r="I117" s="17"/>
      <c r="J117" s="17"/>
      <c r="K117" s="17"/>
      <c r="L117" s="44"/>
    </row>
    <row r="118" spans="1:12" s="10" customFormat="1" ht="28.5" customHeight="1" x14ac:dyDescent="0.35">
      <c r="A118" s="99" t="s">
        <v>121</v>
      </c>
      <c r="B118" s="2">
        <v>8.65</v>
      </c>
      <c r="C118" s="2">
        <v>5</v>
      </c>
      <c r="D118" s="2"/>
      <c r="E118" s="25">
        <v>317</v>
      </c>
      <c r="F118" s="17">
        <v>213</v>
      </c>
      <c r="G118" s="17"/>
      <c r="H118" s="17"/>
      <c r="I118" s="17"/>
      <c r="J118" s="17"/>
      <c r="K118" s="17"/>
      <c r="L118" s="44"/>
    </row>
    <row r="119" spans="1:12" s="10" customFormat="1" ht="28.5" customHeight="1" x14ac:dyDescent="0.35">
      <c r="A119" s="99" t="s">
        <v>122</v>
      </c>
      <c r="B119" s="2">
        <v>8.52</v>
      </c>
      <c r="C119" s="63">
        <v>5</v>
      </c>
      <c r="D119" s="63"/>
      <c r="E119" s="25">
        <v>258</v>
      </c>
      <c r="F119" s="17">
        <v>173</v>
      </c>
      <c r="G119" s="17"/>
      <c r="H119" s="17"/>
      <c r="I119" s="17"/>
      <c r="J119" s="17"/>
      <c r="K119" s="17"/>
      <c r="L119" s="44"/>
    </row>
    <row r="120" spans="1:12" s="10" customFormat="1" ht="28.5" customHeight="1" x14ac:dyDescent="0.35">
      <c r="A120" s="99" t="s">
        <v>123</v>
      </c>
      <c r="B120" s="2">
        <v>8.44</v>
      </c>
      <c r="C120" s="63">
        <v>7</v>
      </c>
      <c r="D120" s="63"/>
      <c r="E120" s="25">
        <v>370</v>
      </c>
      <c r="F120" s="17">
        <v>248</v>
      </c>
      <c r="G120" s="17"/>
      <c r="H120" s="17"/>
      <c r="I120" s="17"/>
      <c r="J120" s="17"/>
      <c r="K120" s="17"/>
      <c r="L120" s="44"/>
    </row>
    <row r="121" spans="1:12" s="10" customFormat="1" ht="28.5" customHeight="1" x14ac:dyDescent="0.35">
      <c r="A121" s="99" t="s">
        <v>124</v>
      </c>
      <c r="B121" s="2">
        <v>8.5299999999999994</v>
      </c>
      <c r="C121" s="2">
        <v>5</v>
      </c>
      <c r="D121" s="2"/>
      <c r="E121" s="25">
        <v>348</v>
      </c>
      <c r="F121" s="17">
        <v>233</v>
      </c>
      <c r="G121" s="17"/>
      <c r="H121" s="17"/>
      <c r="I121" s="17"/>
      <c r="J121" s="17"/>
      <c r="K121" s="17"/>
      <c r="L121" s="44"/>
    </row>
    <row r="122" spans="1:12" s="10" customFormat="1" ht="28.5" customHeight="1" x14ac:dyDescent="0.35">
      <c r="A122" s="99" t="s">
        <v>125</v>
      </c>
      <c r="B122" s="2">
        <v>7.89</v>
      </c>
      <c r="C122" s="2">
        <v>5</v>
      </c>
      <c r="D122" s="2"/>
      <c r="E122" s="25"/>
      <c r="F122" s="17">
        <v>201</v>
      </c>
      <c r="G122" s="17"/>
      <c r="H122" s="17"/>
      <c r="I122" s="17"/>
      <c r="J122" s="17"/>
      <c r="K122" s="17"/>
      <c r="L122" s="44"/>
    </row>
    <row r="123" spans="1:12" s="10" customFormat="1" ht="28.5" customHeight="1" x14ac:dyDescent="0.35">
      <c r="A123" s="99" t="s">
        <v>126</v>
      </c>
      <c r="B123" s="2">
        <v>8.8699999999999992</v>
      </c>
      <c r="C123" s="63">
        <v>5</v>
      </c>
      <c r="D123" s="63"/>
      <c r="E123" s="25"/>
      <c r="F123" s="17">
        <v>188</v>
      </c>
      <c r="G123" s="17"/>
      <c r="H123" s="17"/>
      <c r="I123" s="17"/>
      <c r="J123" s="17"/>
      <c r="K123" s="17"/>
      <c r="L123" s="44"/>
    </row>
    <row r="124" spans="1:12" s="10" customFormat="1" ht="28.5" customHeight="1" x14ac:dyDescent="0.35">
      <c r="A124" s="99" t="s">
        <v>127</v>
      </c>
      <c r="B124" s="2">
        <v>8.4</v>
      </c>
      <c r="C124" s="63">
        <v>5</v>
      </c>
      <c r="D124" s="63"/>
      <c r="E124" s="25">
        <v>288</v>
      </c>
      <c r="F124" s="17">
        <v>188</v>
      </c>
      <c r="G124" s="17"/>
      <c r="H124" s="17"/>
      <c r="I124" s="17"/>
      <c r="J124" s="17"/>
      <c r="K124" s="17"/>
      <c r="L124" s="44"/>
    </row>
    <row r="125" spans="1:12" s="10" customFormat="1" ht="28.5" customHeight="1" x14ac:dyDescent="0.35">
      <c r="A125" s="99" t="s">
        <v>128</v>
      </c>
      <c r="B125" s="2">
        <v>8.5500000000000007</v>
      </c>
      <c r="C125" s="63">
        <v>6</v>
      </c>
      <c r="D125" s="63"/>
      <c r="E125" s="25">
        <v>240</v>
      </c>
      <c r="F125" s="25">
        <v>161</v>
      </c>
      <c r="G125" s="25"/>
      <c r="H125" s="25"/>
      <c r="I125" s="25"/>
      <c r="J125" s="25"/>
      <c r="K125" s="17"/>
      <c r="L125" s="44"/>
    </row>
    <row r="126" spans="1:12" s="10" customFormat="1" ht="28.5" customHeight="1" x14ac:dyDescent="0.35">
      <c r="A126" s="99" t="s">
        <v>129</v>
      </c>
      <c r="B126" s="2">
        <v>8.4499999999999993</v>
      </c>
      <c r="C126" s="63">
        <v>6</v>
      </c>
      <c r="D126" s="63"/>
      <c r="E126" s="25">
        <v>307</v>
      </c>
      <c r="F126" s="25">
        <v>206</v>
      </c>
      <c r="G126" s="25"/>
      <c r="H126" s="25"/>
      <c r="I126" s="25"/>
      <c r="J126" s="25"/>
      <c r="K126" s="17"/>
      <c r="L126" s="44"/>
    </row>
    <row r="127" spans="1:12" s="10" customFormat="1" ht="28.5" customHeight="1" x14ac:dyDescent="0.35">
      <c r="A127" s="99" t="s">
        <v>130</v>
      </c>
      <c r="B127" s="2">
        <v>8.3800000000000008</v>
      </c>
      <c r="C127" s="63">
        <v>7</v>
      </c>
      <c r="D127" s="63"/>
      <c r="E127" s="25">
        <v>307</v>
      </c>
      <c r="F127" s="17">
        <v>206</v>
      </c>
      <c r="G127" s="25"/>
      <c r="H127" s="17"/>
      <c r="I127" s="17"/>
      <c r="J127" s="17"/>
      <c r="K127" s="17"/>
      <c r="L127" s="44"/>
    </row>
    <row r="128" spans="1:12" s="10" customFormat="1" ht="28.5" customHeight="1" x14ac:dyDescent="0.35">
      <c r="A128" s="70" t="s">
        <v>131</v>
      </c>
      <c r="B128" s="2">
        <v>8.6</v>
      </c>
      <c r="C128" s="63">
        <v>5</v>
      </c>
      <c r="D128" s="63"/>
      <c r="E128" s="25">
        <v>268</v>
      </c>
      <c r="F128" s="17">
        <v>180</v>
      </c>
      <c r="G128" s="17"/>
      <c r="H128" s="17"/>
      <c r="I128" s="17"/>
      <c r="J128" s="17"/>
      <c r="K128" s="17"/>
      <c r="L128" s="44"/>
    </row>
    <row r="129" spans="1:12" s="10" customFormat="1" ht="28.5" customHeight="1" x14ac:dyDescent="0.35">
      <c r="A129" s="99" t="s">
        <v>132</v>
      </c>
      <c r="B129" s="2">
        <v>8.23</v>
      </c>
      <c r="C129" s="63">
        <v>7</v>
      </c>
      <c r="D129" s="63"/>
      <c r="E129" s="25">
        <v>295</v>
      </c>
      <c r="F129" s="17">
        <v>198</v>
      </c>
      <c r="G129" s="17"/>
      <c r="H129" s="17"/>
      <c r="I129" s="17"/>
      <c r="J129" s="17"/>
      <c r="K129" s="17"/>
      <c r="L129" s="44"/>
    </row>
    <row r="130" spans="1:12" s="10" customFormat="1" ht="28.5" customHeight="1" thickBot="1" x14ac:dyDescent="0.4">
      <c r="A130" s="109" t="s">
        <v>133</v>
      </c>
      <c r="B130" s="2">
        <v>7.66</v>
      </c>
      <c r="C130" s="63">
        <v>5</v>
      </c>
      <c r="D130" s="63"/>
      <c r="E130" s="25">
        <v>292</v>
      </c>
      <c r="F130" s="25">
        <v>196</v>
      </c>
      <c r="G130" s="25"/>
      <c r="H130" s="25"/>
      <c r="I130" s="25"/>
      <c r="J130" s="25"/>
      <c r="K130" s="25"/>
      <c r="L130" s="44"/>
    </row>
    <row r="131" spans="1:12" s="10" customFormat="1" ht="28.5" customHeight="1" x14ac:dyDescent="0.35">
      <c r="A131" s="108" t="s">
        <v>135</v>
      </c>
      <c r="B131" s="1">
        <v>8.5500000000000007</v>
      </c>
      <c r="C131" s="1">
        <v>6</v>
      </c>
      <c r="D131" s="1"/>
      <c r="E131" s="76">
        <v>282</v>
      </c>
      <c r="F131" s="12">
        <v>189</v>
      </c>
      <c r="G131" s="12"/>
      <c r="H131" s="12"/>
      <c r="I131" s="12"/>
      <c r="J131" s="12"/>
      <c r="K131" s="12"/>
      <c r="L131" s="77"/>
    </row>
    <row r="132" spans="1:12" s="10" customFormat="1" ht="28.5" customHeight="1" x14ac:dyDescent="0.35">
      <c r="A132" s="99" t="s">
        <v>136</v>
      </c>
      <c r="B132" s="2">
        <v>8.3000000000000007</v>
      </c>
      <c r="C132" s="63">
        <v>7</v>
      </c>
      <c r="D132" s="63"/>
      <c r="E132" s="25">
        <v>285</v>
      </c>
      <c r="F132" s="17">
        <v>191</v>
      </c>
      <c r="G132" s="17"/>
      <c r="H132" s="17"/>
      <c r="I132" s="17"/>
      <c r="J132" s="17"/>
      <c r="K132" s="17"/>
      <c r="L132" s="75"/>
    </row>
    <row r="133" spans="1:12" s="10" customFormat="1" ht="28.5" customHeight="1" x14ac:dyDescent="0.35">
      <c r="A133" s="99" t="s">
        <v>137</v>
      </c>
      <c r="B133" s="2">
        <v>8.5299999999999994</v>
      </c>
      <c r="C133" s="63">
        <v>5</v>
      </c>
      <c r="D133" s="63"/>
      <c r="E133" s="25">
        <v>298</v>
      </c>
      <c r="F133" s="17">
        <v>199</v>
      </c>
      <c r="G133" s="17"/>
      <c r="H133" s="17"/>
      <c r="I133" s="17"/>
      <c r="J133" s="17"/>
      <c r="K133" s="17"/>
      <c r="L133" s="75"/>
    </row>
    <row r="134" spans="1:12" s="10" customFormat="1" ht="28.5" customHeight="1" x14ac:dyDescent="0.35">
      <c r="A134" s="99" t="s">
        <v>138</v>
      </c>
      <c r="B134" s="2">
        <v>8.44</v>
      </c>
      <c r="C134" s="63">
        <v>7</v>
      </c>
      <c r="D134" s="63"/>
      <c r="E134" s="25">
        <v>295</v>
      </c>
      <c r="F134" s="25">
        <v>198</v>
      </c>
      <c r="G134" s="17"/>
      <c r="H134" s="17"/>
      <c r="I134" s="17"/>
      <c r="J134" s="17"/>
      <c r="K134" s="17"/>
      <c r="L134" s="75"/>
    </row>
    <row r="135" spans="1:12" s="10" customFormat="1" ht="28.5" customHeight="1" x14ac:dyDescent="0.35">
      <c r="A135" s="99" t="s">
        <v>139</v>
      </c>
      <c r="B135" s="2">
        <v>8.4</v>
      </c>
      <c r="C135" s="63">
        <v>7</v>
      </c>
      <c r="D135" s="63"/>
      <c r="E135" s="25"/>
      <c r="F135" s="25">
        <v>196</v>
      </c>
      <c r="G135" s="17"/>
      <c r="H135" s="17"/>
      <c r="I135" s="17"/>
      <c r="J135" s="17"/>
      <c r="K135" s="17"/>
      <c r="L135" s="75"/>
    </row>
    <row r="136" spans="1:12" s="10" customFormat="1" ht="28.5" customHeight="1" x14ac:dyDescent="0.35">
      <c r="A136" s="99" t="s">
        <v>140</v>
      </c>
      <c r="B136" s="2">
        <v>8.32</v>
      </c>
      <c r="C136" s="63">
        <v>6</v>
      </c>
      <c r="D136" s="63"/>
      <c r="E136" s="25">
        <v>292</v>
      </c>
      <c r="F136" s="17">
        <v>196</v>
      </c>
      <c r="G136" s="17"/>
      <c r="H136" s="17"/>
      <c r="I136" s="17"/>
      <c r="J136" s="17"/>
      <c r="K136" s="17"/>
      <c r="L136" s="75"/>
    </row>
    <row r="137" spans="1:12" s="10" customFormat="1" ht="28.5" customHeight="1" x14ac:dyDescent="0.35">
      <c r="A137" s="99" t="s">
        <v>141</v>
      </c>
      <c r="B137" s="2">
        <v>8.32</v>
      </c>
      <c r="C137" s="63">
        <v>8</v>
      </c>
      <c r="D137" s="63"/>
      <c r="E137" s="25">
        <v>279</v>
      </c>
      <c r="F137" s="17">
        <v>187</v>
      </c>
      <c r="G137" s="17"/>
      <c r="H137" s="17"/>
      <c r="I137" s="17"/>
      <c r="J137" s="17"/>
      <c r="K137" s="17"/>
      <c r="L137" s="44"/>
    </row>
    <row r="138" spans="1:12" s="10" customFormat="1" ht="28.5" customHeight="1" x14ac:dyDescent="0.35">
      <c r="A138" s="99" t="s">
        <v>142</v>
      </c>
      <c r="B138" s="2">
        <v>8.4</v>
      </c>
      <c r="C138" s="2">
        <v>6</v>
      </c>
      <c r="D138" s="2"/>
      <c r="E138" s="25">
        <v>247</v>
      </c>
      <c r="F138" s="25">
        <v>166</v>
      </c>
      <c r="G138" s="25"/>
      <c r="H138" s="25"/>
      <c r="I138" s="25"/>
      <c r="J138" s="17"/>
      <c r="K138" s="17"/>
      <c r="L138" s="44"/>
    </row>
    <row r="139" spans="1:12" s="10" customFormat="1" ht="28.5" customHeight="1" x14ac:dyDescent="0.35">
      <c r="A139" s="99" t="s">
        <v>143</v>
      </c>
      <c r="B139" s="2">
        <v>8.4</v>
      </c>
      <c r="C139" s="63">
        <v>7</v>
      </c>
      <c r="D139" s="63"/>
      <c r="E139" s="25">
        <v>294</v>
      </c>
      <c r="F139" s="17">
        <v>197</v>
      </c>
      <c r="G139" s="17"/>
      <c r="H139" s="17"/>
      <c r="I139" s="17"/>
      <c r="J139" s="17"/>
      <c r="K139" s="17"/>
      <c r="L139" s="44"/>
    </row>
    <row r="140" spans="1:12" s="10" customFormat="1" ht="28.5" customHeight="1" x14ac:dyDescent="0.35">
      <c r="A140" s="99" t="s">
        <v>144</v>
      </c>
      <c r="B140" s="2">
        <v>9</v>
      </c>
      <c r="C140" s="63">
        <v>7</v>
      </c>
      <c r="D140" s="63"/>
      <c r="E140" s="25">
        <v>311</v>
      </c>
      <c r="F140" s="17">
        <v>209</v>
      </c>
      <c r="G140" s="17"/>
      <c r="H140" s="17"/>
      <c r="I140" s="17"/>
      <c r="J140" s="17"/>
      <c r="K140" s="17"/>
      <c r="L140" s="44"/>
    </row>
    <row r="141" spans="1:12" s="10" customFormat="1" ht="28.5" customHeight="1" x14ac:dyDescent="0.35">
      <c r="A141" s="99" t="s">
        <v>145</v>
      </c>
      <c r="B141" s="2">
        <v>8.4700000000000006</v>
      </c>
      <c r="C141" s="63">
        <v>7</v>
      </c>
      <c r="D141" s="63"/>
      <c r="E141" s="25">
        <v>334</v>
      </c>
      <c r="F141" s="17">
        <v>224</v>
      </c>
      <c r="G141" s="17"/>
      <c r="H141" s="17"/>
      <c r="I141" s="17"/>
      <c r="J141" s="17"/>
      <c r="K141" s="17"/>
      <c r="L141" s="44"/>
    </row>
    <row r="142" spans="1:12" s="10" customFormat="1" ht="28.5" customHeight="1" x14ac:dyDescent="0.35">
      <c r="A142" s="99" t="s">
        <v>146</v>
      </c>
      <c r="B142" s="2">
        <v>8.58</v>
      </c>
      <c r="C142" s="2">
        <v>6</v>
      </c>
      <c r="D142" s="2"/>
      <c r="E142" s="25">
        <v>334</v>
      </c>
      <c r="F142" s="17">
        <v>224</v>
      </c>
      <c r="G142" s="17"/>
      <c r="H142" s="17"/>
      <c r="I142" s="17"/>
      <c r="J142" s="17"/>
      <c r="K142" s="17"/>
      <c r="L142" s="44"/>
    </row>
    <row r="143" spans="1:12" s="10" customFormat="1" ht="28.5" customHeight="1" x14ac:dyDescent="0.35">
      <c r="A143" s="99" t="s">
        <v>147</v>
      </c>
      <c r="B143" s="2">
        <v>8.6999999999999993</v>
      </c>
      <c r="C143" s="63">
        <v>8</v>
      </c>
      <c r="D143" s="63"/>
      <c r="E143" s="25">
        <v>337</v>
      </c>
      <c r="F143" s="17">
        <v>226</v>
      </c>
      <c r="G143" s="17"/>
      <c r="H143" s="17"/>
      <c r="I143" s="17"/>
      <c r="J143" s="17"/>
      <c r="K143" s="17"/>
      <c r="L143" s="44"/>
    </row>
    <row r="144" spans="1:12" s="10" customFormat="1" ht="28.5" customHeight="1" x14ac:dyDescent="0.35">
      <c r="A144" s="99" t="s">
        <v>148</v>
      </c>
      <c r="B144" s="2">
        <v>8.52</v>
      </c>
      <c r="C144" s="2">
        <v>5</v>
      </c>
      <c r="D144" s="2"/>
      <c r="E144" s="25">
        <v>346</v>
      </c>
      <c r="F144" s="17">
        <v>232</v>
      </c>
      <c r="G144" s="17"/>
      <c r="H144" s="17"/>
      <c r="I144" s="17"/>
      <c r="J144" s="17"/>
      <c r="K144" s="17"/>
      <c r="L144" s="44"/>
    </row>
    <row r="145" spans="1:12" s="10" customFormat="1" ht="28.5" customHeight="1" x14ac:dyDescent="0.35">
      <c r="A145" s="99" t="s">
        <v>149</v>
      </c>
      <c r="B145" s="2">
        <v>8.6199999999999992</v>
      </c>
      <c r="C145" s="63">
        <v>5</v>
      </c>
      <c r="D145" s="63"/>
      <c r="E145" s="25">
        <v>350</v>
      </c>
      <c r="F145" s="17">
        <v>235</v>
      </c>
      <c r="G145" s="17"/>
      <c r="H145" s="17"/>
      <c r="I145" s="17"/>
      <c r="J145" s="17"/>
      <c r="K145" s="17"/>
      <c r="L145" s="44"/>
    </row>
    <row r="146" spans="1:12" s="10" customFormat="1" ht="28.5" customHeight="1" x14ac:dyDescent="0.35">
      <c r="A146" s="99" t="s">
        <v>150</v>
      </c>
      <c r="B146" s="2">
        <v>8.3000000000000007</v>
      </c>
      <c r="C146" s="63">
        <v>5</v>
      </c>
      <c r="D146" s="63"/>
      <c r="E146" s="25">
        <v>344</v>
      </c>
      <c r="F146" s="17">
        <v>231</v>
      </c>
      <c r="G146" s="17"/>
      <c r="H146" s="17"/>
      <c r="I146" s="17"/>
      <c r="J146" s="17"/>
      <c r="K146" s="17"/>
      <c r="L146" s="44"/>
    </row>
    <row r="147" spans="1:12" s="10" customFormat="1" ht="28.5" customHeight="1" x14ac:dyDescent="0.35">
      <c r="A147" s="99" t="s">
        <v>151</v>
      </c>
      <c r="B147" s="2">
        <v>8.4499999999999993</v>
      </c>
      <c r="C147" s="2">
        <v>6</v>
      </c>
      <c r="D147" s="2"/>
      <c r="E147" s="25">
        <v>381</v>
      </c>
      <c r="F147" s="17">
        <v>235</v>
      </c>
      <c r="G147" s="17"/>
      <c r="H147" s="17"/>
      <c r="I147" s="17"/>
      <c r="J147" s="17"/>
      <c r="K147" s="17"/>
      <c r="L147" s="44"/>
    </row>
    <row r="148" spans="1:12" s="10" customFormat="1" ht="28.5" customHeight="1" x14ac:dyDescent="0.35">
      <c r="A148" s="99" t="s">
        <v>152</v>
      </c>
      <c r="B148" s="2">
        <v>8.58</v>
      </c>
      <c r="C148" s="2">
        <v>6</v>
      </c>
      <c r="D148" s="2"/>
      <c r="E148" s="25">
        <v>358</v>
      </c>
      <c r="F148" s="17">
        <v>240</v>
      </c>
      <c r="G148" s="17"/>
      <c r="H148" s="17"/>
      <c r="I148" s="17"/>
      <c r="J148" s="17"/>
      <c r="K148" s="17"/>
      <c r="L148" s="44"/>
    </row>
    <row r="149" spans="1:12" s="10" customFormat="1" ht="28.5" customHeight="1" x14ac:dyDescent="0.35">
      <c r="A149" s="99" t="s">
        <v>153</v>
      </c>
      <c r="B149" s="2">
        <v>8.49</v>
      </c>
      <c r="C149" s="63">
        <v>6</v>
      </c>
      <c r="D149" s="63"/>
      <c r="E149" s="25">
        <v>347</v>
      </c>
      <c r="F149" s="17">
        <v>233</v>
      </c>
      <c r="G149" s="17"/>
      <c r="H149" s="17"/>
      <c r="I149" s="17"/>
      <c r="J149" s="17"/>
      <c r="K149" s="17"/>
      <c r="L149" s="44"/>
    </row>
    <row r="150" spans="1:12" s="10" customFormat="1" ht="28.5" customHeight="1" x14ac:dyDescent="0.35">
      <c r="A150" s="99" t="s">
        <v>154</v>
      </c>
      <c r="B150" s="2">
        <v>8.44</v>
      </c>
      <c r="C150" s="63">
        <v>5</v>
      </c>
      <c r="D150" s="63"/>
      <c r="E150" s="25">
        <v>337</v>
      </c>
      <c r="F150" s="17">
        <v>226</v>
      </c>
      <c r="G150" s="17"/>
      <c r="H150" s="17"/>
      <c r="I150" s="17"/>
      <c r="J150" s="17"/>
      <c r="K150" s="17"/>
      <c r="L150" s="44"/>
    </row>
    <row r="151" spans="1:12" s="10" customFormat="1" ht="28.5" customHeight="1" x14ac:dyDescent="0.35">
      <c r="A151" s="99" t="s">
        <v>155</v>
      </c>
      <c r="B151" s="2">
        <v>8.77</v>
      </c>
      <c r="C151" s="63">
        <v>5</v>
      </c>
      <c r="D151" s="63"/>
      <c r="E151" s="25">
        <v>307</v>
      </c>
      <c r="F151" s="25">
        <v>206</v>
      </c>
      <c r="G151" s="25"/>
      <c r="H151" s="25"/>
      <c r="I151" s="25"/>
      <c r="J151" s="25"/>
      <c r="K151" s="17"/>
      <c r="L151" s="44"/>
    </row>
    <row r="152" spans="1:12" s="10" customFormat="1" ht="28.5" customHeight="1" x14ac:dyDescent="0.35">
      <c r="A152" s="99" t="s">
        <v>156</v>
      </c>
      <c r="B152" s="2">
        <v>8</v>
      </c>
      <c r="C152" s="63">
        <v>5</v>
      </c>
      <c r="D152" s="63"/>
      <c r="E152" s="25">
        <v>342</v>
      </c>
      <c r="F152" s="25">
        <v>229</v>
      </c>
      <c r="G152" s="25"/>
      <c r="H152" s="25"/>
      <c r="I152" s="25"/>
      <c r="J152" s="25"/>
      <c r="K152" s="17"/>
      <c r="L152" s="44"/>
    </row>
    <row r="153" spans="1:12" s="10" customFormat="1" ht="28.5" customHeight="1" x14ac:dyDescent="0.35">
      <c r="A153" s="99" t="s">
        <v>157</v>
      </c>
      <c r="B153" s="2">
        <v>8.57</v>
      </c>
      <c r="C153" s="63">
        <v>7</v>
      </c>
      <c r="D153" s="63"/>
      <c r="E153" s="25"/>
      <c r="F153" s="17">
        <v>228</v>
      </c>
      <c r="G153" s="25"/>
      <c r="H153" s="17"/>
      <c r="I153" s="17"/>
      <c r="J153" s="17"/>
      <c r="K153" s="17"/>
      <c r="L153" s="44"/>
    </row>
    <row r="154" spans="1:12" s="10" customFormat="1" ht="28.5" customHeight="1" x14ac:dyDescent="0.35">
      <c r="A154" s="70" t="s">
        <v>158</v>
      </c>
      <c r="B154" s="2">
        <v>8.75</v>
      </c>
      <c r="C154" s="63">
        <v>6</v>
      </c>
      <c r="D154" s="63"/>
      <c r="E154" s="25">
        <v>337</v>
      </c>
      <c r="F154" s="17">
        <v>226</v>
      </c>
      <c r="G154" s="17"/>
      <c r="H154" s="17"/>
      <c r="I154" s="17"/>
      <c r="J154" s="17"/>
      <c r="K154" s="17"/>
      <c r="L154" s="44"/>
    </row>
    <row r="155" spans="1:12" s="10" customFormat="1" ht="28.5" customHeight="1" x14ac:dyDescent="0.35">
      <c r="A155" s="99" t="s">
        <v>159</v>
      </c>
      <c r="B155" s="2">
        <v>8.7799999999999994</v>
      </c>
      <c r="C155" s="63">
        <v>7</v>
      </c>
      <c r="D155" s="63"/>
      <c r="E155" s="25">
        <v>329</v>
      </c>
      <c r="F155" s="17">
        <v>221</v>
      </c>
      <c r="G155" s="17"/>
      <c r="H155" s="17"/>
      <c r="I155" s="17"/>
      <c r="J155" s="17"/>
      <c r="K155" s="17"/>
      <c r="L155" s="44"/>
    </row>
    <row r="156" spans="1:12" s="10" customFormat="1" ht="28.5" customHeight="1" thickBot="1" x14ac:dyDescent="0.4">
      <c r="A156" s="109" t="s">
        <v>160</v>
      </c>
      <c r="B156" s="2">
        <v>8.56</v>
      </c>
      <c r="C156" s="63">
        <v>7</v>
      </c>
      <c r="D156" s="63"/>
      <c r="E156" s="25">
        <v>265</v>
      </c>
      <c r="F156" s="25">
        <v>178</v>
      </c>
      <c r="G156" s="25"/>
      <c r="H156" s="25"/>
      <c r="I156" s="25"/>
      <c r="J156" s="25"/>
      <c r="K156" s="25"/>
      <c r="L156" s="44"/>
    </row>
    <row r="157" spans="1:12" s="10" customFormat="1" ht="28.5" customHeight="1" x14ac:dyDescent="0.35">
      <c r="A157" s="108" t="s">
        <v>161</v>
      </c>
      <c r="B157" s="1">
        <v>8.57</v>
      </c>
      <c r="C157" s="1">
        <v>6</v>
      </c>
      <c r="D157" s="1"/>
      <c r="E157" s="76">
        <v>311</v>
      </c>
      <c r="F157" s="12">
        <v>209</v>
      </c>
      <c r="G157" s="12"/>
      <c r="H157" s="12"/>
      <c r="I157" s="12"/>
      <c r="J157" s="12"/>
      <c r="K157" s="12"/>
      <c r="L157" s="77"/>
    </row>
    <row r="158" spans="1:12" s="10" customFormat="1" ht="28.5" customHeight="1" x14ac:dyDescent="0.35">
      <c r="A158" s="99" t="s">
        <v>162</v>
      </c>
      <c r="B158" s="2">
        <v>8.68</v>
      </c>
      <c r="C158" s="63">
        <v>7</v>
      </c>
      <c r="D158" s="63"/>
      <c r="E158" s="25">
        <v>338</v>
      </c>
      <c r="F158" s="17">
        <v>227</v>
      </c>
      <c r="G158" s="17"/>
      <c r="H158" s="17"/>
      <c r="I158" s="17"/>
      <c r="J158" s="17"/>
      <c r="K158" s="17"/>
      <c r="L158" s="75"/>
    </row>
    <row r="159" spans="1:12" s="10" customFormat="1" ht="28.5" customHeight="1" x14ac:dyDescent="0.35">
      <c r="A159" s="99" t="s">
        <v>163</v>
      </c>
      <c r="B159" s="2">
        <v>8.3000000000000007</v>
      </c>
      <c r="C159" s="63">
        <v>7</v>
      </c>
      <c r="D159" s="63"/>
      <c r="E159" s="25">
        <v>314</v>
      </c>
      <c r="F159" s="17">
        <v>211</v>
      </c>
      <c r="G159" s="17"/>
      <c r="H159" s="17"/>
      <c r="I159" s="17"/>
      <c r="J159" s="17"/>
      <c r="K159" s="17"/>
      <c r="L159" s="75"/>
    </row>
    <row r="160" spans="1:12" s="10" customFormat="1" ht="28.5" customHeight="1" x14ac:dyDescent="0.35">
      <c r="A160" s="99" t="s">
        <v>164</v>
      </c>
      <c r="B160" s="2">
        <v>8.26</v>
      </c>
      <c r="C160" s="63">
        <v>8</v>
      </c>
      <c r="D160" s="63"/>
      <c r="E160" s="25">
        <v>301</v>
      </c>
      <c r="F160" s="25">
        <v>202</v>
      </c>
      <c r="G160" s="17"/>
      <c r="H160" s="17"/>
      <c r="I160" s="17"/>
      <c r="J160" s="17"/>
      <c r="K160" s="17"/>
      <c r="L160" s="75"/>
    </row>
    <row r="161" spans="1:12" s="10" customFormat="1" ht="28.5" customHeight="1" x14ac:dyDescent="0.35">
      <c r="A161" s="99" t="s">
        <v>165</v>
      </c>
      <c r="B161" s="2">
        <v>8.35</v>
      </c>
      <c r="C161" s="63">
        <v>7</v>
      </c>
      <c r="D161" s="63"/>
      <c r="E161" s="25">
        <v>325</v>
      </c>
      <c r="F161" s="25">
        <v>218</v>
      </c>
      <c r="G161" s="17"/>
      <c r="H161" s="17"/>
      <c r="I161" s="17"/>
      <c r="J161" s="17"/>
      <c r="K161" s="17"/>
      <c r="L161" s="75"/>
    </row>
    <row r="162" spans="1:12" s="10" customFormat="1" ht="28.5" customHeight="1" x14ac:dyDescent="0.35">
      <c r="A162" s="99" t="s">
        <v>166</v>
      </c>
      <c r="B162" s="2">
        <v>8.25</v>
      </c>
      <c r="C162" s="63">
        <v>6</v>
      </c>
      <c r="D162" s="63"/>
      <c r="E162" s="25">
        <v>294</v>
      </c>
      <c r="F162" s="17">
        <v>197</v>
      </c>
      <c r="G162" s="17"/>
      <c r="H162" s="17"/>
      <c r="I162" s="17"/>
      <c r="J162" s="17"/>
      <c r="K162" s="17"/>
      <c r="L162" s="75"/>
    </row>
    <row r="163" spans="1:12" s="10" customFormat="1" ht="28.5" customHeight="1" x14ac:dyDescent="0.35">
      <c r="A163" s="99" t="s">
        <v>167</v>
      </c>
      <c r="B163" s="2">
        <v>8.65</v>
      </c>
      <c r="C163" s="63">
        <v>7</v>
      </c>
      <c r="D163" s="63"/>
      <c r="E163" s="25">
        <v>285</v>
      </c>
      <c r="F163" s="17">
        <v>191</v>
      </c>
      <c r="G163" s="17"/>
      <c r="H163" s="17"/>
      <c r="I163" s="17"/>
      <c r="J163" s="17"/>
      <c r="K163" s="17"/>
      <c r="L163" s="44"/>
    </row>
    <row r="164" spans="1:12" s="10" customFormat="1" ht="28.5" customHeight="1" x14ac:dyDescent="0.35">
      <c r="A164" s="99" t="s">
        <v>168</v>
      </c>
      <c r="B164" s="2">
        <v>8.36</v>
      </c>
      <c r="C164" s="2">
        <v>5</v>
      </c>
      <c r="D164" s="2"/>
      <c r="E164" s="25">
        <v>296</v>
      </c>
      <c r="F164" s="25">
        <v>198</v>
      </c>
      <c r="G164" s="25"/>
      <c r="H164" s="25"/>
      <c r="I164" s="25"/>
      <c r="J164" s="17"/>
      <c r="K164" s="17"/>
      <c r="L164" s="44"/>
    </row>
    <row r="165" spans="1:12" s="10" customFormat="1" ht="28.5" customHeight="1" x14ac:dyDescent="0.35">
      <c r="A165" s="99" t="s">
        <v>169</v>
      </c>
      <c r="B165" s="2">
        <v>8.43</v>
      </c>
      <c r="C165" s="63">
        <v>7</v>
      </c>
      <c r="D165" s="63"/>
      <c r="E165" s="25">
        <v>247</v>
      </c>
      <c r="F165" s="17">
        <v>166</v>
      </c>
      <c r="G165" s="17"/>
      <c r="H165" s="17"/>
      <c r="I165" s="17"/>
      <c r="J165" s="17"/>
      <c r="K165" s="17"/>
      <c r="L165" s="44"/>
    </row>
    <row r="166" spans="1:12" s="10" customFormat="1" ht="28.5" customHeight="1" x14ac:dyDescent="0.35">
      <c r="A166" s="99" t="s">
        <v>170</v>
      </c>
      <c r="B166" s="2">
        <v>8.3699999999999992</v>
      </c>
      <c r="C166" s="63">
        <v>7</v>
      </c>
      <c r="D166" s="63"/>
      <c r="E166" s="25">
        <v>250</v>
      </c>
      <c r="F166" s="17">
        <v>168</v>
      </c>
      <c r="G166" s="17"/>
      <c r="H166" s="17"/>
      <c r="I166" s="17"/>
      <c r="J166" s="17"/>
      <c r="K166" s="17"/>
      <c r="L166" s="44"/>
    </row>
    <row r="167" spans="1:12" s="10" customFormat="1" ht="28.5" customHeight="1" x14ac:dyDescent="0.35">
      <c r="A167" s="99" t="s">
        <v>171</v>
      </c>
      <c r="B167" s="2">
        <v>8.1999999999999993</v>
      </c>
      <c r="C167" s="63">
        <v>5</v>
      </c>
      <c r="D167" s="63"/>
      <c r="E167" s="25">
        <v>273</v>
      </c>
      <c r="F167" s="17">
        <v>183</v>
      </c>
      <c r="G167" s="17"/>
      <c r="H167" s="17"/>
      <c r="I167" s="17"/>
      <c r="J167" s="17"/>
      <c r="K167" s="17"/>
      <c r="L167" s="44"/>
    </row>
    <row r="168" spans="1:12" s="10" customFormat="1" ht="28.5" customHeight="1" x14ac:dyDescent="0.35">
      <c r="A168" s="99" t="s">
        <v>172</v>
      </c>
      <c r="B168" s="2">
        <v>8.4600000000000009</v>
      </c>
      <c r="C168" s="2">
        <v>5</v>
      </c>
      <c r="D168" s="2"/>
      <c r="E168" s="25">
        <v>409</v>
      </c>
      <c r="F168" s="17">
        <v>274</v>
      </c>
      <c r="G168" s="17"/>
      <c r="H168" s="17"/>
      <c r="I168" s="17"/>
      <c r="J168" s="17"/>
      <c r="K168" s="17"/>
      <c r="L168" s="44"/>
    </row>
    <row r="169" spans="1:12" s="10" customFormat="1" ht="28.5" customHeight="1" x14ac:dyDescent="0.35">
      <c r="A169" s="99" t="s">
        <v>173</v>
      </c>
      <c r="B169" s="2">
        <v>8.17</v>
      </c>
      <c r="C169" s="63">
        <v>5</v>
      </c>
      <c r="D169" s="63"/>
      <c r="E169" s="25">
        <v>254</v>
      </c>
      <c r="F169" s="17">
        <v>172</v>
      </c>
      <c r="G169" s="17"/>
      <c r="H169" s="17"/>
      <c r="I169" s="17"/>
      <c r="J169" s="17"/>
      <c r="K169" s="17"/>
      <c r="L169" s="44"/>
    </row>
    <row r="170" spans="1:12" s="10" customFormat="1" ht="28.5" customHeight="1" x14ac:dyDescent="0.35">
      <c r="A170" s="99" t="s">
        <v>174</v>
      </c>
      <c r="B170" s="2">
        <v>8.1999999999999993</v>
      </c>
      <c r="C170" s="2">
        <v>5</v>
      </c>
      <c r="D170" s="2"/>
      <c r="E170" s="25">
        <v>253</v>
      </c>
      <c r="F170" s="17">
        <v>170</v>
      </c>
      <c r="G170" s="17"/>
      <c r="H170" s="17"/>
      <c r="I170" s="17"/>
      <c r="J170" s="17"/>
      <c r="K170" s="17"/>
      <c r="L170" s="44"/>
    </row>
    <row r="171" spans="1:12" s="10" customFormat="1" ht="28.5" customHeight="1" x14ac:dyDescent="0.35">
      <c r="A171" s="99" t="s">
        <v>175</v>
      </c>
      <c r="B171" s="2">
        <v>8.56</v>
      </c>
      <c r="C171" s="63">
        <v>5</v>
      </c>
      <c r="D171" s="63"/>
      <c r="E171" s="25">
        <v>265</v>
      </c>
      <c r="F171" s="17">
        <v>178</v>
      </c>
      <c r="G171" s="17"/>
      <c r="H171" s="17"/>
      <c r="I171" s="17"/>
      <c r="J171" s="17"/>
      <c r="K171" s="17"/>
      <c r="L171" s="44"/>
    </row>
    <row r="172" spans="1:12" s="10" customFormat="1" ht="28.5" customHeight="1" x14ac:dyDescent="0.35">
      <c r="A172" s="99" t="s">
        <v>176</v>
      </c>
      <c r="B172" s="2">
        <v>8.59</v>
      </c>
      <c r="C172" s="63">
        <v>6</v>
      </c>
      <c r="D172" s="63"/>
      <c r="E172" s="25">
        <v>252</v>
      </c>
      <c r="F172" s="17">
        <v>169</v>
      </c>
      <c r="G172" s="17"/>
      <c r="H172" s="17"/>
      <c r="I172" s="17"/>
      <c r="J172" s="17"/>
      <c r="K172" s="17"/>
      <c r="L172" s="44"/>
    </row>
    <row r="173" spans="1:12" s="10" customFormat="1" ht="28.5" customHeight="1" x14ac:dyDescent="0.35">
      <c r="A173" s="99" t="s">
        <v>177</v>
      </c>
      <c r="B173" s="2">
        <v>8.49</v>
      </c>
      <c r="C173" s="2">
        <v>5</v>
      </c>
      <c r="D173" s="2"/>
      <c r="E173" s="25">
        <v>270</v>
      </c>
      <c r="F173" s="17">
        <v>181</v>
      </c>
      <c r="G173" s="17"/>
      <c r="H173" s="17"/>
      <c r="I173" s="17"/>
      <c r="J173" s="17"/>
      <c r="K173" s="17"/>
      <c r="L173" s="44"/>
    </row>
    <row r="174" spans="1:12" s="10" customFormat="1" ht="28.5" customHeight="1" x14ac:dyDescent="0.35">
      <c r="A174" s="99" t="s">
        <v>178</v>
      </c>
      <c r="B174" s="2">
        <v>8.6999999999999993</v>
      </c>
      <c r="C174" s="2">
        <v>5</v>
      </c>
      <c r="D174" s="2"/>
      <c r="E174" s="25">
        <v>261</v>
      </c>
      <c r="F174" s="17">
        <v>175</v>
      </c>
      <c r="G174" s="17"/>
      <c r="H174" s="17"/>
      <c r="I174" s="17"/>
      <c r="J174" s="17"/>
      <c r="K174" s="17"/>
      <c r="L174" s="44"/>
    </row>
    <row r="175" spans="1:12" s="10" customFormat="1" ht="28.5" customHeight="1" x14ac:dyDescent="0.35">
      <c r="A175" s="99" t="s">
        <v>179</v>
      </c>
      <c r="B175" s="2">
        <v>8.4499999999999993</v>
      </c>
      <c r="C175" s="63">
        <v>5</v>
      </c>
      <c r="D175" s="63"/>
      <c r="E175" s="25">
        <v>176</v>
      </c>
      <c r="F175" s="17">
        <v>118</v>
      </c>
      <c r="G175" s="17"/>
      <c r="H175" s="17"/>
      <c r="I175" s="17"/>
      <c r="J175" s="17"/>
      <c r="K175" s="17"/>
      <c r="L175" s="44"/>
    </row>
    <row r="176" spans="1:12" s="10" customFormat="1" ht="28.5" customHeight="1" x14ac:dyDescent="0.35">
      <c r="A176" s="99" t="s">
        <v>180</v>
      </c>
      <c r="B176" s="2">
        <v>8.4</v>
      </c>
      <c r="C176" s="63">
        <v>6</v>
      </c>
      <c r="D176" s="63"/>
      <c r="E176" s="25">
        <v>286</v>
      </c>
      <c r="F176" s="17">
        <v>192</v>
      </c>
      <c r="G176" s="17"/>
      <c r="H176" s="17"/>
      <c r="I176" s="17"/>
      <c r="J176" s="17"/>
      <c r="K176" s="17"/>
      <c r="L176" s="44"/>
    </row>
    <row r="177" spans="1:12" s="10" customFormat="1" ht="28.5" customHeight="1" x14ac:dyDescent="0.35">
      <c r="A177" s="99" t="s">
        <v>181</v>
      </c>
      <c r="B177" s="2">
        <v>8.85</v>
      </c>
      <c r="C177" s="63">
        <v>6</v>
      </c>
      <c r="D177" s="63"/>
      <c r="E177" s="25">
        <v>301</v>
      </c>
      <c r="F177" s="25">
        <v>202</v>
      </c>
      <c r="G177" s="25"/>
      <c r="H177" s="25"/>
      <c r="I177" s="25"/>
      <c r="J177" s="25"/>
      <c r="K177" s="17"/>
      <c r="L177" s="44"/>
    </row>
    <row r="178" spans="1:12" s="10" customFormat="1" ht="28.5" customHeight="1" x14ac:dyDescent="0.35">
      <c r="A178" s="99" t="s">
        <v>182</v>
      </c>
      <c r="B178" s="2">
        <v>8.4600000000000009</v>
      </c>
      <c r="C178" s="63">
        <v>8</v>
      </c>
      <c r="D178" s="63"/>
      <c r="E178" s="25">
        <v>292</v>
      </c>
      <c r="F178" s="25">
        <v>196</v>
      </c>
      <c r="G178" s="25"/>
      <c r="H178" s="25"/>
      <c r="I178" s="25"/>
      <c r="J178" s="25"/>
      <c r="K178" s="17"/>
      <c r="L178" s="44"/>
    </row>
    <row r="179" spans="1:12" s="10" customFormat="1" ht="28.5" customHeight="1" thickBot="1" x14ac:dyDescent="0.4">
      <c r="A179" s="109" t="s">
        <v>183</v>
      </c>
      <c r="B179" s="2">
        <v>8.81</v>
      </c>
      <c r="C179" s="63">
        <v>7</v>
      </c>
      <c r="D179" s="63"/>
      <c r="E179" s="25">
        <v>264</v>
      </c>
      <c r="F179" s="17">
        <v>177</v>
      </c>
      <c r="G179" s="25"/>
      <c r="H179" s="17"/>
      <c r="I179" s="17"/>
      <c r="J179" s="17"/>
      <c r="K179" s="17"/>
      <c r="L179" s="44"/>
    </row>
    <row r="180" spans="1:12" s="10" customFormat="1" ht="28.5" customHeight="1" x14ac:dyDescent="0.35">
      <c r="A180" s="108" t="s">
        <v>184</v>
      </c>
      <c r="B180" s="1">
        <v>8.89</v>
      </c>
      <c r="C180" s="1">
        <v>5</v>
      </c>
      <c r="D180" s="1"/>
      <c r="E180" s="76">
        <v>274</v>
      </c>
      <c r="F180" s="12">
        <v>184</v>
      </c>
      <c r="G180" s="12"/>
      <c r="H180" s="12"/>
      <c r="I180" s="12"/>
      <c r="J180" s="12"/>
      <c r="K180" s="12"/>
      <c r="L180" s="77"/>
    </row>
    <row r="181" spans="1:12" s="10" customFormat="1" ht="28.5" customHeight="1" x14ac:dyDescent="0.35">
      <c r="A181" s="99" t="s">
        <v>185</v>
      </c>
      <c r="B181" s="2">
        <v>8.4600000000000009</v>
      </c>
      <c r="C181" s="63">
        <v>5</v>
      </c>
      <c r="D181" s="63"/>
      <c r="E181" s="25">
        <v>282</v>
      </c>
      <c r="F181" s="17">
        <v>189</v>
      </c>
      <c r="G181" s="17"/>
      <c r="H181" s="17"/>
      <c r="I181" s="17"/>
      <c r="J181" s="17"/>
      <c r="K181" s="17"/>
      <c r="L181" s="75"/>
    </row>
    <row r="182" spans="1:12" s="10" customFormat="1" ht="28.5" customHeight="1" x14ac:dyDescent="0.35">
      <c r="A182" s="99" t="s">
        <v>186</v>
      </c>
      <c r="B182" s="2">
        <v>8.56</v>
      </c>
      <c r="C182" s="63">
        <v>5</v>
      </c>
      <c r="D182" s="63"/>
      <c r="E182" s="25">
        <v>279</v>
      </c>
      <c r="F182" s="17">
        <v>187</v>
      </c>
      <c r="G182" s="17"/>
      <c r="H182" s="17"/>
      <c r="I182" s="17"/>
      <c r="J182" s="17"/>
      <c r="K182" s="17"/>
      <c r="L182" s="75"/>
    </row>
    <row r="183" spans="1:12" s="10" customFormat="1" ht="28.5" customHeight="1" x14ac:dyDescent="0.35">
      <c r="A183" s="99" t="s">
        <v>187</v>
      </c>
      <c r="B183" s="2">
        <v>8.66</v>
      </c>
      <c r="C183" s="63">
        <v>7</v>
      </c>
      <c r="D183" s="63"/>
      <c r="E183" s="25">
        <v>250</v>
      </c>
      <c r="F183" s="25">
        <v>168</v>
      </c>
      <c r="G183" s="17"/>
      <c r="H183" s="17"/>
      <c r="I183" s="17"/>
      <c r="J183" s="17"/>
      <c r="K183" s="17"/>
      <c r="L183" s="75"/>
    </row>
    <row r="184" spans="1:12" s="10" customFormat="1" ht="28.5" customHeight="1" x14ac:dyDescent="0.35">
      <c r="A184" s="99" t="s">
        <v>188</v>
      </c>
      <c r="B184" s="2">
        <v>8.7799999999999994</v>
      </c>
      <c r="C184" s="63">
        <v>7</v>
      </c>
      <c r="D184" s="63"/>
      <c r="E184" s="25">
        <v>253</v>
      </c>
      <c r="F184" s="25">
        <v>170</v>
      </c>
      <c r="G184" s="17"/>
      <c r="H184" s="17"/>
      <c r="I184" s="17"/>
      <c r="J184" s="17"/>
      <c r="K184" s="17"/>
      <c r="L184" s="75"/>
    </row>
    <row r="185" spans="1:12" s="10" customFormat="1" ht="28.5" customHeight="1" x14ac:dyDescent="0.35">
      <c r="A185" s="99" t="s">
        <v>189</v>
      </c>
      <c r="B185" s="118" t="s">
        <v>190</v>
      </c>
      <c r="C185" s="119"/>
      <c r="D185" s="119"/>
      <c r="E185" s="119"/>
      <c r="F185" s="119"/>
      <c r="G185" s="119"/>
      <c r="H185" s="119"/>
      <c r="I185" s="119"/>
      <c r="J185" s="119"/>
      <c r="K185" s="119"/>
      <c r="L185" s="120"/>
    </row>
    <row r="186" spans="1:12" s="10" customFormat="1" ht="28.5" customHeight="1" x14ac:dyDescent="0.35">
      <c r="A186" s="99" t="s">
        <v>191</v>
      </c>
      <c r="B186" s="118" t="s">
        <v>190</v>
      </c>
      <c r="C186" s="119"/>
      <c r="D186" s="119"/>
      <c r="E186" s="119"/>
      <c r="F186" s="119"/>
      <c r="G186" s="119"/>
      <c r="H186" s="119"/>
      <c r="I186" s="119"/>
      <c r="J186" s="119"/>
      <c r="K186" s="119"/>
      <c r="L186" s="120"/>
    </row>
    <row r="187" spans="1:12" s="10" customFormat="1" ht="28.5" customHeight="1" x14ac:dyDescent="0.35">
      <c r="A187" s="99" t="s">
        <v>192</v>
      </c>
      <c r="B187" s="2">
        <v>8.09</v>
      </c>
      <c r="C187" s="2">
        <v>8</v>
      </c>
      <c r="D187" s="2"/>
      <c r="E187" s="25">
        <v>306</v>
      </c>
      <c r="F187" s="25">
        <v>205</v>
      </c>
      <c r="G187" s="25"/>
      <c r="H187" s="25"/>
      <c r="I187" s="25"/>
      <c r="J187" s="17"/>
      <c r="K187" s="17"/>
      <c r="L187" s="44"/>
    </row>
    <row r="188" spans="1:12" s="10" customFormat="1" ht="28.5" customHeight="1" x14ac:dyDescent="0.35">
      <c r="A188" s="99" t="s">
        <v>193</v>
      </c>
      <c r="B188" s="2">
        <v>8.58</v>
      </c>
      <c r="C188" s="63">
        <v>5</v>
      </c>
      <c r="D188" s="63"/>
      <c r="E188" s="25">
        <v>318</v>
      </c>
      <c r="F188" s="17">
        <v>213</v>
      </c>
      <c r="G188" s="17"/>
      <c r="H188" s="17"/>
      <c r="I188" s="17"/>
      <c r="J188" s="17"/>
      <c r="K188" s="17"/>
      <c r="L188" s="44"/>
    </row>
    <row r="189" spans="1:12" s="10" customFormat="1" ht="28.5" customHeight="1" x14ac:dyDescent="0.35">
      <c r="A189" s="99" t="s">
        <v>194</v>
      </c>
      <c r="B189" s="2">
        <v>8.6999999999999993</v>
      </c>
      <c r="C189" s="63">
        <v>7</v>
      </c>
      <c r="D189" s="63"/>
      <c r="E189" s="25">
        <v>262</v>
      </c>
      <c r="F189" s="17">
        <v>176</v>
      </c>
      <c r="G189" s="17"/>
      <c r="H189" s="17"/>
      <c r="I189" s="17"/>
      <c r="J189" s="17"/>
      <c r="K189" s="17"/>
      <c r="L189" s="44"/>
    </row>
    <row r="190" spans="1:12" s="10" customFormat="1" ht="28.5" customHeight="1" x14ac:dyDescent="0.35">
      <c r="A190" s="99" t="s">
        <v>195</v>
      </c>
      <c r="B190" s="2">
        <v>8.15</v>
      </c>
      <c r="C190" s="63">
        <v>7</v>
      </c>
      <c r="D190" s="63"/>
      <c r="E190" s="25">
        <v>301</v>
      </c>
      <c r="F190" s="17">
        <v>202</v>
      </c>
      <c r="G190" s="17"/>
      <c r="H190" s="17"/>
      <c r="I190" s="17"/>
      <c r="J190" s="17"/>
      <c r="K190" s="17"/>
      <c r="L190" s="44"/>
    </row>
    <row r="191" spans="1:12" s="10" customFormat="1" ht="28.5" customHeight="1" x14ac:dyDescent="0.35">
      <c r="A191" s="99" t="s">
        <v>196</v>
      </c>
      <c r="B191" s="2">
        <v>8.8699999999999992</v>
      </c>
      <c r="C191" s="2">
        <v>8</v>
      </c>
      <c r="D191" s="2"/>
      <c r="E191" s="25">
        <v>247</v>
      </c>
      <c r="F191" s="17">
        <v>166</v>
      </c>
      <c r="G191" s="17"/>
      <c r="H191" s="17"/>
      <c r="I191" s="17"/>
      <c r="J191" s="17"/>
      <c r="K191" s="17"/>
      <c r="L191" s="44"/>
    </row>
    <row r="192" spans="1:12" s="10" customFormat="1" ht="28.5" customHeight="1" x14ac:dyDescent="0.35">
      <c r="A192" s="99" t="s">
        <v>197</v>
      </c>
      <c r="B192" s="2">
        <v>8.6199999999999992</v>
      </c>
      <c r="C192" s="63">
        <v>6</v>
      </c>
      <c r="D192" s="63"/>
      <c r="E192" s="25">
        <v>310</v>
      </c>
      <c r="F192" s="17">
        <v>208</v>
      </c>
      <c r="G192" s="17"/>
      <c r="H192" s="17"/>
      <c r="I192" s="17"/>
      <c r="J192" s="17"/>
      <c r="K192" s="17"/>
      <c r="L192" s="44"/>
    </row>
    <row r="193" spans="1:12" s="10" customFormat="1" ht="28.5" customHeight="1" x14ac:dyDescent="0.35">
      <c r="A193" s="99" t="s">
        <v>198</v>
      </c>
      <c r="B193" s="2">
        <v>8.74</v>
      </c>
      <c r="C193" s="2">
        <v>8</v>
      </c>
      <c r="D193" s="2"/>
      <c r="E193" s="25">
        <v>237</v>
      </c>
      <c r="F193" s="17">
        <v>159</v>
      </c>
      <c r="G193" s="17"/>
      <c r="H193" s="17"/>
      <c r="I193" s="17"/>
      <c r="J193" s="17"/>
      <c r="K193" s="17"/>
      <c r="L193" s="44"/>
    </row>
    <row r="194" spans="1:12" s="10" customFormat="1" ht="28.5" customHeight="1" x14ac:dyDescent="0.35">
      <c r="A194" s="99" t="s">
        <v>199</v>
      </c>
      <c r="B194" s="2">
        <v>8.66</v>
      </c>
      <c r="C194" s="63">
        <v>6</v>
      </c>
      <c r="D194" s="63"/>
      <c r="E194" s="25">
        <v>291</v>
      </c>
      <c r="F194" s="17">
        <v>195</v>
      </c>
      <c r="G194" s="17"/>
      <c r="H194" s="17"/>
      <c r="I194" s="17"/>
      <c r="J194" s="17"/>
      <c r="K194" s="17"/>
      <c r="L194" s="44"/>
    </row>
    <row r="195" spans="1:12" s="10" customFormat="1" ht="28.5" customHeight="1" x14ac:dyDescent="0.35">
      <c r="A195" s="99" t="s">
        <v>200</v>
      </c>
      <c r="B195" s="2">
        <v>8.5399999999999991</v>
      </c>
      <c r="C195" s="63">
        <v>7</v>
      </c>
      <c r="D195" s="63"/>
      <c r="E195" s="25">
        <v>313</v>
      </c>
      <c r="F195" s="17">
        <v>210</v>
      </c>
      <c r="G195" s="17"/>
      <c r="H195" s="17"/>
      <c r="I195" s="17"/>
      <c r="J195" s="17"/>
      <c r="K195" s="17"/>
      <c r="L195" s="44"/>
    </row>
    <row r="196" spans="1:12" s="10" customFormat="1" ht="28.5" customHeight="1" x14ac:dyDescent="0.35">
      <c r="A196" s="99" t="s">
        <v>201</v>
      </c>
      <c r="B196" s="2">
        <v>8.4700000000000006</v>
      </c>
      <c r="C196" s="2">
        <v>5</v>
      </c>
      <c r="D196" s="2"/>
      <c r="E196" s="25">
        <v>335</v>
      </c>
      <c r="F196" s="17">
        <v>225</v>
      </c>
      <c r="G196" s="17"/>
      <c r="H196" s="17"/>
      <c r="I196" s="17"/>
      <c r="J196" s="17"/>
      <c r="K196" s="17"/>
      <c r="L196" s="44"/>
    </row>
    <row r="197" spans="1:12" s="10" customFormat="1" ht="28.5" customHeight="1" x14ac:dyDescent="0.35">
      <c r="A197" s="99" t="s">
        <v>202</v>
      </c>
      <c r="B197" s="2">
        <v>8.61</v>
      </c>
      <c r="C197" s="2">
        <v>4</v>
      </c>
      <c r="D197" s="2"/>
      <c r="E197" s="25">
        <v>286</v>
      </c>
      <c r="F197" s="17">
        <v>192</v>
      </c>
      <c r="G197" s="17"/>
      <c r="H197" s="17"/>
      <c r="I197" s="17"/>
      <c r="J197" s="17"/>
      <c r="K197" s="17"/>
      <c r="L197" s="44"/>
    </row>
    <row r="198" spans="1:12" s="10" customFormat="1" ht="28.5" customHeight="1" x14ac:dyDescent="0.35">
      <c r="A198" s="99" t="s">
        <v>203</v>
      </c>
      <c r="B198" s="2">
        <v>8.48</v>
      </c>
      <c r="C198" s="63">
        <v>6</v>
      </c>
      <c r="D198" s="63"/>
      <c r="E198" s="25">
        <v>300</v>
      </c>
      <c r="F198" s="17">
        <v>201</v>
      </c>
      <c r="G198" s="17"/>
      <c r="H198" s="17"/>
      <c r="I198" s="17"/>
      <c r="J198" s="17"/>
      <c r="K198" s="17"/>
      <c r="L198" s="44"/>
    </row>
    <row r="199" spans="1:12" s="10" customFormat="1" ht="28.5" customHeight="1" x14ac:dyDescent="0.35">
      <c r="A199" s="99" t="s">
        <v>204</v>
      </c>
      <c r="B199" s="2">
        <v>8.51</v>
      </c>
      <c r="C199" s="63">
        <v>5</v>
      </c>
      <c r="D199" s="63"/>
      <c r="E199" s="25">
        <v>263</v>
      </c>
      <c r="F199" s="17">
        <v>176</v>
      </c>
      <c r="G199" s="17"/>
      <c r="H199" s="17"/>
      <c r="I199" s="17"/>
      <c r="J199" s="17"/>
      <c r="K199" s="17"/>
      <c r="L199" s="44"/>
    </row>
    <row r="200" spans="1:12" s="10" customFormat="1" ht="28.5" customHeight="1" x14ac:dyDescent="0.35">
      <c r="A200" s="99" t="s">
        <v>205</v>
      </c>
      <c r="B200" s="2">
        <v>8.48</v>
      </c>
      <c r="C200" s="63">
        <v>5</v>
      </c>
      <c r="D200" s="63"/>
      <c r="E200" s="25">
        <v>300</v>
      </c>
      <c r="F200" s="25">
        <v>201</v>
      </c>
      <c r="G200" s="25"/>
      <c r="H200" s="25"/>
      <c r="I200" s="25"/>
      <c r="J200" s="25"/>
      <c r="K200" s="17"/>
      <c r="L200" s="44"/>
    </row>
    <row r="201" spans="1:12" s="10" customFormat="1" ht="28.5" customHeight="1" x14ac:dyDescent="0.35">
      <c r="A201" s="99" t="s">
        <v>206</v>
      </c>
      <c r="B201" s="2">
        <v>8.4</v>
      </c>
      <c r="C201" s="63">
        <v>6</v>
      </c>
      <c r="D201" s="63"/>
      <c r="E201" s="25">
        <v>297</v>
      </c>
      <c r="F201" s="25">
        <v>199</v>
      </c>
      <c r="G201" s="25"/>
      <c r="H201" s="25"/>
      <c r="I201" s="25"/>
      <c r="J201" s="25"/>
      <c r="K201" s="17"/>
      <c r="L201" s="44"/>
    </row>
    <row r="202" spans="1:12" s="10" customFormat="1" ht="28.5" customHeight="1" x14ac:dyDescent="0.35">
      <c r="A202" s="99" t="s">
        <v>207</v>
      </c>
      <c r="B202" s="2">
        <v>8.6</v>
      </c>
      <c r="C202" s="63">
        <v>5</v>
      </c>
      <c r="D202" s="63"/>
      <c r="E202" s="25">
        <v>275</v>
      </c>
      <c r="F202" s="17">
        <v>184</v>
      </c>
      <c r="G202" s="25"/>
      <c r="H202" s="17"/>
      <c r="I202" s="17"/>
      <c r="J202" s="17"/>
      <c r="K202" s="17"/>
      <c r="L202" s="44"/>
    </row>
    <row r="203" spans="1:12" s="10" customFormat="1" ht="28.5" customHeight="1" x14ac:dyDescent="0.35">
      <c r="A203" s="70" t="s">
        <v>208</v>
      </c>
      <c r="B203" s="2">
        <v>8.59</v>
      </c>
      <c r="C203" s="63">
        <v>5</v>
      </c>
      <c r="D203" s="63"/>
      <c r="E203" s="25">
        <v>315</v>
      </c>
      <c r="F203" s="17">
        <v>211</v>
      </c>
      <c r="G203" s="17"/>
      <c r="H203" s="17"/>
      <c r="I203" s="17"/>
      <c r="J203" s="17"/>
      <c r="K203" s="17"/>
      <c r="L203" s="44"/>
    </row>
    <row r="204" spans="1:12" s="10" customFormat="1" ht="28.5" customHeight="1" thickBot="1" x14ac:dyDescent="0.4">
      <c r="A204" s="109" t="s">
        <v>209</v>
      </c>
      <c r="B204" s="2">
        <v>8.36</v>
      </c>
      <c r="C204" s="63">
        <v>5</v>
      </c>
      <c r="D204" s="63"/>
      <c r="E204" s="25">
        <v>322</v>
      </c>
      <c r="F204" s="17">
        <v>216</v>
      </c>
      <c r="G204" s="17"/>
      <c r="H204" s="17"/>
      <c r="I204" s="17"/>
      <c r="J204" s="17"/>
      <c r="K204" s="17"/>
      <c r="L204" s="44"/>
    </row>
    <row r="205" spans="1:12" s="10" customFormat="1" ht="28.5" customHeight="1" x14ac:dyDescent="0.35">
      <c r="A205" s="108" t="s">
        <v>236</v>
      </c>
      <c r="B205" s="1">
        <v>8.52</v>
      </c>
      <c r="C205" s="1">
        <v>6</v>
      </c>
      <c r="D205" s="1"/>
      <c r="E205" s="76">
        <v>337</v>
      </c>
      <c r="F205" s="12">
        <v>226</v>
      </c>
      <c r="G205" s="12"/>
      <c r="H205" s="12"/>
      <c r="I205" s="12"/>
      <c r="J205" s="12"/>
      <c r="K205" s="12"/>
      <c r="L205" s="77"/>
    </row>
    <row r="206" spans="1:12" s="10" customFormat="1" ht="28.5" customHeight="1" x14ac:dyDescent="0.35">
      <c r="A206" s="99" t="s">
        <v>237</v>
      </c>
      <c r="B206" s="2">
        <v>8.5</v>
      </c>
      <c r="C206" s="63">
        <v>6</v>
      </c>
      <c r="D206" s="63"/>
      <c r="E206" s="25">
        <v>312</v>
      </c>
      <c r="F206" s="17">
        <v>209</v>
      </c>
      <c r="G206" s="17"/>
      <c r="H206" s="17"/>
      <c r="I206" s="17"/>
      <c r="J206" s="17"/>
      <c r="K206" s="17"/>
      <c r="L206" s="105"/>
    </row>
    <row r="207" spans="1:12" s="10" customFormat="1" ht="28.5" customHeight="1" x14ac:dyDescent="0.35">
      <c r="A207" s="99" t="s">
        <v>238</v>
      </c>
      <c r="B207" s="2">
        <v>8.65</v>
      </c>
      <c r="C207" s="63">
        <v>5</v>
      </c>
      <c r="D207" s="63"/>
      <c r="E207" s="25">
        <v>297</v>
      </c>
      <c r="F207" s="17">
        <v>199</v>
      </c>
      <c r="G207" s="17"/>
      <c r="H207" s="17"/>
      <c r="I207" s="17"/>
      <c r="J207" s="17"/>
      <c r="K207" s="17"/>
      <c r="L207" s="105"/>
    </row>
    <row r="208" spans="1:12" s="10" customFormat="1" ht="28.5" customHeight="1" x14ac:dyDescent="0.35">
      <c r="A208" s="99" t="s">
        <v>239</v>
      </c>
      <c r="B208" s="2">
        <v>8.6199999999999992</v>
      </c>
      <c r="C208" s="63">
        <v>6</v>
      </c>
      <c r="D208" s="63"/>
      <c r="E208" s="25">
        <v>321</v>
      </c>
      <c r="F208" s="25">
        <v>215</v>
      </c>
      <c r="G208" s="17"/>
      <c r="H208" s="17"/>
      <c r="I208" s="17"/>
      <c r="J208" s="17"/>
      <c r="K208" s="17"/>
      <c r="L208" s="105"/>
    </row>
    <row r="209" spans="1:12" s="10" customFormat="1" ht="28.5" customHeight="1" x14ac:dyDescent="0.35">
      <c r="A209" s="99" t="s">
        <v>240</v>
      </c>
      <c r="B209" s="2">
        <v>8.73</v>
      </c>
      <c r="C209" s="63">
        <v>5</v>
      </c>
      <c r="D209" s="63"/>
      <c r="E209" s="25">
        <v>319</v>
      </c>
      <c r="F209" s="25">
        <v>214</v>
      </c>
      <c r="G209" s="17"/>
      <c r="H209" s="17"/>
      <c r="I209" s="17"/>
      <c r="J209" s="17"/>
      <c r="K209" s="17"/>
      <c r="L209" s="105"/>
    </row>
    <row r="210" spans="1:12" s="10" customFormat="1" ht="28.5" customHeight="1" x14ac:dyDescent="0.35">
      <c r="A210" s="99" t="s">
        <v>241</v>
      </c>
      <c r="B210" s="2">
        <v>8.4600000000000009</v>
      </c>
      <c r="C210" s="63">
        <v>6</v>
      </c>
      <c r="D210" s="63"/>
      <c r="E210" s="25">
        <v>342</v>
      </c>
      <c r="F210" s="25">
        <v>229</v>
      </c>
      <c r="G210" s="106"/>
      <c r="H210" s="106"/>
      <c r="I210" s="106"/>
      <c r="J210" s="106"/>
      <c r="K210" s="106"/>
      <c r="L210" s="106"/>
    </row>
    <row r="211" spans="1:12" s="10" customFormat="1" ht="28.5" customHeight="1" x14ac:dyDescent="0.35">
      <c r="A211" s="99" t="s">
        <v>242</v>
      </c>
      <c r="B211" s="2">
        <v>8.5399999999999991</v>
      </c>
      <c r="C211" s="63">
        <v>6</v>
      </c>
      <c r="D211" s="63"/>
      <c r="E211" s="25">
        <v>313</v>
      </c>
      <c r="F211" s="25">
        <v>209</v>
      </c>
      <c r="G211" s="106"/>
      <c r="H211" s="106"/>
      <c r="I211" s="106"/>
      <c r="J211" s="106"/>
      <c r="K211" s="106"/>
      <c r="L211" s="106"/>
    </row>
    <row r="212" spans="1:12" s="10" customFormat="1" ht="28.5" customHeight="1" x14ac:dyDescent="0.35">
      <c r="A212" s="99" t="s">
        <v>243</v>
      </c>
      <c r="B212" s="2">
        <v>8.61</v>
      </c>
      <c r="C212" s="63">
        <v>5</v>
      </c>
      <c r="D212" s="63"/>
      <c r="E212" s="25">
        <v>332</v>
      </c>
      <c r="F212" s="25">
        <v>223</v>
      </c>
      <c r="G212" s="25"/>
      <c r="H212" s="25"/>
      <c r="I212" s="25"/>
      <c r="J212" s="17"/>
      <c r="K212" s="17"/>
      <c r="L212" s="57"/>
    </row>
    <row r="213" spans="1:12" s="10" customFormat="1" ht="28.5" customHeight="1" x14ac:dyDescent="0.35">
      <c r="A213" s="99" t="s">
        <v>244</v>
      </c>
      <c r="B213" s="2">
        <v>8.23</v>
      </c>
      <c r="C213" s="63">
        <v>6</v>
      </c>
      <c r="D213" s="63"/>
      <c r="E213" s="25">
        <v>306</v>
      </c>
      <c r="F213" s="17">
        <v>205</v>
      </c>
      <c r="G213" s="17"/>
      <c r="H213" s="17"/>
      <c r="I213" s="17"/>
      <c r="J213" s="17"/>
      <c r="K213" s="17"/>
      <c r="L213" s="57"/>
    </row>
    <row r="214" spans="1:12" s="10" customFormat="1" ht="28.5" customHeight="1" x14ac:dyDescent="0.35">
      <c r="A214" s="99" t="s">
        <v>245</v>
      </c>
      <c r="B214" s="2">
        <v>8.25</v>
      </c>
      <c r="C214" s="63">
        <v>6</v>
      </c>
      <c r="D214" s="63"/>
      <c r="E214" s="25">
        <v>320</v>
      </c>
      <c r="F214" s="17">
        <v>215</v>
      </c>
      <c r="G214" s="17"/>
      <c r="H214" s="17"/>
      <c r="I214" s="17"/>
      <c r="J214" s="17"/>
      <c r="K214" s="17"/>
      <c r="L214" s="57"/>
    </row>
    <row r="215" spans="1:12" s="10" customFormat="1" ht="28.5" customHeight="1" x14ac:dyDescent="0.35">
      <c r="A215" s="99" t="s">
        <v>246</v>
      </c>
      <c r="B215" s="2">
        <v>8.42</v>
      </c>
      <c r="C215" s="63">
        <v>5</v>
      </c>
      <c r="D215" s="63"/>
      <c r="E215" s="25">
        <v>305</v>
      </c>
      <c r="F215" s="17">
        <v>205</v>
      </c>
      <c r="G215" s="17"/>
      <c r="H215" s="17"/>
      <c r="I215" s="17"/>
      <c r="J215" s="17"/>
      <c r="K215" s="17"/>
      <c r="L215" s="57"/>
    </row>
    <row r="216" spans="1:12" s="10" customFormat="1" ht="28.5" customHeight="1" x14ac:dyDescent="0.35">
      <c r="A216" s="99" t="s">
        <v>247</v>
      </c>
      <c r="B216" s="2">
        <v>8.5500000000000007</v>
      </c>
      <c r="C216" s="2">
        <v>4</v>
      </c>
      <c r="D216" s="2"/>
      <c r="E216" s="25">
        <v>300</v>
      </c>
      <c r="F216" s="17">
        <v>201</v>
      </c>
      <c r="G216" s="17"/>
      <c r="H216" s="17"/>
      <c r="I216" s="17"/>
      <c r="J216" s="17"/>
      <c r="K216" s="17"/>
      <c r="L216" s="57"/>
    </row>
    <row r="217" spans="1:12" s="10" customFormat="1" ht="28.5" customHeight="1" x14ac:dyDescent="0.35">
      <c r="A217" s="99" t="s">
        <v>248</v>
      </c>
      <c r="B217" s="2">
        <v>8.83</v>
      </c>
      <c r="C217" s="63">
        <v>6</v>
      </c>
      <c r="D217" s="63"/>
      <c r="E217" s="25">
        <v>276</v>
      </c>
      <c r="F217" s="17">
        <v>185</v>
      </c>
      <c r="G217" s="17"/>
      <c r="H217" s="17"/>
      <c r="I217" s="17"/>
      <c r="J217" s="17"/>
      <c r="K217" s="17"/>
      <c r="L217" s="57"/>
    </row>
    <row r="218" spans="1:12" s="10" customFormat="1" ht="28.5" customHeight="1" x14ac:dyDescent="0.35">
      <c r="A218" s="99" t="s">
        <v>249</v>
      </c>
      <c r="B218" s="2">
        <v>8.36</v>
      </c>
      <c r="C218" s="2">
        <v>6</v>
      </c>
      <c r="D218" s="2"/>
      <c r="E218" s="25">
        <v>295</v>
      </c>
      <c r="F218" s="17">
        <v>198</v>
      </c>
      <c r="G218" s="17"/>
      <c r="H218" s="17"/>
      <c r="I218" s="17"/>
      <c r="J218" s="17"/>
      <c r="K218" s="17"/>
      <c r="L218" s="57"/>
    </row>
    <row r="219" spans="1:12" s="10" customFormat="1" ht="28.5" customHeight="1" x14ac:dyDescent="0.35">
      <c r="A219" s="99" t="s">
        <v>250</v>
      </c>
      <c r="B219" s="2">
        <v>8.58</v>
      </c>
      <c r="C219" s="63">
        <v>6</v>
      </c>
      <c r="D219" s="63"/>
      <c r="E219" s="25">
        <v>300</v>
      </c>
      <c r="F219" s="17">
        <v>199</v>
      </c>
      <c r="G219" s="17"/>
      <c r="H219" s="17"/>
      <c r="I219" s="17"/>
      <c r="J219" s="17"/>
      <c r="K219" s="17"/>
      <c r="L219" s="57"/>
    </row>
    <row r="220" spans="1:12" s="10" customFormat="1" ht="28.5" customHeight="1" x14ac:dyDescent="0.35">
      <c r="A220" s="99" t="s">
        <v>251</v>
      </c>
      <c r="B220" s="2">
        <v>8.91</v>
      </c>
      <c r="C220" s="63">
        <v>5</v>
      </c>
      <c r="D220" s="63"/>
      <c r="E220" s="25">
        <v>252</v>
      </c>
      <c r="F220" s="17">
        <v>169</v>
      </c>
      <c r="G220" s="17"/>
      <c r="H220" s="17"/>
      <c r="I220" s="17"/>
      <c r="J220" s="17"/>
      <c r="K220" s="17"/>
      <c r="L220" s="57"/>
    </row>
    <row r="221" spans="1:12" s="10" customFormat="1" ht="28.5" customHeight="1" x14ac:dyDescent="0.35">
      <c r="A221" s="99" t="s">
        <v>252</v>
      </c>
      <c r="B221" s="2">
        <v>7.08</v>
      </c>
      <c r="C221" s="2">
        <v>6</v>
      </c>
      <c r="D221" s="2"/>
      <c r="E221" s="25">
        <v>291</v>
      </c>
      <c r="F221" s="17">
        <v>195</v>
      </c>
      <c r="G221" s="17"/>
      <c r="H221" s="17"/>
      <c r="I221" s="17"/>
      <c r="J221" s="17"/>
      <c r="K221" s="17"/>
      <c r="L221" s="57"/>
    </row>
    <row r="222" spans="1:12" s="10" customFormat="1" ht="28.5" customHeight="1" x14ac:dyDescent="0.35">
      <c r="A222" s="99" t="s">
        <v>253</v>
      </c>
      <c r="B222" s="2">
        <v>8.66</v>
      </c>
      <c r="C222" s="2">
        <v>5</v>
      </c>
      <c r="D222" s="2"/>
      <c r="E222" s="25">
        <v>273</v>
      </c>
      <c r="F222" s="17">
        <v>183</v>
      </c>
      <c r="G222" s="17"/>
      <c r="H222" s="17"/>
      <c r="I222" s="17"/>
      <c r="J222" s="17"/>
      <c r="K222" s="17"/>
      <c r="L222" s="57"/>
    </row>
    <row r="223" spans="1:12" s="10" customFormat="1" ht="28.5" customHeight="1" x14ac:dyDescent="0.35">
      <c r="A223" s="99" t="s">
        <v>254</v>
      </c>
      <c r="B223" s="2">
        <v>8.9499999999999993</v>
      </c>
      <c r="C223" s="63">
        <v>5</v>
      </c>
      <c r="D223" s="63"/>
      <c r="E223" s="25">
        <v>243</v>
      </c>
      <c r="F223" s="17">
        <v>163</v>
      </c>
      <c r="G223" s="17"/>
      <c r="H223" s="17"/>
      <c r="I223" s="17"/>
      <c r="J223" s="17"/>
      <c r="K223" s="17"/>
      <c r="L223" s="57"/>
    </row>
    <row r="224" spans="1:12" s="10" customFormat="1" ht="28.5" customHeight="1" x14ac:dyDescent="0.35">
      <c r="A224" s="99" t="s">
        <v>255</v>
      </c>
      <c r="B224" s="2">
        <v>8.6199999999999992</v>
      </c>
      <c r="C224" s="63">
        <v>9</v>
      </c>
      <c r="D224" s="63"/>
      <c r="E224" s="25">
        <v>252</v>
      </c>
      <c r="F224" s="17">
        <v>169</v>
      </c>
      <c r="G224" s="17"/>
      <c r="H224" s="17"/>
      <c r="I224" s="17"/>
      <c r="J224" s="17"/>
      <c r="K224" s="17"/>
      <c r="L224" s="57"/>
    </row>
    <row r="225" spans="1:12" s="10" customFormat="1" ht="28.5" customHeight="1" x14ac:dyDescent="0.35">
      <c r="A225" s="99" t="s">
        <v>256</v>
      </c>
      <c r="B225" s="2">
        <v>8.5399999999999991</v>
      </c>
      <c r="C225" s="63">
        <v>8</v>
      </c>
      <c r="D225" s="63"/>
      <c r="E225" s="25">
        <v>276</v>
      </c>
      <c r="F225" s="25">
        <v>185</v>
      </c>
      <c r="G225" s="25"/>
      <c r="H225" s="25"/>
      <c r="I225" s="25"/>
      <c r="J225" s="25"/>
      <c r="K225" s="17"/>
      <c r="L225" s="57"/>
    </row>
    <row r="226" spans="1:12" s="10" customFormat="1" ht="28.5" customHeight="1" x14ac:dyDescent="0.35">
      <c r="A226" s="99" t="s">
        <v>257</v>
      </c>
      <c r="B226" s="2">
        <v>8.6</v>
      </c>
      <c r="C226" s="63">
        <v>6</v>
      </c>
      <c r="D226" s="63"/>
      <c r="E226" s="25">
        <v>310</v>
      </c>
      <c r="F226" s="25">
        <v>208</v>
      </c>
      <c r="G226" s="25"/>
      <c r="H226" s="25"/>
      <c r="I226" s="25"/>
      <c r="J226" s="25"/>
      <c r="K226" s="17"/>
      <c r="L226" s="57"/>
    </row>
    <row r="227" spans="1:12" s="10" customFormat="1" ht="28.5" customHeight="1" x14ac:dyDescent="0.35">
      <c r="A227" s="99" t="s">
        <v>258</v>
      </c>
      <c r="B227" s="2">
        <v>9.08</v>
      </c>
      <c r="C227" s="63">
        <v>5</v>
      </c>
      <c r="D227" s="63"/>
      <c r="E227" s="25">
        <v>273</v>
      </c>
      <c r="F227" s="17">
        <v>164</v>
      </c>
      <c r="G227" s="25"/>
      <c r="H227" s="17"/>
      <c r="I227" s="17"/>
      <c r="J227" s="17"/>
      <c r="K227" s="17"/>
      <c r="L227" s="57"/>
    </row>
    <row r="228" spans="1:12" s="10" customFormat="1" ht="28.5" customHeight="1" x14ac:dyDescent="0.35">
      <c r="A228" s="70" t="s">
        <v>259</v>
      </c>
      <c r="B228" s="2">
        <v>8.6999999999999993</v>
      </c>
      <c r="C228" s="63">
        <v>5</v>
      </c>
      <c r="D228" s="63"/>
      <c r="E228" s="25">
        <v>263</v>
      </c>
      <c r="F228" s="17">
        <v>176</v>
      </c>
      <c r="G228" s="17"/>
      <c r="H228" s="17"/>
      <c r="I228" s="17"/>
      <c r="J228" s="17"/>
      <c r="K228" s="17"/>
      <c r="L228" s="57"/>
    </row>
    <row r="229" spans="1:12" s="10" customFormat="1" ht="28.5" customHeight="1" x14ac:dyDescent="0.35">
      <c r="A229" s="99" t="s">
        <v>260</v>
      </c>
      <c r="B229" s="2">
        <v>8.65</v>
      </c>
      <c r="C229" s="63">
        <v>7</v>
      </c>
      <c r="D229" s="63"/>
      <c r="E229" s="25">
        <v>286</v>
      </c>
      <c r="F229" s="17">
        <v>192</v>
      </c>
      <c r="G229" s="17"/>
      <c r="H229" s="17"/>
      <c r="I229" s="17"/>
      <c r="J229" s="17"/>
      <c r="K229" s="17"/>
      <c r="L229" s="57"/>
    </row>
    <row r="230" spans="1:12" s="10" customFormat="1" ht="28.5" customHeight="1" thickBot="1" x14ac:dyDescent="0.4">
      <c r="A230" s="109" t="s">
        <v>261</v>
      </c>
      <c r="B230" s="2">
        <v>8.89</v>
      </c>
      <c r="C230" s="63">
        <v>7</v>
      </c>
      <c r="D230" s="63"/>
      <c r="E230" s="25">
        <v>274</v>
      </c>
      <c r="F230" s="25">
        <v>184</v>
      </c>
      <c r="G230" s="25"/>
      <c r="H230" s="25"/>
      <c r="I230" s="25"/>
      <c r="J230" s="25"/>
      <c r="K230" s="25"/>
      <c r="L230" s="44"/>
    </row>
    <row r="231" spans="1:12" s="10" customFormat="1" ht="28.5" customHeight="1" x14ac:dyDescent="0.35">
      <c r="A231" s="108" t="s">
        <v>210</v>
      </c>
      <c r="B231" s="1">
        <v>8.6</v>
      </c>
      <c r="C231" s="1">
        <v>8</v>
      </c>
      <c r="D231" s="1"/>
      <c r="E231" s="76">
        <v>264</v>
      </c>
      <c r="F231" s="12">
        <v>177</v>
      </c>
      <c r="G231" s="12"/>
      <c r="H231" s="12"/>
      <c r="I231" s="12"/>
      <c r="J231" s="12"/>
      <c r="K231" s="12"/>
      <c r="L231" s="77"/>
    </row>
    <row r="232" spans="1:12" s="10" customFormat="1" ht="28.5" customHeight="1" x14ac:dyDescent="0.35">
      <c r="A232" s="99" t="s">
        <v>211</v>
      </c>
      <c r="B232" s="2">
        <v>8.9</v>
      </c>
      <c r="C232" s="63">
        <v>7</v>
      </c>
      <c r="D232" s="63"/>
      <c r="E232" s="25">
        <v>240</v>
      </c>
      <c r="F232" s="17">
        <v>161</v>
      </c>
      <c r="G232" s="17"/>
      <c r="H232" s="17"/>
      <c r="I232" s="17"/>
      <c r="J232" s="17"/>
      <c r="K232" s="17"/>
      <c r="L232" s="105"/>
    </row>
    <row r="233" spans="1:12" s="10" customFormat="1" ht="28.5" customHeight="1" x14ac:dyDescent="0.35">
      <c r="A233" s="99" t="s">
        <v>212</v>
      </c>
      <c r="B233" s="2">
        <v>8.61</v>
      </c>
      <c r="C233" s="63">
        <v>7</v>
      </c>
      <c r="D233" s="63"/>
      <c r="E233" s="25">
        <v>276</v>
      </c>
      <c r="F233" s="17">
        <v>179</v>
      </c>
      <c r="G233" s="17"/>
      <c r="H233" s="17"/>
      <c r="I233" s="17"/>
      <c r="J233" s="17"/>
      <c r="K233" s="17"/>
      <c r="L233" s="105"/>
    </row>
    <row r="234" spans="1:12" s="10" customFormat="1" ht="28.5" customHeight="1" x14ac:dyDescent="0.35">
      <c r="A234" s="99" t="s">
        <v>213</v>
      </c>
      <c r="B234" s="2">
        <v>8.41</v>
      </c>
      <c r="C234" s="63">
        <v>8</v>
      </c>
      <c r="D234" s="63"/>
      <c r="E234" s="25">
        <v>267</v>
      </c>
      <c r="F234" s="25">
        <v>179</v>
      </c>
      <c r="G234" s="17"/>
      <c r="H234" s="17"/>
      <c r="I234" s="17"/>
      <c r="J234" s="17"/>
      <c r="K234" s="17"/>
      <c r="L234" s="105"/>
    </row>
    <row r="235" spans="1:12" s="10" customFormat="1" ht="28.5" customHeight="1" x14ac:dyDescent="0.35">
      <c r="A235" s="99" t="s">
        <v>214</v>
      </c>
      <c r="B235" s="2">
        <v>8.2899999999999991</v>
      </c>
      <c r="C235" s="63">
        <v>8</v>
      </c>
      <c r="D235" s="63"/>
      <c r="E235" s="25">
        <v>279</v>
      </c>
      <c r="F235" s="25">
        <v>187</v>
      </c>
      <c r="G235" s="17"/>
      <c r="H235" s="17"/>
      <c r="I235" s="17"/>
      <c r="J235" s="17"/>
      <c r="K235" s="17"/>
      <c r="L235" s="105"/>
    </row>
    <row r="236" spans="1:12" s="10" customFormat="1" ht="28.5" customHeight="1" x14ac:dyDescent="0.35">
      <c r="A236" s="99" t="s">
        <v>215</v>
      </c>
      <c r="B236" s="2">
        <v>8.4499999999999993</v>
      </c>
      <c r="C236" s="63">
        <v>7</v>
      </c>
      <c r="D236" s="63"/>
      <c r="E236" s="25">
        <v>237</v>
      </c>
      <c r="F236" s="25">
        <v>159</v>
      </c>
      <c r="G236" s="106"/>
      <c r="H236" s="106"/>
      <c r="I236" s="106"/>
      <c r="J236" s="106"/>
      <c r="K236" s="106"/>
      <c r="L236" s="106"/>
    </row>
    <row r="237" spans="1:12" s="10" customFormat="1" ht="28.5" customHeight="1" x14ac:dyDescent="0.35">
      <c r="A237" s="99" t="s">
        <v>216</v>
      </c>
      <c r="B237" s="2">
        <v>8.85</v>
      </c>
      <c r="C237" s="63">
        <v>6</v>
      </c>
      <c r="D237" s="63"/>
      <c r="E237" s="25">
        <v>276</v>
      </c>
      <c r="F237" s="25">
        <v>185</v>
      </c>
      <c r="G237" s="106"/>
      <c r="H237" s="106"/>
      <c r="I237" s="106"/>
      <c r="J237" s="106"/>
      <c r="K237" s="106"/>
      <c r="L237" s="106"/>
    </row>
    <row r="238" spans="1:12" s="10" customFormat="1" ht="28.5" customHeight="1" x14ac:dyDescent="0.35">
      <c r="A238" s="99" t="s">
        <v>217</v>
      </c>
      <c r="B238" s="2">
        <v>8.86</v>
      </c>
      <c r="C238" s="63">
        <v>6</v>
      </c>
      <c r="D238" s="63"/>
      <c r="E238" s="25">
        <v>238</v>
      </c>
      <c r="F238" s="25">
        <v>160</v>
      </c>
      <c r="G238" s="25"/>
      <c r="H238" s="25"/>
      <c r="I238" s="25"/>
      <c r="J238" s="17"/>
      <c r="K238" s="17"/>
      <c r="L238" s="57"/>
    </row>
    <row r="239" spans="1:12" s="10" customFormat="1" ht="28.5" customHeight="1" x14ac:dyDescent="0.35">
      <c r="A239" s="99" t="s">
        <v>218</v>
      </c>
      <c r="B239" s="2">
        <v>8.9</v>
      </c>
      <c r="C239" s="63">
        <v>8</v>
      </c>
      <c r="D239" s="63"/>
      <c r="E239" s="25">
        <v>252</v>
      </c>
      <c r="F239" s="17">
        <v>169</v>
      </c>
      <c r="G239" s="17"/>
      <c r="H239" s="17"/>
      <c r="I239" s="17"/>
      <c r="J239" s="17"/>
      <c r="K239" s="17"/>
      <c r="L239" s="57"/>
    </row>
    <row r="240" spans="1:12" s="10" customFormat="1" ht="28.5" customHeight="1" x14ac:dyDescent="0.35">
      <c r="A240" s="99" t="s">
        <v>219</v>
      </c>
      <c r="B240" s="2">
        <v>8.7899999999999991</v>
      </c>
      <c r="C240" s="63">
        <v>8</v>
      </c>
      <c r="D240" s="63"/>
      <c r="E240" s="25">
        <v>259</v>
      </c>
      <c r="F240" s="17">
        <v>174</v>
      </c>
      <c r="G240" s="17"/>
      <c r="H240" s="17"/>
      <c r="I240" s="17"/>
      <c r="J240" s="17"/>
      <c r="K240" s="17"/>
      <c r="L240" s="57"/>
    </row>
    <row r="241" spans="1:12" s="10" customFormat="1" ht="28.5" customHeight="1" x14ac:dyDescent="0.35">
      <c r="A241" s="99" t="s">
        <v>220</v>
      </c>
      <c r="B241" s="2">
        <v>8.92</v>
      </c>
      <c r="C241" s="63">
        <v>7</v>
      </c>
      <c r="D241" s="63"/>
      <c r="E241" s="25">
        <v>239</v>
      </c>
      <c r="F241" s="17">
        <v>174</v>
      </c>
      <c r="G241" s="17"/>
      <c r="H241" s="17"/>
      <c r="I241" s="17"/>
      <c r="J241" s="17"/>
      <c r="K241" s="17"/>
      <c r="L241" s="57"/>
    </row>
    <row r="242" spans="1:12" s="10" customFormat="1" ht="28.5" customHeight="1" x14ac:dyDescent="0.35">
      <c r="A242" s="99" t="s">
        <v>221</v>
      </c>
      <c r="B242" s="2">
        <v>8.2200000000000006</v>
      </c>
      <c r="C242" s="2">
        <v>6</v>
      </c>
      <c r="D242" s="2"/>
      <c r="E242" s="25">
        <v>238</v>
      </c>
      <c r="F242" s="17">
        <v>160</v>
      </c>
      <c r="G242" s="17"/>
      <c r="H242" s="17"/>
      <c r="I242" s="17"/>
      <c r="J242" s="17"/>
      <c r="K242" s="17"/>
      <c r="L242" s="57"/>
    </row>
    <row r="243" spans="1:12" s="10" customFormat="1" ht="28.5" customHeight="1" x14ac:dyDescent="0.35">
      <c r="A243" s="99" t="s">
        <v>222</v>
      </c>
      <c r="B243" s="2">
        <v>8.68</v>
      </c>
      <c r="C243" s="63">
        <v>5</v>
      </c>
      <c r="D243" s="63"/>
      <c r="E243" s="25">
        <v>250</v>
      </c>
      <c r="F243" s="17">
        <v>168</v>
      </c>
      <c r="G243" s="17"/>
      <c r="H243" s="17"/>
      <c r="I243" s="17"/>
      <c r="J243" s="17"/>
      <c r="K243" s="17"/>
      <c r="L243" s="57"/>
    </row>
    <row r="244" spans="1:12" s="10" customFormat="1" ht="28.5" customHeight="1" x14ac:dyDescent="0.35">
      <c r="A244" s="99" t="s">
        <v>223</v>
      </c>
      <c r="B244" s="2">
        <v>8.86</v>
      </c>
      <c r="C244" s="2">
        <v>5</v>
      </c>
      <c r="D244" s="2"/>
      <c r="E244" s="25">
        <v>270</v>
      </c>
      <c r="F244" s="17">
        <v>181</v>
      </c>
      <c r="G244" s="17"/>
      <c r="H244" s="17"/>
      <c r="I244" s="17"/>
      <c r="J244" s="17"/>
      <c r="K244" s="17"/>
      <c r="L244" s="57"/>
    </row>
    <row r="245" spans="1:12" s="10" customFormat="1" ht="28.5" customHeight="1" x14ac:dyDescent="0.35">
      <c r="A245" s="99" t="s">
        <v>224</v>
      </c>
      <c r="B245" s="2">
        <v>8.27</v>
      </c>
      <c r="C245" s="63">
        <v>6</v>
      </c>
      <c r="D245" s="63"/>
      <c r="E245" s="25">
        <v>320</v>
      </c>
      <c r="F245" s="17">
        <v>215</v>
      </c>
      <c r="G245" s="17"/>
      <c r="H245" s="17"/>
      <c r="I245" s="17"/>
      <c r="J245" s="17"/>
      <c r="K245" s="17"/>
      <c r="L245" s="57"/>
    </row>
    <row r="246" spans="1:12" s="10" customFormat="1" ht="28.5" customHeight="1" x14ac:dyDescent="0.35">
      <c r="A246" s="99" t="s">
        <v>225</v>
      </c>
      <c r="B246" s="2">
        <v>7.95</v>
      </c>
      <c r="C246" s="63">
        <v>8</v>
      </c>
      <c r="D246" s="63"/>
      <c r="E246" s="25">
        <v>271</v>
      </c>
      <c r="F246" s="17">
        <v>182</v>
      </c>
      <c r="G246" s="17"/>
      <c r="H246" s="17"/>
      <c r="I246" s="17"/>
      <c r="J246" s="17"/>
      <c r="K246" s="17"/>
      <c r="L246" s="57"/>
    </row>
    <row r="247" spans="1:12" s="10" customFormat="1" ht="28.5" customHeight="1" x14ac:dyDescent="0.35">
      <c r="A247" s="99" t="s">
        <v>226</v>
      </c>
      <c r="B247" s="2">
        <v>8.57</v>
      </c>
      <c r="C247" s="2">
        <v>5</v>
      </c>
      <c r="D247" s="2"/>
      <c r="E247" s="25">
        <v>305</v>
      </c>
      <c r="F247" s="17">
        <v>205</v>
      </c>
      <c r="G247" s="17"/>
      <c r="H247" s="17"/>
      <c r="I247" s="17"/>
      <c r="J247" s="17"/>
      <c r="K247" s="17"/>
      <c r="L247" s="57"/>
    </row>
    <row r="248" spans="1:12" s="10" customFormat="1" ht="28.5" customHeight="1" x14ac:dyDescent="0.35">
      <c r="A248" s="99" t="s">
        <v>227</v>
      </c>
      <c r="B248" s="2">
        <v>8.9600000000000009</v>
      </c>
      <c r="C248" s="2">
        <v>6</v>
      </c>
      <c r="D248" s="2"/>
      <c r="E248" s="25">
        <v>271</v>
      </c>
      <c r="F248" s="17">
        <v>183</v>
      </c>
      <c r="G248" s="17"/>
      <c r="H248" s="17"/>
      <c r="I248" s="17"/>
      <c r="J248" s="17"/>
      <c r="K248" s="17"/>
      <c r="L248" s="57"/>
    </row>
    <row r="249" spans="1:12" s="10" customFormat="1" ht="28.5" customHeight="1" x14ac:dyDescent="0.35">
      <c r="A249" s="99" t="s">
        <v>228</v>
      </c>
      <c r="B249" s="2">
        <v>8.18</v>
      </c>
      <c r="C249" s="63">
        <v>7</v>
      </c>
      <c r="D249" s="63"/>
      <c r="E249" s="25">
        <v>285</v>
      </c>
      <c r="F249" s="17">
        <v>191</v>
      </c>
      <c r="G249" s="17"/>
      <c r="H249" s="17"/>
      <c r="I249" s="17"/>
      <c r="J249" s="17"/>
      <c r="K249" s="17"/>
      <c r="L249" s="57"/>
    </row>
    <row r="250" spans="1:12" s="10" customFormat="1" ht="28.5" customHeight="1" x14ac:dyDescent="0.35">
      <c r="A250" s="99" t="s">
        <v>229</v>
      </c>
      <c r="B250" s="2">
        <v>8.75</v>
      </c>
      <c r="C250" s="63">
        <v>7</v>
      </c>
      <c r="D250" s="63"/>
      <c r="E250" s="25">
        <v>279</v>
      </c>
      <c r="F250" s="17">
        <v>187</v>
      </c>
      <c r="G250" s="17"/>
      <c r="H250" s="17"/>
      <c r="I250" s="17"/>
      <c r="J250" s="17"/>
      <c r="K250" s="17"/>
      <c r="L250" s="57"/>
    </row>
    <row r="251" spans="1:12" s="10" customFormat="1" ht="28.5" customHeight="1" x14ac:dyDescent="0.35">
      <c r="A251" s="99" t="s">
        <v>230</v>
      </c>
      <c r="B251" s="2">
        <v>8.61</v>
      </c>
      <c r="C251" s="63">
        <v>7</v>
      </c>
      <c r="D251" s="63"/>
      <c r="E251" s="25">
        <v>300</v>
      </c>
      <c r="F251" s="25">
        <v>201</v>
      </c>
      <c r="G251" s="25"/>
      <c r="H251" s="25"/>
      <c r="I251" s="25"/>
      <c r="J251" s="25"/>
      <c r="K251" s="17"/>
      <c r="L251" s="57"/>
    </row>
    <row r="252" spans="1:12" s="10" customFormat="1" ht="28.5" customHeight="1" x14ac:dyDescent="0.35">
      <c r="A252" s="99" t="s">
        <v>231</v>
      </c>
      <c r="B252" s="2">
        <v>8.6199999999999992</v>
      </c>
      <c r="C252" s="63">
        <v>7</v>
      </c>
      <c r="D252" s="63"/>
      <c r="E252" s="25">
        <v>259</v>
      </c>
      <c r="F252" s="25">
        <v>174</v>
      </c>
      <c r="G252" s="25" t="s">
        <v>51</v>
      </c>
      <c r="H252" s="25" t="s">
        <v>51</v>
      </c>
      <c r="I252" s="25" t="s">
        <v>51</v>
      </c>
      <c r="J252" s="25" t="s">
        <v>51</v>
      </c>
      <c r="K252" s="25" t="s">
        <v>51</v>
      </c>
      <c r="L252" s="25" t="s">
        <v>51</v>
      </c>
    </row>
    <row r="253" spans="1:12" s="10" customFormat="1" ht="28.5" customHeight="1" x14ac:dyDescent="0.35">
      <c r="A253" s="99" t="s">
        <v>232</v>
      </c>
      <c r="B253" s="2">
        <v>8.5500000000000007</v>
      </c>
      <c r="C253" s="63">
        <v>7</v>
      </c>
      <c r="D253" s="63"/>
      <c r="E253" s="25">
        <v>261</v>
      </c>
      <c r="F253" s="17">
        <v>175</v>
      </c>
      <c r="G253" s="25" t="s">
        <v>51</v>
      </c>
      <c r="H253" s="25" t="s">
        <v>51</v>
      </c>
      <c r="I253" s="25" t="s">
        <v>51</v>
      </c>
      <c r="J253" s="25" t="s">
        <v>51</v>
      </c>
      <c r="K253" s="25" t="s">
        <v>51</v>
      </c>
      <c r="L253" s="25" t="s">
        <v>51</v>
      </c>
    </row>
    <row r="254" spans="1:12" s="10" customFormat="1" ht="28.5" customHeight="1" x14ac:dyDescent="0.35">
      <c r="A254" s="70" t="s">
        <v>233</v>
      </c>
      <c r="B254" s="2">
        <v>7.94</v>
      </c>
      <c r="C254" s="63">
        <v>7</v>
      </c>
      <c r="D254" s="63"/>
      <c r="E254" s="25">
        <v>385</v>
      </c>
      <c r="F254" s="17">
        <v>258</v>
      </c>
      <c r="G254" s="25" t="s">
        <v>51</v>
      </c>
      <c r="H254" s="25" t="s">
        <v>51</v>
      </c>
      <c r="I254" s="25" t="s">
        <v>51</v>
      </c>
      <c r="J254" s="25" t="s">
        <v>51</v>
      </c>
      <c r="K254" s="25" t="s">
        <v>51</v>
      </c>
      <c r="L254" s="25" t="s">
        <v>51</v>
      </c>
    </row>
    <row r="255" spans="1:12" s="10" customFormat="1" ht="28.5" customHeight="1" x14ac:dyDescent="0.35">
      <c r="A255" s="99" t="s">
        <v>234</v>
      </c>
      <c r="B255" s="2">
        <v>8.6</v>
      </c>
      <c r="C255" s="63">
        <v>7</v>
      </c>
      <c r="D255" s="63"/>
      <c r="E255" s="25">
        <v>231</v>
      </c>
      <c r="F255" s="17">
        <v>155</v>
      </c>
      <c r="G255" s="25" t="s">
        <v>51</v>
      </c>
      <c r="H255" s="25" t="s">
        <v>51</v>
      </c>
      <c r="I255" s="25" t="s">
        <v>51</v>
      </c>
      <c r="J255" s="25" t="s">
        <v>51</v>
      </c>
      <c r="K255" s="25" t="s">
        <v>51</v>
      </c>
      <c r="L255" s="25" t="s">
        <v>51</v>
      </c>
    </row>
    <row r="256" spans="1:12" s="10" customFormat="1" ht="28.5" customHeight="1" thickBot="1" x14ac:dyDescent="0.4">
      <c r="A256" s="109" t="s">
        <v>235</v>
      </c>
      <c r="B256" s="2">
        <v>8.65</v>
      </c>
      <c r="C256" s="63">
        <v>7</v>
      </c>
      <c r="D256" s="63"/>
      <c r="E256" s="25">
        <v>261</v>
      </c>
      <c r="F256" s="25">
        <v>175</v>
      </c>
      <c r="G256" s="25" t="s">
        <v>51</v>
      </c>
      <c r="H256" s="25" t="s">
        <v>51</v>
      </c>
      <c r="I256" s="25" t="s">
        <v>51</v>
      </c>
      <c r="J256" s="25" t="s">
        <v>51</v>
      </c>
      <c r="K256" s="25" t="s">
        <v>51</v>
      </c>
      <c r="L256" s="25" t="s">
        <v>51</v>
      </c>
    </row>
    <row r="257" spans="1:12" s="10" customFormat="1" ht="28.5" customHeight="1" x14ac:dyDescent="0.35">
      <c r="A257" s="108" t="s">
        <v>262</v>
      </c>
      <c r="B257" s="1">
        <v>8.4</v>
      </c>
      <c r="C257" s="1">
        <v>5</v>
      </c>
      <c r="D257" s="1"/>
      <c r="E257" s="76">
        <v>305</v>
      </c>
      <c r="F257" s="12">
        <v>205</v>
      </c>
      <c r="G257" s="12" t="s">
        <v>51</v>
      </c>
      <c r="H257" s="12" t="s">
        <v>51</v>
      </c>
      <c r="I257" s="12" t="s">
        <v>51</v>
      </c>
      <c r="J257" s="12" t="s">
        <v>51</v>
      </c>
      <c r="K257" s="12" t="s">
        <v>51</v>
      </c>
      <c r="L257" s="77" t="s">
        <v>51</v>
      </c>
    </row>
    <row r="258" spans="1:12" s="10" customFormat="1" ht="28.5" customHeight="1" x14ac:dyDescent="0.35">
      <c r="A258" s="99" t="s">
        <v>263</v>
      </c>
      <c r="B258" s="2">
        <v>8.67</v>
      </c>
      <c r="C258" s="63">
        <v>7</v>
      </c>
      <c r="D258" s="63"/>
      <c r="E258" s="25">
        <v>262</v>
      </c>
      <c r="F258" s="17">
        <v>176</v>
      </c>
      <c r="G258" s="17" t="s">
        <v>51</v>
      </c>
      <c r="H258" s="17" t="s">
        <v>51</v>
      </c>
      <c r="I258" s="17" t="s">
        <v>51</v>
      </c>
      <c r="J258" s="17" t="s">
        <v>51</v>
      </c>
      <c r="K258" s="105" t="s">
        <v>51</v>
      </c>
      <c r="L258" s="17" t="s">
        <v>51</v>
      </c>
    </row>
    <row r="259" spans="1:12" s="10" customFormat="1" ht="28.5" customHeight="1" x14ac:dyDescent="0.35">
      <c r="A259" s="99" t="s">
        <v>264</v>
      </c>
      <c r="B259" s="2">
        <v>8.73</v>
      </c>
      <c r="C259" s="63">
        <v>8</v>
      </c>
      <c r="D259" s="63"/>
      <c r="E259" s="25">
        <v>235</v>
      </c>
      <c r="F259" s="17">
        <v>158</v>
      </c>
      <c r="G259" s="17" t="s">
        <v>51</v>
      </c>
      <c r="H259" s="17" t="s">
        <v>51</v>
      </c>
      <c r="I259" s="17" t="s">
        <v>51</v>
      </c>
      <c r="J259" s="17" t="s">
        <v>51</v>
      </c>
      <c r="K259" s="105" t="s">
        <v>51</v>
      </c>
      <c r="L259" s="17" t="s">
        <v>51</v>
      </c>
    </row>
    <row r="260" spans="1:12" s="10" customFormat="1" ht="28.5" customHeight="1" x14ac:dyDescent="0.35">
      <c r="A260" s="99" t="s">
        <v>265</v>
      </c>
      <c r="B260" s="2">
        <v>8.65</v>
      </c>
      <c r="C260" s="63">
        <v>8</v>
      </c>
      <c r="D260" s="63"/>
      <c r="E260" s="25">
        <v>240</v>
      </c>
      <c r="F260" s="25">
        <v>161</v>
      </c>
      <c r="G260" s="17" t="s">
        <v>51</v>
      </c>
      <c r="H260" s="17" t="s">
        <v>51</v>
      </c>
      <c r="I260" s="17" t="s">
        <v>51</v>
      </c>
      <c r="J260" s="17" t="s">
        <v>51</v>
      </c>
      <c r="K260" s="105" t="s">
        <v>51</v>
      </c>
      <c r="L260" s="17" t="s">
        <v>51</v>
      </c>
    </row>
    <row r="261" spans="1:12" s="10" customFormat="1" ht="28.5" customHeight="1" x14ac:dyDescent="0.35">
      <c r="A261" s="99" t="s">
        <v>266</v>
      </c>
      <c r="B261" s="2">
        <v>8.5</v>
      </c>
      <c r="C261" s="63">
        <v>6</v>
      </c>
      <c r="D261" s="63"/>
      <c r="E261" s="25">
        <v>249</v>
      </c>
      <c r="F261" s="25">
        <v>167</v>
      </c>
      <c r="G261" s="17" t="s">
        <v>51</v>
      </c>
      <c r="H261" s="17" t="s">
        <v>51</v>
      </c>
      <c r="I261" s="17" t="s">
        <v>51</v>
      </c>
      <c r="J261" s="17" t="s">
        <v>51</v>
      </c>
      <c r="K261" s="105" t="s">
        <v>51</v>
      </c>
      <c r="L261" s="17" t="s">
        <v>51</v>
      </c>
    </row>
    <row r="262" spans="1:12" s="10" customFormat="1" ht="28.5" customHeight="1" x14ac:dyDescent="0.35">
      <c r="A262" s="99" t="s">
        <v>267</v>
      </c>
      <c r="B262" s="2">
        <v>8.42</v>
      </c>
      <c r="C262" s="63">
        <v>5</v>
      </c>
      <c r="D262" s="63"/>
      <c r="E262" s="25">
        <v>298</v>
      </c>
      <c r="F262" s="25">
        <v>197</v>
      </c>
      <c r="G262" s="17" t="s">
        <v>51</v>
      </c>
      <c r="H262" s="17" t="s">
        <v>51</v>
      </c>
      <c r="I262" s="17" t="s">
        <v>51</v>
      </c>
      <c r="J262" s="17" t="s">
        <v>51</v>
      </c>
      <c r="K262" s="105" t="s">
        <v>51</v>
      </c>
      <c r="L262" s="17" t="s">
        <v>51</v>
      </c>
    </row>
    <row r="263" spans="1:12" s="10" customFormat="1" ht="28.5" customHeight="1" x14ac:dyDescent="0.35">
      <c r="A263" s="99" t="s">
        <v>268</v>
      </c>
      <c r="B263" s="2">
        <v>8.4</v>
      </c>
      <c r="C263" s="63">
        <v>6</v>
      </c>
      <c r="D263" s="63"/>
      <c r="E263" s="25">
        <v>292</v>
      </c>
      <c r="F263" s="25">
        <v>196</v>
      </c>
      <c r="G263" s="17" t="s">
        <v>51</v>
      </c>
      <c r="H263" s="17" t="s">
        <v>51</v>
      </c>
      <c r="I263" s="17" t="s">
        <v>51</v>
      </c>
      <c r="J263" s="17" t="s">
        <v>51</v>
      </c>
      <c r="K263" s="105" t="s">
        <v>51</v>
      </c>
      <c r="L263" s="17" t="s">
        <v>51</v>
      </c>
    </row>
    <row r="264" spans="1:12" s="10" customFormat="1" ht="28.5" customHeight="1" x14ac:dyDescent="0.35">
      <c r="A264" s="99" t="s">
        <v>269</v>
      </c>
      <c r="B264" s="2">
        <v>8.6300000000000008</v>
      </c>
      <c r="C264" s="63">
        <v>8</v>
      </c>
      <c r="D264" s="63"/>
      <c r="E264" s="25">
        <v>349</v>
      </c>
      <c r="F264" s="25">
        <v>234</v>
      </c>
      <c r="G264" s="17" t="s">
        <v>51</v>
      </c>
      <c r="H264" s="17" t="s">
        <v>51</v>
      </c>
      <c r="I264" s="17" t="s">
        <v>51</v>
      </c>
      <c r="J264" s="17" t="s">
        <v>51</v>
      </c>
      <c r="K264" s="105" t="s">
        <v>51</v>
      </c>
      <c r="L264" s="17" t="s">
        <v>51</v>
      </c>
    </row>
    <row r="265" spans="1:12" s="10" customFormat="1" ht="28.5" customHeight="1" x14ac:dyDescent="0.35">
      <c r="A265" s="99" t="s">
        <v>270</v>
      </c>
      <c r="B265" s="2">
        <v>8.6300000000000008</v>
      </c>
      <c r="C265" s="63">
        <v>8</v>
      </c>
      <c r="D265" s="63"/>
      <c r="E265" s="25">
        <v>323</v>
      </c>
      <c r="F265" s="17">
        <v>217</v>
      </c>
      <c r="G265" s="17" t="s">
        <v>51</v>
      </c>
      <c r="H265" s="17" t="s">
        <v>51</v>
      </c>
      <c r="I265" s="17" t="s">
        <v>51</v>
      </c>
      <c r="J265" s="17" t="s">
        <v>51</v>
      </c>
      <c r="K265" s="105" t="s">
        <v>51</v>
      </c>
      <c r="L265" s="17" t="s">
        <v>51</v>
      </c>
    </row>
    <row r="266" spans="1:12" s="10" customFormat="1" ht="28.5" customHeight="1" x14ac:dyDescent="0.35">
      <c r="A266" s="99" t="s">
        <v>271</v>
      </c>
      <c r="B266" s="2">
        <v>8.3800000000000008</v>
      </c>
      <c r="C266" s="63">
        <v>3</v>
      </c>
      <c r="D266" s="63"/>
      <c r="E266" s="25">
        <v>258</v>
      </c>
      <c r="F266" s="17">
        <v>173</v>
      </c>
      <c r="G266" s="17">
        <v>115</v>
      </c>
      <c r="H266" s="17">
        <v>70</v>
      </c>
      <c r="I266" s="17">
        <v>30</v>
      </c>
      <c r="J266" s="17" t="s">
        <v>51</v>
      </c>
      <c r="K266" s="17">
        <v>138</v>
      </c>
      <c r="L266" s="57">
        <v>2</v>
      </c>
    </row>
    <row r="267" spans="1:12" s="10" customFormat="1" ht="28.5" customHeight="1" x14ac:dyDescent="0.35">
      <c r="A267" s="99" t="s">
        <v>272</v>
      </c>
      <c r="B267" s="2">
        <v>8.4</v>
      </c>
      <c r="C267" s="63">
        <v>2</v>
      </c>
      <c r="D267" s="63"/>
      <c r="E267" s="25">
        <v>262</v>
      </c>
      <c r="F267" s="17">
        <v>177</v>
      </c>
      <c r="G267" s="17">
        <v>110</v>
      </c>
      <c r="H267" s="17">
        <v>68</v>
      </c>
      <c r="I267" s="17">
        <v>32</v>
      </c>
      <c r="J267" s="17" t="s">
        <v>51</v>
      </c>
      <c r="K267" s="17">
        <v>144</v>
      </c>
      <c r="L267" s="57">
        <v>2</v>
      </c>
    </row>
    <row r="268" spans="1:12" s="10" customFormat="1" ht="28.5" customHeight="1" x14ac:dyDescent="0.35">
      <c r="A268" s="99" t="s">
        <v>273</v>
      </c>
      <c r="B268" s="2">
        <v>8.35</v>
      </c>
      <c r="C268" s="2">
        <v>2</v>
      </c>
      <c r="D268" s="2"/>
      <c r="E268" s="25">
        <v>269</v>
      </c>
      <c r="F268" s="17">
        <v>180</v>
      </c>
      <c r="G268" s="17">
        <v>119</v>
      </c>
      <c r="H268" s="17">
        <v>77</v>
      </c>
      <c r="I268" s="17">
        <v>33</v>
      </c>
      <c r="J268" s="17" t="s">
        <v>51</v>
      </c>
      <c r="K268" s="17">
        <v>148</v>
      </c>
      <c r="L268" s="57">
        <v>2</v>
      </c>
    </row>
    <row r="269" spans="1:12" s="10" customFormat="1" ht="28.5" customHeight="1" x14ac:dyDescent="0.35">
      <c r="A269" s="99" t="s">
        <v>274</v>
      </c>
      <c r="B269" s="2">
        <v>8.42</v>
      </c>
      <c r="C269" s="63">
        <v>4</v>
      </c>
      <c r="D269" s="63"/>
      <c r="E269" s="25">
        <v>269</v>
      </c>
      <c r="F269" s="17">
        <v>180</v>
      </c>
      <c r="G269" s="17">
        <v>115</v>
      </c>
      <c r="H269" s="17">
        <v>65</v>
      </c>
      <c r="I269" s="17">
        <v>32</v>
      </c>
      <c r="J269" s="17" t="s">
        <v>51</v>
      </c>
      <c r="K269" s="17">
        <v>144</v>
      </c>
      <c r="L269" s="57">
        <v>2</v>
      </c>
    </row>
    <row r="270" spans="1:12" s="10" customFormat="1" ht="28.5" customHeight="1" x14ac:dyDescent="0.35">
      <c r="A270" s="99" t="s">
        <v>275</v>
      </c>
      <c r="B270" s="2">
        <v>8.42</v>
      </c>
      <c r="C270" s="2">
        <v>4</v>
      </c>
      <c r="D270" s="2"/>
      <c r="E270" s="25">
        <v>254</v>
      </c>
      <c r="F270" s="17">
        <v>170</v>
      </c>
      <c r="G270" s="17">
        <v>110</v>
      </c>
      <c r="H270" s="17">
        <v>64</v>
      </c>
      <c r="I270" s="17">
        <v>32</v>
      </c>
      <c r="J270" s="17" t="s">
        <v>51</v>
      </c>
      <c r="K270" s="17">
        <v>153</v>
      </c>
      <c r="L270" s="57">
        <v>2</v>
      </c>
    </row>
    <row r="271" spans="1:12" s="10" customFormat="1" ht="28.5" customHeight="1" x14ac:dyDescent="0.35">
      <c r="A271" s="99" t="s">
        <v>276</v>
      </c>
      <c r="B271" s="2">
        <v>8.89</v>
      </c>
      <c r="C271" s="63">
        <v>6</v>
      </c>
      <c r="D271" s="63"/>
      <c r="E271" s="25">
        <v>271</v>
      </c>
      <c r="F271" s="17">
        <v>182</v>
      </c>
      <c r="G271" s="17" t="s">
        <v>51</v>
      </c>
      <c r="H271" s="17" t="s">
        <v>51</v>
      </c>
      <c r="I271" s="17" t="s">
        <v>51</v>
      </c>
      <c r="J271" s="17" t="s">
        <v>51</v>
      </c>
      <c r="K271" s="105" t="s">
        <v>51</v>
      </c>
      <c r="L271" s="17" t="s">
        <v>51</v>
      </c>
    </row>
    <row r="272" spans="1:12" s="10" customFormat="1" ht="28.5" customHeight="1" x14ac:dyDescent="0.35">
      <c r="A272" s="99" t="s">
        <v>277</v>
      </c>
      <c r="B272" s="2">
        <v>8.44</v>
      </c>
      <c r="C272" s="63">
        <v>6</v>
      </c>
      <c r="D272" s="63"/>
      <c r="E272" s="25">
        <v>280</v>
      </c>
      <c r="F272" s="17">
        <v>188</v>
      </c>
      <c r="G272" s="17" t="s">
        <v>51</v>
      </c>
      <c r="H272" s="17" t="s">
        <v>51</v>
      </c>
      <c r="I272" s="17" t="s">
        <v>51</v>
      </c>
      <c r="J272" s="17" t="s">
        <v>51</v>
      </c>
      <c r="K272" s="105" t="s">
        <v>51</v>
      </c>
      <c r="L272" s="17" t="s">
        <v>51</v>
      </c>
    </row>
    <row r="273" spans="1:12" s="10" customFormat="1" ht="28.5" customHeight="1" x14ac:dyDescent="0.35">
      <c r="A273" s="99" t="s">
        <v>278</v>
      </c>
      <c r="B273" s="2">
        <v>8.32</v>
      </c>
      <c r="C273" s="2">
        <v>5</v>
      </c>
      <c r="D273" s="2"/>
      <c r="E273" s="25">
        <v>271</v>
      </c>
      <c r="F273" s="17">
        <v>182</v>
      </c>
      <c r="G273" s="17" t="s">
        <v>51</v>
      </c>
      <c r="H273" s="17" t="s">
        <v>51</v>
      </c>
      <c r="I273" s="17" t="s">
        <v>51</v>
      </c>
      <c r="J273" s="17" t="s">
        <v>51</v>
      </c>
      <c r="K273" s="105" t="s">
        <v>51</v>
      </c>
      <c r="L273" s="17" t="s">
        <v>51</v>
      </c>
    </row>
    <row r="274" spans="1:12" s="10" customFormat="1" ht="28.5" customHeight="1" x14ac:dyDescent="0.35">
      <c r="A274" s="99" t="s">
        <v>279</v>
      </c>
      <c r="B274" s="2">
        <v>8.8000000000000007</v>
      </c>
      <c r="C274" s="2">
        <v>5</v>
      </c>
      <c r="D274" s="2"/>
      <c r="E274" s="25">
        <v>282</v>
      </c>
      <c r="F274" s="17">
        <v>1888</v>
      </c>
      <c r="G274" s="17" t="s">
        <v>51</v>
      </c>
      <c r="H274" s="17" t="s">
        <v>51</v>
      </c>
      <c r="I274" s="17" t="s">
        <v>51</v>
      </c>
      <c r="J274" s="17" t="s">
        <v>51</v>
      </c>
      <c r="K274" s="105" t="s">
        <v>51</v>
      </c>
      <c r="L274" s="17" t="s">
        <v>51</v>
      </c>
    </row>
    <row r="275" spans="1:12" s="10" customFormat="1" ht="28.5" customHeight="1" x14ac:dyDescent="0.35">
      <c r="A275" s="99" t="s">
        <v>280</v>
      </c>
      <c r="B275" s="2">
        <v>8.41</v>
      </c>
      <c r="C275" s="63">
        <v>5</v>
      </c>
      <c r="D275" s="63"/>
      <c r="E275" s="25">
        <v>264</v>
      </c>
      <c r="F275" s="17">
        <v>177</v>
      </c>
      <c r="G275" s="17" t="s">
        <v>51</v>
      </c>
      <c r="H275" s="17" t="s">
        <v>51</v>
      </c>
      <c r="I275" s="17" t="s">
        <v>51</v>
      </c>
      <c r="J275" s="17" t="s">
        <v>51</v>
      </c>
      <c r="K275" s="105" t="s">
        <v>51</v>
      </c>
      <c r="L275" s="17" t="s">
        <v>51</v>
      </c>
    </row>
    <row r="276" spans="1:12" s="10" customFormat="1" ht="28.5" customHeight="1" x14ac:dyDescent="0.35">
      <c r="A276" s="99" t="s">
        <v>281</v>
      </c>
      <c r="B276" s="2">
        <v>7.51</v>
      </c>
      <c r="C276" s="63">
        <v>8</v>
      </c>
      <c r="D276" s="63"/>
      <c r="E276" s="25">
        <v>338</v>
      </c>
      <c r="F276" s="17">
        <v>227</v>
      </c>
      <c r="G276" s="17" t="s">
        <v>51</v>
      </c>
      <c r="H276" s="17" t="s">
        <v>51</v>
      </c>
      <c r="I276" s="17" t="s">
        <v>51</v>
      </c>
      <c r="J276" s="17" t="s">
        <v>51</v>
      </c>
      <c r="K276" s="105" t="s">
        <v>51</v>
      </c>
      <c r="L276" s="17" t="s">
        <v>51</v>
      </c>
    </row>
    <row r="277" spans="1:12" s="10" customFormat="1" ht="28.5" customHeight="1" x14ac:dyDescent="0.35">
      <c r="A277" s="99" t="s">
        <v>282</v>
      </c>
      <c r="B277" s="2">
        <v>7.65</v>
      </c>
      <c r="C277" s="63">
        <v>6</v>
      </c>
      <c r="D277" s="63"/>
      <c r="E277" s="25">
        <v>307</v>
      </c>
      <c r="F277" s="25">
        <v>206</v>
      </c>
      <c r="G277" s="17" t="s">
        <v>51</v>
      </c>
      <c r="H277" s="17" t="s">
        <v>51</v>
      </c>
      <c r="I277" s="17" t="s">
        <v>51</v>
      </c>
      <c r="J277" s="17" t="s">
        <v>51</v>
      </c>
      <c r="K277" s="105" t="s">
        <v>51</v>
      </c>
      <c r="L277" s="17" t="s">
        <v>51</v>
      </c>
    </row>
    <row r="278" spans="1:12" s="10" customFormat="1" ht="28.5" customHeight="1" x14ac:dyDescent="0.35">
      <c r="A278" s="99" t="s">
        <v>283</v>
      </c>
      <c r="B278" s="2">
        <v>8.15</v>
      </c>
      <c r="C278" s="63">
        <v>6</v>
      </c>
      <c r="D278" s="63"/>
      <c r="E278" s="25">
        <v>286</v>
      </c>
      <c r="F278" s="25">
        <v>192</v>
      </c>
      <c r="G278" s="17" t="s">
        <v>51</v>
      </c>
      <c r="H278" s="17" t="s">
        <v>51</v>
      </c>
      <c r="I278" s="17" t="s">
        <v>51</v>
      </c>
      <c r="J278" s="17" t="s">
        <v>51</v>
      </c>
      <c r="K278" s="105" t="s">
        <v>51</v>
      </c>
      <c r="L278" s="17" t="s">
        <v>51</v>
      </c>
    </row>
    <row r="279" spans="1:12" s="10" customFormat="1" ht="28.5" customHeight="1" x14ac:dyDescent="0.35">
      <c r="A279" s="99" t="s">
        <v>284</v>
      </c>
      <c r="B279" s="2">
        <v>8.4499999999999993</v>
      </c>
      <c r="C279" s="63">
        <v>5</v>
      </c>
      <c r="D279" s="63"/>
      <c r="E279" s="25">
        <v>276</v>
      </c>
      <c r="F279" s="17">
        <v>185</v>
      </c>
      <c r="G279" s="17" t="s">
        <v>51</v>
      </c>
      <c r="H279" s="17" t="s">
        <v>51</v>
      </c>
      <c r="I279" s="17" t="s">
        <v>51</v>
      </c>
      <c r="J279" s="17" t="s">
        <v>51</v>
      </c>
      <c r="K279" s="105" t="s">
        <v>51</v>
      </c>
      <c r="L279" s="17" t="s">
        <v>51</v>
      </c>
    </row>
    <row r="280" spans="1:12" s="10" customFormat="1" ht="28.5" customHeight="1" x14ac:dyDescent="0.35">
      <c r="A280" s="70" t="s">
        <v>285</v>
      </c>
      <c r="B280" s="2">
        <v>8.75</v>
      </c>
      <c r="C280" s="63">
        <v>5</v>
      </c>
      <c r="D280" s="63"/>
      <c r="E280" s="25">
        <v>266</v>
      </c>
      <c r="F280" s="17">
        <v>178</v>
      </c>
      <c r="G280" s="17" t="s">
        <v>51</v>
      </c>
      <c r="H280" s="17" t="s">
        <v>51</v>
      </c>
      <c r="I280" s="17" t="s">
        <v>51</v>
      </c>
      <c r="J280" s="17" t="s">
        <v>51</v>
      </c>
      <c r="K280" s="105" t="s">
        <v>51</v>
      </c>
      <c r="L280" s="17" t="s">
        <v>51</v>
      </c>
    </row>
    <row r="281" spans="1:12" s="10" customFormat="1" ht="28.5" customHeight="1" thickBot="1" x14ac:dyDescent="0.4">
      <c r="A281" s="109" t="s">
        <v>286</v>
      </c>
      <c r="B281" s="2">
        <v>8.75</v>
      </c>
      <c r="C281" s="63">
        <v>5</v>
      </c>
      <c r="D281" s="63"/>
      <c r="E281" s="25">
        <v>285</v>
      </c>
      <c r="F281" s="17">
        <v>191</v>
      </c>
      <c r="G281" s="17" t="s">
        <v>51</v>
      </c>
      <c r="H281" s="17" t="s">
        <v>51</v>
      </c>
      <c r="I281" s="17" t="s">
        <v>51</v>
      </c>
      <c r="J281" s="17" t="s">
        <v>51</v>
      </c>
      <c r="K281" s="105" t="s">
        <v>51</v>
      </c>
      <c r="L281" s="17" t="s">
        <v>51</v>
      </c>
    </row>
    <row r="282" spans="1:12" s="10" customFormat="1" ht="28.5" customHeight="1" x14ac:dyDescent="0.35">
      <c r="A282" s="108" t="s">
        <v>287</v>
      </c>
      <c r="B282" s="1">
        <v>8.15</v>
      </c>
      <c r="C282" s="1" t="s">
        <v>51</v>
      </c>
      <c r="D282" s="1">
        <v>5</v>
      </c>
      <c r="E282" s="76">
        <v>301</v>
      </c>
      <c r="F282" s="12">
        <v>202</v>
      </c>
      <c r="G282" s="17" t="s">
        <v>51</v>
      </c>
      <c r="H282" s="17" t="s">
        <v>51</v>
      </c>
      <c r="I282" s="17" t="s">
        <v>51</v>
      </c>
      <c r="J282" s="17" t="s">
        <v>51</v>
      </c>
      <c r="K282" s="105" t="s">
        <v>51</v>
      </c>
      <c r="L282" s="17" t="s">
        <v>51</v>
      </c>
    </row>
    <row r="283" spans="1:12" s="10" customFormat="1" ht="28.5" customHeight="1" x14ac:dyDescent="0.35">
      <c r="A283" s="99" t="s">
        <v>288</v>
      </c>
      <c r="B283" s="2">
        <v>8.4</v>
      </c>
      <c r="C283" s="63" t="s">
        <v>51</v>
      </c>
      <c r="D283" s="63">
        <v>6</v>
      </c>
      <c r="E283" s="25">
        <v>282</v>
      </c>
      <c r="F283" s="17">
        <v>189</v>
      </c>
      <c r="G283" s="17" t="s">
        <v>51</v>
      </c>
      <c r="H283" s="17" t="s">
        <v>51</v>
      </c>
      <c r="I283" s="17" t="s">
        <v>51</v>
      </c>
      <c r="J283" s="17" t="s">
        <v>51</v>
      </c>
      <c r="K283" s="105" t="s">
        <v>51</v>
      </c>
      <c r="L283" s="17" t="s">
        <v>51</v>
      </c>
    </row>
    <row r="284" spans="1:12" s="10" customFormat="1" ht="28.5" customHeight="1" x14ac:dyDescent="0.35">
      <c r="A284" s="99" t="s">
        <v>289</v>
      </c>
      <c r="B284" s="2">
        <v>8.0399999999999991</v>
      </c>
      <c r="C284" s="63" t="s">
        <v>51</v>
      </c>
      <c r="D284" s="63">
        <v>6</v>
      </c>
      <c r="E284" s="25">
        <v>295</v>
      </c>
      <c r="F284" s="17">
        <v>198</v>
      </c>
      <c r="G284" s="17" t="s">
        <v>51</v>
      </c>
      <c r="H284" s="17" t="s">
        <v>51</v>
      </c>
      <c r="I284" s="17" t="s">
        <v>51</v>
      </c>
      <c r="J284" s="17" t="s">
        <v>51</v>
      </c>
      <c r="K284" s="105" t="s">
        <v>51</v>
      </c>
      <c r="L284" s="17" t="s">
        <v>51</v>
      </c>
    </row>
    <row r="285" spans="1:12" s="10" customFormat="1" ht="28.5" customHeight="1" x14ac:dyDescent="0.35">
      <c r="A285" s="99" t="s">
        <v>290</v>
      </c>
      <c r="B285" s="2">
        <v>8.0399999999999991</v>
      </c>
      <c r="C285" s="63" t="s">
        <v>51</v>
      </c>
      <c r="D285" s="63">
        <v>5</v>
      </c>
      <c r="E285" s="25">
        <v>291</v>
      </c>
      <c r="F285" s="25">
        <v>195</v>
      </c>
      <c r="G285" s="17" t="s">
        <v>51</v>
      </c>
      <c r="H285" s="17" t="s">
        <v>51</v>
      </c>
      <c r="I285" s="17" t="s">
        <v>51</v>
      </c>
      <c r="J285" s="17" t="s">
        <v>51</v>
      </c>
      <c r="K285" s="105" t="s">
        <v>51</v>
      </c>
      <c r="L285" s="17" t="s">
        <v>51</v>
      </c>
    </row>
    <row r="286" spans="1:12" s="10" customFormat="1" ht="28.5" customHeight="1" x14ac:dyDescent="0.35">
      <c r="A286" s="99" t="s">
        <v>291</v>
      </c>
      <c r="B286" s="2">
        <v>8.25</v>
      </c>
      <c r="C286" s="63" t="s">
        <v>51</v>
      </c>
      <c r="D286" s="63">
        <v>7</v>
      </c>
      <c r="E286" s="25">
        <v>306</v>
      </c>
      <c r="F286" s="25">
        <v>205</v>
      </c>
      <c r="G286" s="17" t="s">
        <v>51</v>
      </c>
      <c r="H286" s="17" t="s">
        <v>51</v>
      </c>
      <c r="I286" s="17" t="s">
        <v>51</v>
      </c>
      <c r="J286" s="17" t="s">
        <v>51</v>
      </c>
      <c r="K286" s="105" t="s">
        <v>51</v>
      </c>
      <c r="L286" s="17" t="s">
        <v>51</v>
      </c>
    </row>
    <row r="287" spans="1:12" s="10" customFormat="1" ht="28.5" customHeight="1" x14ac:dyDescent="0.35">
      <c r="A287" s="99" t="s">
        <v>292</v>
      </c>
      <c r="B287" s="2">
        <v>8.1</v>
      </c>
      <c r="C287" s="63" t="s">
        <v>51</v>
      </c>
      <c r="D287" s="63">
        <v>5</v>
      </c>
      <c r="E287" s="25">
        <v>300</v>
      </c>
      <c r="F287" s="25">
        <v>201</v>
      </c>
      <c r="G287" s="17" t="s">
        <v>51</v>
      </c>
      <c r="H287" s="17" t="s">
        <v>51</v>
      </c>
      <c r="I287" s="17" t="s">
        <v>51</v>
      </c>
      <c r="J287" s="17" t="s">
        <v>51</v>
      </c>
      <c r="K287" s="105" t="s">
        <v>51</v>
      </c>
      <c r="L287" s="17" t="s">
        <v>51</v>
      </c>
    </row>
    <row r="288" spans="1:12" s="10" customFormat="1" ht="28.5" customHeight="1" x14ac:dyDescent="0.35">
      <c r="A288" s="99" t="s">
        <v>293</v>
      </c>
      <c r="B288" s="2">
        <v>8.68</v>
      </c>
      <c r="C288" s="63" t="s">
        <v>51</v>
      </c>
      <c r="D288" s="63">
        <v>5</v>
      </c>
      <c r="E288" s="25">
        <v>279</v>
      </c>
      <c r="F288" s="25">
        <v>187</v>
      </c>
      <c r="G288" s="17" t="s">
        <v>51</v>
      </c>
      <c r="H288" s="17" t="s">
        <v>51</v>
      </c>
      <c r="I288" s="17" t="s">
        <v>51</v>
      </c>
      <c r="J288" s="17" t="s">
        <v>51</v>
      </c>
      <c r="K288" s="105" t="s">
        <v>51</v>
      </c>
      <c r="L288" s="17" t="s">
        <v>51</v>
      </c>
    </row>
    <row r="289" spans="1:12" s="10" customFormat="1" ht="28.5" customHeight="1" x14ac:dyDescent="0.35">
      <c r="A289" s="99" t="s">
        <v>294</v>
      </c>
      <c r="B289" s="2">
        <v>8.67</v>
      </c>
      <c r="C289" s="63" t="s">
        <v>51</v>
      </c>
      <c r="D289" s="63">
        <v>4</v>
      </c>
      <c r="E289" s="25">
        <v>288</v>
      </c>
      <c r="F289" s="25">
        <v>193</v>
      </c>
      <c r="G289" s="17" t="s">
        <v>51</v>
      </c>
      <c r="H289" s="17" t="s">
        <v>51</v>
      </c>
      <c r="I289" s="17" t="s">
        <v>51</v>
      </c>
      <c r="J289" s="17" t="s">
        <v>51</v>
      </c>
      <c r="K289" s="105" t="s">
        <v>51</v>
      </c>
      <c r="L289" s="17" t="s">
        <v>51</v>
      </c>
    </row>
    <row r="290" spans="1:12" s="10" customFormat="1" ht="28.5" customHeight="1" x14ac:dyDescent="0.35">
      <c r="A290" s="99" t="s">
        <v>295</v>
      </c>
      <c r="B290" s="2">
        <v>8.6</v>
      </c>
      <c r="C290" s="63" t="s">
        <v>51</v>
      </c>
      <c r="D290" s="63">
        <v>5</v>
      </c>
      <c r="E290" s="25">
        <v>258</v>
      </c>
      <c r="F290" s="17">
        <v>173</v>
      </c>
      <c r="G290" s="17" t="s">
        <v>51</v>
      </c>
      <c r="H290" s="17" t="s">
        <v>51</v>
      </c>
      <c r="I290" s="17" t="s">
        <v>51</v>
      </c>
      <c r="J290" s="17" t="s">
        <v>51</v>
      </c>
      <c r="K290" s="105" t="s">
        <v>51</v>
      </c>
      <c r="L290" s="17" t="s">
        <v>51</v>
      </c>
    </row>
    <row r="291" spans="1:12" s="10" customFormat="1" ht="28.5" customHeight="1" x14ac:dyDescent="0.35">
      <c r="A291" s="99" t="s">
        <v>296</v>
      </c>
      <c r="B291" s="2">
        <v>8.16</v>
      </c>
      <c r="C291" s="63" t="s">
        <v>51</v>
      </c>
      <c r="D291" s="63">
        <v>5</v>
      </c>
      <c r="E291" s="25">
        <v>282</v>
      </c>
      <c r="F291" s="17">
        <v>189</v>
      </c>
      <c r="G291" s="17" t="s">
        <v>51</v>
      </c>
      <c r="H291" s="17" t="s">
        <v>51</v>
      </c>
      <c r="I291" s="17" t="s">
        <v>51</v>
      </c>
      <c r="J291" s="17" t="s">
        <v>51</v>
      </c>
      <c r="K291" s="105" t="s">
        <v>51</v>
      </c>
      <c r="L291" s="17" t="s">
        <v>51</v>
      </c>
    </row>
    <row r="292" spans="1:12" s="10" customFormat="1" ht="28.5" customHeight="1" x14ac:dyDescent="0.35">
      <c r="A292" s="99" t="s">
        <v>297</v>
      </c>
      <c r="B292" s="2">
        <v>7.67</v>
      </c>
      <c r="C292" s="63" t="s">
        <v>51</v>
      </c>
      <c r="D292" s="63">
        <v>5</v>
      </c>
      <c r="E292" s="25">
        <v>291</v>
      </c>
      <c r="F292" s="17">
        <v>195</v>
      </c>
      <c r="G292" s="17" t="s">
        <v>51</v>
      </c>
      <c r="H292" s="17" t="s">
        <v>51</v>
      </c>
      <c r="I292" s="17" t="s">
        <v>51</v>
      </c>
      <c r="J292" s="17" t="s">
        <v>51</v>
      </c>
      <c r="K292" s="105" t="s">
        <v>51</v>
      </c>
      <c r="L292" s="17" t="s">
        <v>51</v>
      </c>
    </row>
    <row r="293" spans="1:12" s="10" customFormat="1" ht="28.5" customHeight="1" x14ac:dyDescent="0.35">
      <c r="A293" s="99" t="s">
        <v>298</v>
      </c>
      <c r="B293" s="2">
        <v>8.41</v>
      </c>
      <c r="C293" s="2" t="s">
        <v>51</v>
      </c>
      <c r="D293" s="2">
        <v>8</v>
      </c>
      <c r="E293" s="25">
        <v>317</v>
      </c>
      <c r="F293" s="17">
        <v>213</v>
      </c>
      <c r="G293" s="17" t="s">
        <v>51</v>
      </c>
      <c r="H293" s="17" t="s">
        <v>51</v>
      </c>
      <c r="I293" s="17" t="s">
        <v>51</v>
      </c>
      <c r="J293" s="17" t="s">
        <v>51</v>
      </c>
      <c r="K293" s="105" t="s">
        <v>51</v>
      </c>
      <c r="L293" s="17" t="s">
        <v>51</v>
      </c>
    </row>
    <row r="294" spans="1:12" s="10" customFormat="1" ht="28.5" customHeight="1" x14ac:dyDescent="0.35">
      <c r="A294" s="99" t="s">
        <v>299</v>
      </c>
      <c r="B294" s="2">
        <v>8.83</v>
      </c>
      <c r="C294" s="63" t="s">
        <v>51</v>
      </c>
      <c r="D294" s="63">
        <v>6</v>
      </c>
      <c r="E294" s="25">
        <v>289</v>
      </c>
      <c r="F294" s="17">
        <v>194</v>
      </c>
      <c r="G294" s="17" t="s">
        <v>51</v>
      </c>
      <c r="H294" s="17" t="s">
        <v>51</v>
      </c>
      <c r="I294" s="17" t="s">
        <v>51</v>
      </c>
      <c r="J294" s="17" t="s">
        <v>51</v>
      </c>
      <c r="K294" s="105" t="s">
        <v>51</v>
      </c>
      <c r="L294" s="17" t="s">
        <v>51</v>
      </c>
    </row>
    <row r="295" spans="1:12" s="10" customFormat="1" ht="28.5" customHeight="1" x14ac:dyDescent="0.35">
      <c r="A295" s="99" t="s">
        <v>300</v>
      </c>
      <c r="B295" s="2">
        <v>8.89</v>
      </c>
      <c r="C295" s="2" t="s">
        <v>51</v>
      </c>
      <c r="D295" s="2">
        <v>6</v>
      </c>
      <c r="E295" s="25">
        <v>279</v>
      </c>
      <c r="F295" s="17">
        <v>187</v>
      </c>
      <c r="G295" s="17" t="s">
        <v>51</v>
      </c>
      <c r="H295" s="17" t="s">
        <v>51</v>
      </c>
      <c r="I295" s="17" t="s">
        <v>51</v>
      </c>
      <c r="J295" s="17" t="s">
        <v>51</v>
      </c>
      <c r="K295" s="105" t="s">
        <v>51</v>
      </c>
      <c r="L295" s="17" t="s">
        <v>51</v>
      </c>
    </row>
    <row r="296" spans="1:12" s="10" customFormat="1" ht="28.5" customHeight="1" x14ac:dyDescent="0.35">
      <c r="A296" s="99" t="s">
        <v>301</v>
      </c>
      <c r="B296" s="2">
        <v>8.4499999999999993</v>
      </c>
      <c r="C296" s="63" t="s">
        <v>51</v>
      </c>
      <c r="D296" s="63">
        <v>5</v>
      </c>
      <c r="E296" s="25">
        <v>305</v>
      </c>
      <c r="F296" s="17">
        <v>204</v>
      </c>
      <c r="G296" s="17" t="s">
        <v>51</v>
      </c>
      <c r="H296" s="17" t="s">
        <v>51</v>
      </c>
      <c r="I296" s="17" t="s">
        <v>51</v>
      </c>
      <c r="J296" s="17" t="s">
        <v>51</v>
      </c>
      <c r="K296" s="105" t="s">
        <v>51</v>
      </c>
      <c r="L296" s="17" t="s">
        <v>51</v>
      </c>
    </row>
    <row r="297" spans="1:12" s="10" customFormat="1" ht="28.5" customHeight="1" x14ac:dyDescent="0.35">
      <c r="A297" s="99" t="s">
        <v>302</v>
      </c>
      <c r="B297" s="2">
        <v>8.16</v>
      </c>
      <c r="C297" s="63" t="s">
        <v>51</v>
      </c>
      <c r="D297" s="63">
        <v>5</v>
      </c>
      <c r="E297" s="25">
        <v>301</v>
      </c>
      <c r="F297" s="17">
        <v>199</v>
      </c>
      <c r="G297" s="17" t="s">
        <v>51</v>
      </c>
      <c r="H297" s="17" t="s">
        <v>51</v>
      </c>
      <c r="I297" s="17" t="s">
        <v>51</v>
      </c>
      <c r="J297" s="17" t="s">
        <v>51</v>
      </c>
      <c r="K297" s="105" t="s">
        <v>51</v>
      </c>
      <c r="L297" s="17" t="s">
        <v>51</v>
      </c>
    </row>
    <row r="298" spans="1:12" s="10" customFormat="1" ht="28.5" customHeight="1" x14ac:dyDescent="0.35">
      <c r="A298" s="99" t="s">
        <v>303</v>
      </c>
      <c r="B298" s="2">
        <v>8.5299999999999994</v>
      </c>
      <c r="C298" s="2" t="s">
        <v>51</v>
      </c>
      <c r="D298" s="2">
        <v>5</v>
      </c>
      <c r="E298" s="25">
        <v>285</v>
      </c>
      <c r="F298" s="17">
        <v>191</v>
      </c>
      <c r="G298" s="17" t="s">
        <v>51</v>
      </c>
      <c r="H298" s="17" t="s">
        <v>51</v>
      </c>
      <c r="I298" s="17" t="s">
        <v>51</v>
      </c>
      <c r="J298" s="17" t="s">
        <v>51</v>
      </c>
      <c r="K298" s="105" t="s">
        <v>51</v>
      </c>
      <c r="L298" s="17" t="s">
        <v>51</v>
      </c>
    </row>
    <row r="299" spans="1:12" s="10" customFormat="1" ht="28.5" customHeight="1" x14ac:dyDescent="0.35">
      <c r="A299" s="99" t="s">
        <v>304</v>
      </c>
      <c r="B299" s="2">
        <v>8.6</v>
      </c>
      <c r="C299" s="2" t="s">
        <v>51</v>
      </c>
      <c r="D299" s="2">
        <v>5</v>
      </c>
      <c r="E299" s="25">
        <v>284</v>
      </c>
      <c r="F299" s="17">
        <v>190</v>
      </c>
      <c r="G299" s="17" t="s">
        <v>51</v>
      </c>
      <c r="H299" s="17" t="s">
        <v>51</v>
      </c>
      <c r="I299" s="17" t="s">
        <v>51</v>
      </c>
      <c r="J299" s="17" t="s">
        <v>51</v>
      </c>
      <c r="K299" s="105" t="s">
        <v>51</v>
      </c>
      <c r="L299" s="17" t="s">
        <v>51</v>
      </c>
    </row>
    <row r="300" spans="1:12" s="10" customFormat="1" ht="28.5" customHeight="1" x14ac:dyDescent="0.35">
      <c r="A300" s="2" t="s">
        <v>305</v>
      </c>
      <c r="B300" s="2">
        <v>8.31</v>
      </c>
      <c r="C300" s="63" t="s">
        <v>51</v>
      </c>
      <c r="D300" s="63">
        <v>5</v>
      </c>
      <c r="E300" s="25">
        <v>338</v>
      </c>
      <c r="F300" s="17">
        <v>227</v>
      </c>
      <c r="G300" s="17" t="s">
        <v>51</v>
      </c>
      <c r="H300" s="17" t="s">
        <v>51</v>
      </c>
      <c r="I300" s="17" t="s">
        <v>51</v>
      </c>
      <c r="J300" s="17" t="s">
        <v>51</v>
      </c>
      <c r="K300" s="105" t="s">
        <v>51</v>
      </c>
      <c r="L300" s="17" t="s">
        <v>51</v>
      </c>
    </row>
    <row r="301" spans="1:12" s="10" customFormat="1" ht="28.5" customHeight="1" x14ac:dyDescent="0.35">
      <c r="A301" s="99" t="s">
        <v>306</v>
      </c>
      <c r="B301" s="2">
        <v>8.3800000000000008</v>
      </c>
      <c r="C301" s="63" t="s">
        <v>51</v>
      </c>
      <c r="D301" s="63">
        <v>6</v>
      </c>
      <c r="E301" s="25">
        <v>300</v>
      </c>
      <c r="F301" s="17">
        <v>201</v>
      </c>
      <c r="G301" s="17" t="s">
        <v>51</v>
      </c>
      <c r="H301" s="17" t="s">
        <v>51</v>
      </c>
      <c r="I301" s="17" t="s">
        <v>51</v>
      </c>
      <c r="J301" s="17" t="s">
        <v>51</v>
      </c>
      <c r="K301" s="105" t="s">
        <v>51</v>
      </c>
      <c r="L301" s="17" t="s">
        <v>51</v>
      </c>
    </row>
    <row r="302" spans="1:12" s="10" customFormat="1" ht="28.5" customHeight="1" x14ac:dyDescent="0.35">
      <c r="A302" s="99" t="s">
        <v>307</v>
      </c>
      <c r="B302" s="2">
        <v>8.5500000000000007</v>
      </c>
      <c r="C302" s="63" t="s">
        <v>51</v>
      </c>
      <c r="D302" s="63">
        <v>5</v>
      </c>
      <c r="E302" s="25">
        <v>313</v>
      </c>
      <c r="F302" s="25">
        <v>210</v>
      </c>
      <c r="G302" s="17" t="s">
        <v>51</v>
      </c>
      <c r="H302" s="17" t="s">
        <v>51</v>
      </c>
      <c r="I302" s="17" t="s">
        <v>51</v>
      </c>
      <c r="J302" s="17" t="s">
        <v>51</v>
      </c>
      <c r="K302" s="105" t="s">
        <v>51</v>
      </c>
      <c r="L302" s="17" t="s">
        <v>51</v>
      </c>
    </row>
    <row r="303" spans="1:12" s="10" customFormat="1" ht="28.5" customHeight="1" x14ac:dyDescent="0.35">
      <c r="A303" s="99" t="s">
        <v>308</v>
      </c>
      <c r="B303" s="2">
        <v>8.6199999999999992</v>
      </c>
      <c r="C303" s="63" t="s">
        <v>51</v>
      </c>
      <c r="D303" s="63">
        <v>5</v>
      </c>
      <c r="E303" s="25">
        <v>288</v>
      </c>
      <c r="F303" s="25">
        <v>193</v>
      </c>
      <c r="G303" s="17" t="s">
        <v>51</v>
      </c>
      <c r="H303" s="17" t="s">
        <v>51</v>
      </c>
      <c r="I303" s="17" t="s">
        <v>51</v>
      </c>
      <c r="J303" s="17" t="s">
        <v>51</v>
      </c>
      <c r="K303" s="105" t="s">
        <v>51</v>
      </c>
      <c r="L303" s="17" t="s">
        <v>51</v>
      </c>
    </row>
    <row r="304" spans="1:12" s="10" customFormat="1" ht="28.5" customHeight="1" x14ac:dyDescent="0.35">
      <c r="A304" s="99" t="s">
        <v>309</v>
      </c>
      <c r="B304" s="2">
        <v>8.17</v>
      </c>
      <c r="C304" s="63" t="s">
        <v>51</v>
      </c>
      <c r="D304" s="63">
        <v>5</v>
      </c>
      <c r="E304" s="25">
        <v>292</v>
      </c>
      <c r="F304" s="17">
        <v>196</v>
      </c>
      <c r="G304" s="17" t="s">
        <v>51</v>
      </c>
      <c r="H304" s="17" t="s">
        <v>51</v>
      </c>
      <c r="I304" s="17" t="s">
        <v>51</v>
      </c>
      <c r="J304" s="17" t="s">
        <v>51</v>
      </c>
      <c r="K304" s="105" t="s">
        <v>51</v>
      </c>
      <c r="L304" s="17" t="s">
        <v>51</v>
      </c>
    </row>
    <row r="305" spans="1:12" s="10" customFormat="1" ht="28.5" customHeight="1" x14ac:dyDescent="0.35">
      <c r="A305" s="70" t="s">
        <v>310</v>
      </c>
      <c r="B305" s="118" t="s">
        <v>311</v>
      </c>
      <c r="C305" s="119"/>
      <c r="D305" s="119"/>
      <c r="E305" s="119"/>
      <c r="F305" s="119"/>
      <c r="G305" s="119"/>
      <c r="H305" s="119"/>
      <c r="I305" s="119"/>
      <c r="J305" s="119"/>
      <c r="K305" s="119"/>
      <c r="L305" s="121"/>
    </row>
    <row r="306" spans="1:12" s="10" customFormat="1" ht="28.5" customHeight="1" x14ac:dyDescent="0.35">
      <c r="A306" s="99" t="s">
        <v>312</v>
      </c>
      <c r="B306" s="2">
        <v>8.19</v>
      </c>
      <c r="C306" s="63" t="s">
        <v>51</v>
      </c>
      <c r="D306" s="63">
        <v>6</v>
      </c>
      <c r="E306" s="25">
        <v>346</v>
      </c>
      <c r="F306" s="17">
        <v>232</v>
      </c>
      <c r="G306" s="17" t="s">
        <v>51</v>
      </c>
      <c r="H306" s="17" t="s">
        <v>51</v>
      </c>
      <c r="I306" s="17" t="s">
        <v>51</v>
      </c>
      <c r="J306" s="17" t="s">
        <v>51</v>
      </c>
      <c r="K306" s="105" t="s">
        <v>51</v>
      </c>
      <c r="L306" s="17" t="s">
        <v>51</v>
      </c>
    </row>
    <row r="307" spans="1:12" s="10" customFormat="1" ht="28.5" customHeight="1" x14ac:dyDescent="0.35">
      <c r="A307" s="99" t="s">
        <v>313</v>
      </c>
      <c r="B307" s="2">
        <v>8.06</v>
      </c>
      <c r="C307" s="63" t="s">
        <v>51</v>
      </c>
      <c r="D307" s="63">
        <v>6</v>
      </c>
      <c r="E307" s="25">
        <v>305</v>
      </c>
      <c r="F307" s="25">
        <v>205</v>
      </c>
      <c r="G307" s="17" t="s">
        <v>51</v>
      </c>
      <c r="H307" s="17" t="s">
        <v>51</v>
      </c>
      <c r="I307" s="17" t="s">
        <v>51</v>
      </c>
      <c r="J307" s="17" t="s">
        <v>51</v>
      </c>
      <c r="K307" s="105" t="s">
        <v>51</v>
      </c>
      <c r="L307" s="17" t="s">
        <v>51</v>
      </c>
    </row>
    <row r="308" spans="1:12" s="10" customFormat="1" ht="28.5" customHeight="1" thickBot="1" x14ac:dyDescent="0.4">
      <c r="A308" s="109" t="s">
        <v>314</v>
      </c>
      <c r="B308" s="3">
        <v>8.24</v>
      </c>
      <c r="C308" s="115" t="s">
        <v>51</v>
      </c>
      <c r="D308" s="115">
        <v>6</v>
      </c>
      <c r="E308" s="84">
        <v>315</v>
      </c>
      <c r="F308" s="14">
        <v>212</v>
      </c>
      <c r="G308" s="14" t="s">
        <v>51</v>
      </c>
      <c r="H308" s="14" t="s">
        <v>51</v>
      </c>
      <c r="I308" s="14" t="s">
        <v>51</v>
      </c>
      <c r="J308" s="14" t="s">
        <v>51</v>
      </c>
      <c r="K308" s="116" t="s">
        <v>51</v>
      </c>
      <c r="L308" s="14" t="s">
        <v>51</v>
      </c>
    </row>
    <row r="309" spans="1:12" s="10" customFormat="1" ht="28.5" customHeight="1" x14ac:dyDescent="0.35">
      <c r="A309" s="108" t="s">
        <v>317</v>
      </c>
      <c r="B309" s="110">
        <v>8.36</v>
      </c>
      <c r="C309" s="111" t="s">
        <v>51</v>
      </c>
      <c r="D309" s="111">
        <v>6</v>
      </c>
      <c r="E309" s="112">
        <v>352</v>
      </c>
      <c r="F309" s="113">
        <v>236</v>
      </c>
      <c r="G309" s="113" t="s">
        <v>51</v>
      </c>
      <c r="H309" s="113" t="s">
        <v>51</v>
      </c>
      <c r="I309" s="43" t="s">
        <v>51</v>
      </c>
      <c r="J309" s="43" t="s">
        <v>51</v>
      </c>
      <c r="K309" s="114" t="s">
        <v>51</v>
      </c>
      <c r="L309" s="43" t="s">
        <v>51</v>
      </c>
    </row>
    <row r="310" spans="1:12" s="10" customFormat="1" ht="28.5" customHeight="1" x14ac:dyDescent="0.35">
      <c r="A310" s="99" t="s">
        <v>318</v>
      </c>
      <c r="B310" s="2">
        <v>7.7</v>
      </c>
      <c r="C310" s="2" t="s">
        <v>51</v>
      </c>
      <c r="D310" s="2">
        <v>5</v>
      </c>
      <c r="E310" s="25">
        <v>355</v>
      </c>
      <c r="F310" s="17">
        <v>238</v>
      </c>
      <c r="G310" s="107" t="s">
        <v>51</v>
      </c>
      <c r="H310" s="107" t="s">
        <v>51</v>
      </c>
      <c r="I310" s="17" t="s">
        <v>51</v>
      </c>
      <c r="J310" s="17" t="s">
        <v>51</v>
      </c>
      <c r="K310" s="105" t="s">
        <v>51</v>
      </c>
      <c r="L310" s="17" t="s">
        <v>51</v>
      </c>
    </row>
    <row r="311" spans="1:12" s="10" customFormat="1" ht="28.5" customHeight="1" x14ac:dyDescent="0.35">
      <c r="A311" s="99" t="s">
        <v>319</v>
      </c>
      <c r="B311" s="2">
        <v>8.8800000000000008</v>
      </c>
      <c r="C311" s="2" t="s">
        <v>51</v>
      </c>
      <c r="D311" s="2">
        <v>6</v>
      </c>
      <c r="E311" s="25">
        <v>255</v>
      </c>
      <c r="F311" s="17">
        <v>171</v>
      </c>
      <c r="G311" s="107" t="s">
        <v>51</v>
      </c>
      <c r="H311" s="107" t="s">
        <v>51</v>
      </c>
      <c r="I311" s="17" t="s">
        <v>51</v>
      </c>
      <c r="J311" s="17" t="s">
        <v>51</v>
      </c>
      <c r="K311" s="105" t="s">
        <v>51</v>
      </c>
      <c r="L311" s="17" t="s">
        <v>51</v>
      </c>
    </row>
    <row r="312" spans="1:12" s="10" customFormat="1" ht="28.5" customHeight="1" x14ac:dyDescent="0.35">
      <c r="A312" s="99" t="s">
        <v>320</v>
      </c>
      <c r="B312" s="2">
        <v>8.9</v>
      </c>
      <c r="C312" s="2" t="s">
        <v>51</v>
      </c>
      <c r="D312" s="2">
        <v>5</v>
      </c>
      <c r="E312" s="25">
        <v>253</v>
      </c>
      <c r="F312" s="17">
        <v>168</v>
      </c>
      <c r="G312" s="107" t="s">
        <v>51</v>
      </c>
      <c r="H312" s="107" t="s">
        <v>51</v>
      </c>
      <c r="I312" s="17" t="s">
        <v>51</v>
      </c>
      <c r="J312" s="17" t="s">
        <v>51</v>
      </c>
      <c r="K312" s="105" t="s">
        <v>51</v>
      </c>
      <c r="L312" s="17" t="s">
        <v>51</v>
      </c>
    </row>
    <row r="313" spans="1:12" s="10" customFormat="1" ht="28.5" customHeight="1" x14ac:dyDescent="0.35">
      <c r="A313" s="99" t="s">
        <v>321</v>
      </c>
      <c r="B313" s="2">
        <v>8.3000000000000007</v>
      </c>
      <c r="C313" s="2" t="s">
        <v>51</v>
      </c>
      <c r="D313" s="2">
        <v>5</v>
      </c>
      <c r="E313" s="25">
        <v>274</v>
      </c>
      <c r="F313" s="17">
        <v>184</v>
      </c>
      <c r="G313" s="107" t="s">
        <v>51</v>
      </c>
      <c r="H313" s="107" t="s">
        <v>51</v>
      </c>
      <c r="I313" s="17" t="s">
        <v>51</v>
      </c>
      <c r="J313" s="17" t="s">
        <v>51</v>
      </c>
      <c r="K313" s="105" t="s">
        <v>51</v>
      </c>
      <c r="L313" s="17" t="s">
        <v>51</v>
      </c>
    </row>
    <row r="314" spans="1:12" s="10" customFormat="1" ht="28.5" customHeight="1" x14ac:dyDescent="0.35">
      <c r="A314" s="99" t="s">
        <v>322</v>
      </c>
      <c r="B314" s="2">
        <v>8.67</v>
      </c>
      <c r="C314" s="2" t="s">
        <v>51</v>
      </c>
      <c r="D314" s="2">
        <v>5</v>
      </c>
      <c r="E314" s="25">
        <v>269</v>
      </c>
      <c r="F314" s="17">
        <v>180</v>
      </c>
      <c r="G314" s="107" t="s">
        <v>51</v>
      </c>
      <c r="H314" s="107" t="s">
        <v>51</v>
      </c>
      <c r="I314" s="17" t="s">
        <v>51</v>
      </c>
      <c r="J314" s="17" t="s">
        <v>51</v>
      </c>
      <c r="K314" s="105" t="s">
        <v>51</v>
      </c>
      <c r="L314" s="17" t="s">
        <v>51</v>
      </c>
    </row>
    <row r="315" spans="1:12" s="10" customFormat="1" ht="28.5" customHeight="1" x14ac:dyDescent="0.35">
      <c r="A315" s="99" t="s">
        <v>323</v>
      </c>
      <c r="B315" s="2">
        <v>8.09</v>
      </c>
      <c r="C315" s="2" t="s">
        <v>51</v>
      </c>
      <c r="D315" s="2">
        <v>6</v>
      </c>
      <c r="E315" s="25">
        <v>263</v>
      </c>
      <c r="F315" s="17">
        <v>176</v>
      </c>
      <c r="G315" s="107" t="s">
        <v>51</v>
      </c>
      <c r="H315" s="107" t="s">
        <v>51</v>
      </c>
      <c r="I315" s="17" t="s">
        <v>51</v>
      </c>
      <c r="J315" s="17" t="s">
        <v>51</v>
      </c>
      <c r="K315" s="105" t="s">
        <v>51</v>
      </c>
      <c r="L315" s="17" t="s">
        <v>51</v>
      </c>
    </row>
    <row r="316" spans="1:12" s="10" customFormat="1" ht="28.5" customHeight="1" x14ac:dyDescent="0.35">
      <c r="A316" s="99" t="s">
        <v>324</v>
      </c>
      <c r="B316" s="2">
        <v>8.34</v>
      </c>
      <c r="C316" s="2" t="s">
        <v>51</v>
      </c>
      <c r="D316" s="2">
        <v>5</v>
      </c>
      <c r="E316" s="25">
        <v>244</v>
      </c>
      <c r="F316" s="17">
        <v>164</v>
      </c>
      <c r="G316" s="107" t="s">
        <v>51</v>
      </c>
      <c r="H316" s="107" t="s">
        <v>51</v>
      </c>
      <c r="I316" s="17" t="s">
        <v>51</v>
      </c>
      <c r="J316" s="17" t="s">
        <v>51</v>
      </c>
      <c r="K316" s="105" t="s">
        <v>51</v>
      </c>
      <c r="L316" s="17" t="s">
        <v>51</v>
      </c>
    </row>
    <row r="317" spans="1:12" s="10" customFormat="1" ht="28.5" customHeight="1" x14ac:dyDescent="0.35">
      <c r="A317" s="99" t="s">
        <v>325</v>
      </c>
      <c r="B317" s="2">
        <v>8.42</v>
      </c>
      <c r="C317" s="2" t="s">
        <v>51</v>
      </c>
      <c r="D317" s="2">
        <v>5</v>
      </c>
      <c r="E317" s="25">
        <v>255</v>
      </c>
      <c r="F317" s="17">
        <v>171</v>
      </c>
      <c r="G317" s="107" t="s">
        <v>51</v>
      </c>
      <c r="H317" s="107" t="s">
        <v>51</v>
      </c>
      <c r="I317" s="17" t="s">
        <v>51</v>
      </c>
      <c r="J317" s="17" t="s">
        <v>51</v>
      </c>
      <c r="K317" s="105" t="s">
        <v>51</v>
      </c>
      <c r="L317" s="17" t="s">
        <v>51</v>
      </c>
    </row>
    <row r="318" spans="1:12" s="10" customFormat="1" ht="28.5" customHeight="1" x14ac:dyDescent="0.35">
      <c r="A318" s="99" t="s">
        <v>326</v>
      </c>
      <c r="B318" s="2">
        <v>8.51</v>
      </c>
      <c r="C318" s="2" t="s">
        <v>51</v>
      </c>
      <c r="D318" s="2">
        <v>5</v>
      </c>
      <c r="E318" s="25">
        <v>233</v>
      </c>
      <c r="F318" s="17">
        <v>156</v>
      </c>
      <c r="G318" s="107" t="s">
        <v>51</v>
      </c>
      <c r="H318" s="107" t="s">
        <v>51</v>
      </c>
      <c r="I318" s="17" t="s">
        <v>51</v>
      </c>
      <c r="J318" s="17" t="s">
        <v>51</v>
      </c>
      <c r="K318" s="105" t="s">
        <v>51</v>
      </c>
      <c r="L318" s="17" t="s">
        <v>51</v>
      </c>
    </row>
    <row r="319" spans="1:12" s="10" customFormat="1" ht="28.5" customHeight="1" x14ac:dyDescent="0.35">
      <c r="A319" s="99" t="s">
        <v>327</v>
      </c>
      <c r="B319" s="2">
        <v>8.1199999999999992</v>
      </c>
      <c r="C319" s="2" t="s">
        <v>51</v>
      </c>
      <c r="D319" s="2">
        <v>5</v>
      </c>
      <c r="E319" s="25">
        <v>242</v>
      </c>
      <c r="F319" s="17">
        <v>163</v>
      </c>
      <c r="G319" s="107" t="s">
        <v>51</v>
      </c>
      <c r="H319" s="107" t="s">
        <v>51</v>
      </c>
      <c r="I319" s="17" t="s">
        <v>51</v>
      </c>
      <c r="J319" s="17" t="s">
        <v>51</v>
      </c>
      <c r="K319" s="105" t="s">
        <v>51</v>
      </c>
      <c r="L319" s="17" t="s">
        <v>51</v>
      </c>
    </row>
    <row r="320" spans="1:12" s="10" customFormat="1" ht="28.5" customHeight="1" x14ac:dyDescent="0.35">
      <c r="A320" s="99" t="s">
        <v>328</v>
      </c>
      <c r="B320" s="2">
        <v>8.24</v>
      </c>
      <c r="C320" s="2" t="s">
        <v>51</v>
      </c>
      <c r="D320" s="2">
        <v>6</v>
      </c>
      <c r="E320" s="25">
        <v>231</v>
      </c>
      <c r="F320" s="17">
        <v>155</v>
      </c>
      <c r="G320" s="107" t="s">
        <v>51</v>
      </c>
      <c r="H320" s="107" t="s">
        <v>51</v>
      </c>
      <c r="I320" s="17" t="s">
        <v>51</v>
      </c>
      <c r="J320" s="17" t="s">
        <v>51</v>
      </c>
      <c r="K320" s="105" t="s">
        <v>51</v>
      </c>
      <c r="L320" s="17" t="s">
        <v>51</v>
      </c>
    </row>
    <row r="321" spans="1:12" s="10" customFormat="1" ht="28.5" customHeight="1" x14ac:dyDescent="0.35">
      <c r="A321" s="99" t="s">
        <v>329</v>
      </c>
      <c r="B321" s="2">
        <v>8.65</v>
      </c>
      <c r="C321" s="2" t="s">
        <v>51</v>
      </c>
      <c r="D321" s="2">
        <v>5</v>
      </c>
      <c r="E321" s="25">
        <v>237</v>
      </c>
      <c r="F321" s="17">
        <v>159</v>
      </c>
      <c r="G321" s="107" t="s">
        <v>51</v>
      </c>
      <c r="H321" s="107" t="s">
        <v>51</v>
      </c>
      <c r="I321" s="17" t="s">
        <v>51</v>
      </c>
      <c r="J321" s="17" t="s">
        <v>51</v>
      </c>
      <c r="K321" s="105" t="s">
        <v>51</v>
      </c>
      <c r="L321" s="17" t="s">
        <v>51</v>
      </c>
    </row>
    <row r="322" spans="1:12" s="10" customFormat="1" ht="28.5" customHeight="1" x14ac:dyDescent="0.35">
      <c r="A322" s="99" t="s">
        <v>330</v>
      </c>
      <c r="B322" s="2">
        <v>8.6999999999999993</v>
      </c>
      <c r="C322" s="2" t="s">
        <v>51</v>
      </c>
      <c r="D322" s="2">
        <v>5</v>
      </c>
      <c r="E322" s="25">
        <v>246</v>
      </c>
      <c r="F322" s="17">
        <v>165</v>
      </c>
      <c r="G322" s="107" t="s">
        <v>51</v>
      </c>
      <c r="H322" s="107" t="s">
        <v>51</v>
      </c>
      <c r="I322" s="17" t="s">
        <v>51</v>
      </c>
      <c r="J322" s="17" t="s">
        <v>51</v>
      </c>
      <c r="K322" s="105" t="s">
        <v>51</v>
      </c>
      <c r="L322" s="17" t="s">
        <v>51</v>
      </c>
    </row>
    <row r="323" spans="1:12" s="10" customFormat="1" ht="28.5" customHeight="1" x14ac:dyDescent="0.35">
      <c r="A323" s="99" t="s">
        <v>331</v>
      </c>
      <c r="B323" s="2">
        <v>8.36</v>
      </c>
      <c r="C323" s="2" t="s">
        <v>51</v>
      </c>
      <c r="D323" s="2">
        <v>5</v>
      </c>
      <c r="E323" s="25">
        <v>341</v>
      </c>
      <c r="F323" s="17">
        <v>229</v>
      </c>
      <c r="G323" s="107" t="s">
        <v>51</v>
      </c>
      <c r="H323" s="107" t="s">
        <v>51</v>
      </c>
      <c r="I323" s="17" t="s">
        <v>51</v>
      </c>
      <c r="J323" s="17" t="s">
        <v>51</v>
      </c>
      <c r="K323" s="105" t="s">
        <v>51</v>
      </c>
      <c r="L323" s="17" t="s">
        <v>51</v>
      </c>
    </row>
    <row r="324" spans="1:12" s="10" customFormat="1" ht="28.5" customHeight="1" x14ac:dyDescent="0.35">
      <c r="A324" s="99" t="s">
        <v>332</v>
      </c>
      <c r="B324" s="2">
        <v>8.8699999999999992</v>
      </c>
      <c r="C324" s="2" t="s">
        <v>51</v>
      </c>
      <c r="D324" s="2">
        <v>5</v>
      </c>
      <c r="E324" s="25">
        <v>246</v>
      </c>
      <c r="F324" s="17">
        <v>165</v>
      </c>
      <c r="G324" s="107" t="s">
        <v>51</v>
      </c>
      <c r="H324" s="107" t="s">
        <v>51</v>
      </c>
      <c r="I324" s="17" t="s">
        <v>51</v>
      </c>
      <c r="J324" s="17" t="s">
        <v>51</v>
      </c>
      <c r="K324" s="105" t="s">
        <v>51</v>
      </c>
      <c r="L324" s="17" t="s">
        <v>51</v>
      </c>
    </row>
    <row r="325" spans="1:12" s="10" customFormat="1" ht="28.5" customHeight="1" x14ac:dyDescent="0.35">
      <c r="A325" s="99" t="s">
        <v>333</v>
      </c>
      <c r="B325" s="2">
        <v>8.49</v>
      </c>
      <c r="C325" s="2" t="s">
        <v>51</v>
      </c>
      <c r="D325" s="2">
        <v>5</v>
      </c>
      <c r="E325" s="25">
        <v>272</v>
      </c>
      <c r="F325" s="17">
        <v>185</v>
      </c>
      <c r="G325" s="107" t="s">
        <v>51</v>
      </c>
      <c r="H325" s="107" t="s">
        <v>51</v>
      </c>
      <c r="I325" s="17" t="s">
        <v>51</v>
      </c>
      <c r="J325" s="17" t="s">
        <v>51</v>
      </c>
      <c r="K325" s="105" t="s">
        <v>51</v>
      </c>
      <c r="L325" s="17" t="s">
        <v>51</v>
      </c>
    </row>
    <row r="326" spans="1:12" s="10" customFormat="1" ht="28.5" customHeight="1" x14ac:dyDescent="0.35">
      <c r="A326" s="99" t="s">
        <v>334</v>
      </c>
      <c r="B326" s="2">
        <v>8.2200000000000006</v>
      </c>
      <c r="C326" s="2" t="s">
        <v>51</v>
      </c>
      <c r="D326" s="2">
        <v>5</v>
      </c>
      <c r="E326" s="25">
        <v>255</v>
      </c>
      <c r="F326" s="17">
        <v>171</v>
      </c>
      <c r="G326" s="107" t="s">
        <v>51</v>
      </c>
      <c r="H326" s="107" t="s">
        <v>51</v>
      </c>
      <c r="I326" s="17" t="s">
        <v>51</v>
      </c>
      <c r="J326" s="17" t="s">
        <v>51</v>
      </c>
      <c r="K326" s="105" t="s">
        <v>51</v>
      </c>
      <c r="L326" s="17" t="s">
        <v>51</v>
      </c>
    </row>
    <row r="327" spans="1:12" s="10" customFormat="1" ht="28.5" customHeight="1" x14ac:dyDescent="0.35">
      <c r="A327" s="99" t="s">
        <v>335</v>
      </c>
      <c r="B327" s="2">
        <v>8.85</v>
      </c>
      <c r="C327" s="2" t="s">
        <v>51</v>
      </c>
      <c r="D327" s="2">
        <v>5</v>
      </c>
      <c r="E327" s="25">
        <v>255</v>
      </c>
      <c r="F327" s="17">
        <v>171</v>
      </c>
      <c r="G327" s="107" t="s">
        <v>51</v>
      </c>
      <c r="H327" s="107" t="s">
        <v>51</v>
      </c>
      <c r="I327" s="17" t="s">
        <v>51</v>
      </c>
      <c r="J327" s="17" t="s">
        <v>51</v>
      </c>
      <c r="K327" s="105" t="s">
        <v>51</v>
      </c>
      <c r="L327" s="17" t="s">
        <v>51</v>
      </c>
    </row>
    <row r="328" spans="1:12" s="10" customFormat="1" ht="28.5" customHeight="1" x14ac:dyDescent="0.35">
      <c r="A328" s="99" t="s">
        <v>336</v>
      </c>
      <c r="B328" s="2">
        <v>8.2200000000000006</v>
      </c>
      <c r="C328" s="2" t="s">
        <v>51</v>
      </c>
      <c r="D328" s="2">
        <v>6</v>
      </c>
      <c r="E328" s="25">
        <v>264</v>
      </c>
      <c r="F328" s="17">
        <v>177</v>
      </c>
      <c r="G328" s="107" t="s">
        <v>51</v>
      </c>
      <c r="H328" s="107" t="s">
        <v>51</v>
      </c>
      <c r="I328" s="17" t="s">
        <v>51</v>
      </c>
      <c r="J328" s="17" t="s">
        <v>51</v>
      </c>
      <c r="K328" s="105" t="s">
        <v>51</v>
      </c>
      <c r="L328" s="17" t="s">
        <v>51</v>
      </c>
    </row>
    <row r="329" spans="1:12" s="10" customFormat="1" ht="28.5" customHeight="1" x14ac:dyDescent="0.35">
      <c r="A329" s="99" t="s">
        <v>337</v>
      </c>
      <c r="B329" s="2">
        <v>8.5</v>
      </c>
      <c r="C329" s="2" t="s">
        <v>51</v>
      </c>
      <c r="D329" s="2">
        <v>6</v>
      </c>
      <c r="E329" s="25">
        <v>260</v>
      </c>
      <c r="F329" s="17">
        <v>174</v>
      </c>
      <c r="G329" s="107" t="s">
        <v>51</v>
      </c>
      <c r="H329" s="107" t="s">
        <v>51</v>
      </c>
      <c r="I329" s="17" t="s">
        <v>51</v>
      </c>
      <c r="J329" s="17" t="s">
        <v>51</v>
      </c>
      <c r="K329" s="105" t="s">
        <v>51</v>
      </c>
      <c r="L329" s="17" t="s">
        <v>51</v>
      </c>
    </row>
    <row r="330" spans="1:12" s="10" customFormat="1" ht="28.5" customHeight="1" x14ac:dyDescent="0.35">
      <c r="A330" s="99" t="s">
        <v>338</v>
      </c>
      <c r="B330" s="2">
        <v>8.5500000000000007</v>
      </c>
      <c r="C330" s="2" t="s">
        <v>51</v>
      </c>
      <c r="D330" s="2">
        <v>5</v>
      </c>
      <c r="E330" s="25">
        <v>269</v>
      </c>
      <c r="F330" s="17">
        <v>178</v>
      </c>
      <c r="G330" s="107" t="s">
        <v>51</v>
      </c>
      <c r="H330" s="107" t="s">
        <v>51</v>
      </c>
      <c r="I330" s="17" t="s">
        <v>51</v>
      </c>
      <c r="J330" s="17" t="s">
        <v>51</v>
      </c>
      <c r="K330" s="105" t="s">
        <v>51</v>
      </c>
      <c r="L330" s="17" t="s">
        <v>51</v>
      </c>
    </row>
    <row r="331" spans="1:12" s="10" customFormat="1" ht="28.5" customHeight="1" thickBot="1" x14ac:dyDescent="0.4">
      <c r="A331" s="83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98"/>
    </row>
    <row r="332" spans="1:12" s="10" customFormat="1" ht="21.95" customHeight="1" x14ac:dyDescent="0.35">
      <c r="A332" s="18" t="s">
        <v>10</v>
      </c>
      <c r="B332" s="37">
        <f>MIN(B5:B331)</f>
        <v>6.04</v>
      </c>
      <c r="C332" s="1">
        <v>1</v>
      </c>
      <c r="D332" s="1"/>
      <c r="E332" s="12">
        <f t="shared" ref="E332:K332" si="0">MIN(E5:E331)</f>
        <v>176</v>
      </c>
      <c r="F332" s="1">
        <f t="shared" si="0"/>
        <v>118</v>
      </c>
      <c r="G332" s="12">
        <f t="shared" si="0"/>
        <v>110</v>
      </c>
      <c r="H332" s="12">
        <f t="shared" si="0"/>
        <v>64</v>
      </c>
      <c r="I332" s="12">
        <f t="shared" si="0"/>
        <v>30</v>
      </c>
      <c r="J332" s="56">
        <f t="shared" si="0"/>
        <v>0</v>
      </c>
      <c r="K332" s="56">
        <f t="shared" si="0"/>
        <v>138</v>
      </c>
      <c r="L332" s="48" t="s">
        <v>32</v>
      </c>
    </row>
    <row r="333" spans="1:12" s="10" customFormat="1" ht="21.95" customHeight="1" x14ac:dyDescent="0.35">
      <c r="A333" s="19" t="s">
        <v>9</v>
      </c>
      <c r="B333" s="35">
        <f>MAX(B5:B331)</f>
        <v>9.08</v>
      </c>
      <c r="C333" s="2">
        <v>3</v>
      </c>
      <c r="D333" s="2"/>
      <c r="E333" s="17">
        <v>325</v>
      </c>
      <c r="F333" s="2">
        <f t="shared" ref="F333:K333" si="1">MAX(F5:F331)</f>
        <v>1888</v>
      </c>
      <c r="G333" s="17">
        <f t="shared" si="1"/>
        <v>119</v>
      </c>
      <c r="H333" s="17">
        <f t="shared" si="1"/>
        <v>77</v>
      </c>
      <c r="I333" s="17">
        <f t="shared" si="1"/>
        <v>33</v>
      </c>
      <c r="J333" s="55">
        <f t="shared" si="1"/>
        <v>0</v>
      </c>
      <c r="K333" s="55">
        <f t="shared" si="1"/>
        <v>153</v>
      </c>
      <c r="L333" s="44" t="s">
        <v>32</v>
      </c>
    </row>
    <row r="334" spans="1:12" s="10" customFormat="1" ht="21.95" customHeight="1" thickBot="1" x14ac:dyDescent="0.4">
      <c r="A334" s="20" t="s">
        <v>8</v>
      </c>
      <c r="B334" s="36">
        <v>7.9</v>
      </c>
      <c r="C334" s="3">
        <f>AVERAGE(C5:C331)</f>
        <v>6.2072727272727271</v>
      </c>
      <c r="D334" s="3"/>
      <c r="E334" s="14">
        <f t="shared" ref="E334:K334" si="2">AVERAGE(E5:E331)</f>
        <v>289.46666666666664</v>
      </c>
      <c r="F334" s="3">
        <f t="shared" si="2"/>
        <v>199.6749226006192</v>
      </c>
      <c r="G334" s="14">
        <f t="shared" si="2"/>
        <v>113.8</v>
      </c>
      <c r="H334" s="14">
        <f t="shared" si="2"/>
        <v>68.8</v>
      </c>
      <c r="I334" s="14">
        <f t="shared" si="2"/>
        <v>31.8</v>
      </c>
      <c r="J334" s="54" t="e">
        <f t="shared" si="2"/>
        <v>#DIV/0!</v>
      </c>
      <c r="K334" s="54">
        <f t="shared" si="2"/>
        <v>145.4</v>
      </c>
      <c r="L334" s="49" t="s">
        <v>32</v>
      </c>
    </row>
    <row r="335" spans="1:12" s="10" customFormat="1" ht="21.95" customHeight="1" x14ac:dyDescent="0.35"/>
    <row r="336" spans="1:12" s="10" customFormat="1" ht="21.95" customHeight="1" x14ac:dyDescent="0.35"/>
    <row r="337" spans="1:18" s="10" customFormat="1" ht="21.95" customHeight="1" x14ac:dyDescent="0.35"/>
    <row r="338" spans="1:18" s="10" customFormat="1" ht="21.95" customHeight="1" x14ac:dyDescent="0.35"/>
    <row r="339" spans="1:18" s="10" customFormat="1" ht="21.95" customHeight="1" x14ac:dyDescent="0.35"/>
    <row r="340" spans="1:18" s="10" customFormat="1" ht="21.95" customHeight="1" x14ac:dyDescent="0.35"/>
    <row r="341" spans="1:18" s="10" customFormat="1" ht="21.95" customHeight="1" x14ac:dyDescent="0.35"/>
    <row r="342" spans="1:18" s="10" customFormat="1" ht="21.95" customHeight="1" x14ac:dyDescent="0.35"/>
    <row r="343" spans="1:18" s="10" customFormat="1" ht="21.95" customHeight="1" x14ac:dyDescent="0.35"/>
    <row r="344" spans="1:18" s="10" customFormat="1" ht="21.95" customHeight="1" x14ac:dyDescent="0.35"/>
    <row r="345" spans="1:18" s="10" customFormat="1" ht="13.5" x14ac:dyDescent="0.35">
      <c r="O345" s="11"/>
      <c r="P345" s="11"/>
      <c r="Q345" s="11"/>
      <c r="R345" s="11"/>
    </row>
    <row r="346" spans="1:18" s="10" customFormat="1" ht="13.5" x14ac:dyDescent="0.35">
      <c r="O346" s="11"/>
      <c r="P346" s="11"/>
      <c r="Q346" s="11"/>
      <c r="R346" s="11"/>
    </row>
    <row r="347" spans="1:18" s="10" customFormat="1" ht="13.5" x14ac:dyDescent="0.35">
      <c r="O347" s="11"/>
      <c r="P347" s="11"/>
      <c r="Q347" s="11"/>
      <c r="R347" s="11"/>
    </row>
    <row r="348" spans="1:18" s="10" customFormat="1" ht="13.5" x14ac:dyDescent="0.35">
      <c r="O348" s="11"/>
      <c r="P348" s="11"/>
      <c r="Q348" s="11"/>
      <c r="R348" s="11"/>
    </row>
    <row r="349" spans="1:18" s="11" customFormat="1" ht="13.5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8" s="11" customFormat="1" ht="13.5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8" s="11" customFormat="1" ht="13.5" x14ac:dyDescent="0.35"/>
    <row r="352" spans="1:18" s="11" customFormat="1" ht="13.5" x14ac:dyDescent="0.35"/>
    <row r="353" s="11" customFormat="1" ht="13.5" x14ac:dyDescent="0.35"/>
    <row r="354" s="11" customFormat="1" ht="13.5" x14ac:dyDescent="0.35"/>
    <row r="355" s="11" customFormat="1" ht="13.5" x14ac:dyDescent="0.35"/>
    <row r="356" s="11" customFormat="1" ht="13.5" x14ac:dyDescent="0.35"/>
    <row r="357" s="11" customFormat="1" ht="13.5" x14ac:dyDescent="0.35"/>
    <row r="358" s="11" customFormat="1" ht="13.5" x14ac:dyDescent="0.35"/>
    <row r="359" s="11" customFormat="1" ht="13.5" x14ac:dyDescent="0.35"/>
    <row r="360" s="11" customFormat="1" ht="13.5" x14ac:dyDescent="0.35"/>
    <row r="361" s="11" customFormat="1" ht="13.5" x14ac:dyDescent="0.35"/>
    <row r="362" s="11" customFormat="1" ht="13.5" x14ac:dyDescent="0.35"/>
    <row r="363" s="11" customFormat="1" ht="13.5" x14ac:dyDescent="0.35"/>
    <row r="364" s="11" customFormat="1" ht="13.5" x14ac:dyDescent="0.35"/>
    <row r="365" s="11" customFormat="1" ht="13.5" x14ac:dyDescent="0.35"/>
    <row r="366" s="11" customFormat="1" ht="13.5" x14ac:dyDescent="0.35"/>
    <row r="367" s="11" customFormat="1" ht="13.5" x14ac:dyDescent="0.35"/>
    <row r="368" s="11" customFormat="1" ht="13.5" x14ac:dyDescent="0.35"/>
    <row r="369" s="11" customFormat="1" ht="13.5" x14ac:dyDescent="0.35"/>
    <row r="370" s="11" customFormat="1" ht="13.5" x14ac:dyDescent="0.35"/>
    <row r="371" s="11" customFormat="1" ht="13.5" x14ac:dyDescent="0.35"/>
    <row r="372" s="11" customFormat="1" ht="13.5" x14ac:dyDescent="0.35"/>
    <row r="373" s="11" customFormat="1" ht="13.5" x14ac:dyDescent="0.35"/>
    <row r="374" s="11" customFormat="1" ht="13.5" x14ac:dyDescent="0.35"/>
    <row r="375" s="11" customFormat="1" ht="13.5" x14ac:dyDescent="0.35"/>
    <row r="376" s="11" customFormat="1" ht="13.5" x14ac:dyDescent="0.35"/>
    <row r="377" s="11" customFormat="1" ht="13.5" x14ac:dyDescent="0.35"/>
    <row r="378" s="11" customFormat="1" ht="13.5" x14ac:dyDescent="0.35"/>
    <row r="379" s="11" customFormat="1" ht="13.5" x14ac:dyDescent="0.35"/>
    <row r="380" s="11" customFormat="1" ht="13.5" x14ac:dyDescent="0.35"/>
    <row r="381" s="11" customFormat="1" ht="13.5" x14ac:dyDescent="0.35"/>
    <row r="382" s="11" customFormat="1" ht="13.5" x14ac:dyDescent="0.35"/>
    <row r="383" s="11" customFormat="1" ht="13.5" x14ac:dyDescent="0.35"/>
    <row r="384" s="11" customFormat="1" ht="13.5" x14ac:dyDescent="0.35"/>
    <row r="385" s="11" customFormat="1" ht="13.5" x14ac:dyDescent="0.35"/>
    <row r="386" s="11" customFormat="1" ht="13.5" x14ac:dyDescent="0.35"/>
    <row r="387" s="11" customFormat="1" ht="13.5" x14ac:dyDescent="0.35"/>
    <row r="388" s="11" customFormat="1" ht="13.5" x14ac:dyDescent="0.35"/>
    <row r="389" s="11" customFormat="1" ht="13.5" x14ac:dyDescent="0.35"/>
    <row r="390" s="11" customFormat="1" ht="13.5" x14ac:dyDescent="0.35"/>
    <row r="391" s="11" customFormat="1" ht="13.5" x14ac:dyDescent="0.35"/>
    <row r="392" s="11" customFormat="1" ht="13.5" x14ac:dyDescent="0.35"/>
    <row r="393" s="11" customFormat="1" ht="13.5" x14ac:dyDescent="0.35"/>
    <row r="394" s="11" customFormat="1" ht="13.5" x14ac:dyDescent="0.35"/>
    <row r="395" s="11" customFormat="1" ht="13.5" x14ac:dyDescent="0.35"/>
    <row r="396" s="11" customFormat="1" ht="13.5" x14ac:dyDescent="0.35"/>
    <row r="397" s="11" customFormat="1" ht="13.5" x14ac:dyDescent="0.35"/>
    <row r="398" s="11" customFormat="1" ht="13.5" x14ac:dyDescent="0.35"/>
    <row r="399" s="11" customFormat="1" ht="13.5" x14ac:dyDescent="0.35"/>
    <row r="400" s="11" customFormat="1" ht="13.5" x14ac:dyDescent="0.35"/>
    <row r="401" s="11" customFormat="1" ht="13.5" x14ac:dyDescent="0.35"/>
    <row r="402" s="11" customFormat="1" ht="13.5" x14ac:dyDescent="0.35"/>
    <row r="403" s="11" customFormat="1" ht="13.5" x14ac:dyDescent="0.35"/>
    <row r="404" s="11" customFormat="1" ht="13.5" x14ac:dyDescent="0.35"/>
    <row r="405" s="11" customFormat="1" ht="13.5" x14ac:dyDescent="0.35"/>
    <row r="406" s="11" customFormat="1" ht="13.5" x14ac:dyDescent="0.35"/>
    <row r="407" s="11" customFormat="1" ht="13.5" x14ac:dyDescent="0.35"/>
    <row r="408" s="11" customFormat="1" ht="13.5" x14ac:dyDescent="0.35"/>
    <row r="409" s="11" customFormat="1" ht="13.5" x14ac:dyDescent="0.35"/>
    <row r="410" s="11" customFormat="1" ht="13.5" x14ac:dyDescent="0.35"/>
    <row r="411" s="11" customFormat="1" ht="13.5" x14ac:dyDescent="0.35"/>
    <row r="412" s="11" customFormat="1" ht="13.5" x14ac:dyDescent="0.35"/>
    <row r="413" s="11" customFormat="1" ht="13.5" x14ac:dyDescent="0.35"/>
    <row r="414" s="11" customFormat="1" ht="13.5" x14ac:dyDescent="0.35"/>
    <row r="415" s="11" customFormat="1" ht="13.5" x14ac:dyDescent="0.35"/>
    <row r="416" s="11" customFormat="1" ht="13.5" x14ac:dyDescent="0.35"/>
    <row r="417" s="11" customFormat="1" ht="13.5" x14ac:dyDescent="0.35"/>
    <row r="418" s="11" customFormat="1" ht="13.5" x14ac:dyDescent="0.35"/>
    <row r="419" s="11" customFormat="1" ht="13.5" x14ac:dyDescent="0.35"/>
    <row r="420" s="11" customFormat="1" ht="13.5" x14ac:dyDescent="0.35"/>
    <row r="421" s="11" customFormat="1" ht="13.5" x14ac:dyDescent="0.35"/>
    <row r="422" s="11" customFormat="1" ht="13.5" x14ac:dyDescent="0.35"/>
    <row r="423" s="11" customFormat="1" ht="13.5" x14ac:dyDescent="0.35"/>
    <row r="424" s="11" customFormat="1" ht="13.5" x14ac:dyDescent="0.35"/>
    <row r="425" s="11" customFormat="1" ht="13.5" x14ac:dyDescent="0.35"/>
    <row r="426" s="11" customFormat="1" ht="13.5" x14ac:dyDescent="0.35"/>
    <row r="427" s="11" customFormat="1" ht="13.5" x14ac:dyDescent="0.35"/>
    <row r="428" s="11" customFormat="1" ht="13.5" x14ac:dyDescent="0.35"/>
    <row r="429" s="11" customFormat="1" ht="13.5" x14ac:dyDescent="0.35"/>
    <row r="430" s="11" customFormat="1" ht="13.5" x14ac:dyDescent="0.35"/>
    <row r="431" s="11" customFormat="1" ht="13.5" x14ac:dyDescent="0.35"/>
    <row r="432" s="11" customFormat="1" ht="13.5" x14ac:dyDescent="0.35"/>
    <row r="433" s="11" customFormat="1" ht="13.5" x14ac:dyDescent="0.35"/>
    <row r="434" s="11" customFormat="1" ht="13.5" x14ac:dyDescent="0.35"/>
    <row r="435" s="11" customFormat="1" ht="13.5" x14ac:dyDescent="0.35"/>
    <row r="436" s="11" customFormat="1" ht="13.5" x14ac:dyDescent="0.35"/>
    <row r="437" s="11" customFormat="1" ht="13.5" x14ac:dyDescent="0.35"/>
    <row r="438" s="11" customFormat="1" ht="13.5" x14ac:dyDescent="0.35"/>
    <row r="439" s="11" customFormat="1" ht="13.5" x14ac:dyDescent="0.35"/>
    <row r="440" s="11" customFormat="1" ht="13.5" x14ac:dyDescent="0.35"/>
    <row r="441" s="11" customFormat="1" ht="13.5" x14ac:dyDescent="0.35"/>
    <row r="442" s="11" customFormat="1" ht="13.5" x14ac:dyDescent="0.35"/>
    <row r="443" s="11" customFormat="1" ht="13.5" x14ac:dyDescent="0.35"/>
    <row r="444" s="11" customFormat="1" ht="13.5" x14ac:dyDescent="0.35"/>
    <row r="445" s="11" customFormat="1" ht="13.5" x14ac:dyDescent="0.35"/>
    <row r="446" s="11" customFormat="1" ht="13.5" x14ac:dyDescent="0.35"/>
    <row r="447" s="11" customFormat="1" ht="13.5" x14ac:dyDescent="0.35"/>
    <row r="448" s="11" customFormat="1" ht="13.5" x14ac:dyDescent="0.35"/>
    <row r="449" s="11" customFormat="1" ht="13.5" x14ac:dyDescent="0.35"/>
    <row r="450" s="11" customFormat="1" ht="13.5" x14ac:dyDescent="0.35"/>
    <row r="451" s="11" customFormat="1" ht="13.5" x14ac:dyDescent="0.35"/>
    <row r="452" s="11" customFormat="1" ht="13.5" x14ac:dyDescent="0.35"/>
    <row r="453" s="11" customFormat="1" ht="13.5" x14ac:dyDescent="0.35"/>
    <row r="454" s="11" customFormat="1" ht="13.5" x14ac:dyDescent="0.35"/>
    <row r="455" s="11" customFormat="1" ht="13.5" x14ac:dyDescent="0.35"/>
    <row r="456" s="11" customFormat="1" ht="13.5" x14ac:dyDescent="0.35"/>
    <row r="457" s="11" customFormat="1" ht="13.5" x14ac:dyDescent="0.35"/>
    <row r="458" s="11" customFormat="1" ht="13.5" x14ac:dyDescent="0.35"/>
    <row r="459" s="11" customFormat="1" ht="13.5" x14ac:dyDescent="0.35"/>
    <row r="460" s="11" customFormat="1" ht="13.5" x14ac:dyDescent="0.35"/>
    <row r="461" s="11" customFormat="1" ht="13.5" x14ac:dyDescent="0.35"/>
    <row r="462" s="11" customFormat="1" ht="13.5" x14ac:dyDescent="0.35"/>
    <row r="463" s="11" customFormat="1" ht="13.5" x14ac:dyDescent="0.35"/>
    <row r="464" s="11" customFormat="1" ht="13.5" x14ac:dyDescent="0.35"/>
    <row r="465" s="11" customFormat="1" ht="13.5" x14ac:dyDescent="0.35"/>
    <row r="466" s="11" customFormat="1" ht="13.5" x14ac:dyDescent="0.35"/>
    <row r="467" s="11" customFormat="1" ht="13.5" x14ac:dyDescent="0.35"/>
    <row r="468" s="11" customFormat="1" ht="13.5" x14ac:dyDescent="0.35"/>
    <row r="469" s="11" customFormat="1" ht="13.5" x14ac:dyDescent="0.35"/>
    <row r="470" s="11" customFormat="1" ht="13.5" x14ac:dyDescent="0.35"/>
    <row r="471" s="11" customFormat="1" ht="13.5" x14ac:dyDescent="0.35"/>
    <row r="472" s="11" customFormat="1" ht="13.5" x14ac:dyDescent="0.35"/>
    <row r="473" s="11" customFormat="1" ht="13.5" x14ac:dyDescent="0.35"/>
    <row r="474" s="11" customFormat="1" ht="13.5" x14ac:dyDescent="0.35"/>
    <row r="475" s="11" customFormat="1" ht="13.5" x14ac:dyDescent="0.35"/>
    <row r="476" s="11" customFormat="1" ht="13.5" x14ac:dyDescent="0.35"/>
    <row r="477" s="11" customFormat="1" ht="13.5" x14ac:dyDescent="0.35"/>
    <row r="478" s="11" customFormat="1" ht="13.5" x14ac:dyDescent="0.35"/>
    <row r="479" s="11" customFormat="1" ht="13.5" x14ac:dyDescent="0.35"/>
    <row r="480" s="11" customFormat="1" ht="13.5" x14ac:dyDescent="0.35"/>
    <row r="481" s="11" customFormat="1" ht="13.5" x14ac:dyDescent="0.35"/>
    <row r="482" s="11" customFormat="1" ht="13.5" x14ac:dyDescent="0.35"/>
    <row r="483" s="11" customFormat="1" ht="13.5" x14ac:dyDescent="0.35"/>
    <row r="484" s="11" customFormat="1" ht="13.5" x14ac:dyDescent="0.35"/>
    <row r="485" s="11" customFormat="1" ht="13.5" x14ac:dyDescent="0.35"/>
    <row r="486" s="11" customFormat="1" ht="13.5" x14ac:dyDescent="0.35"/>
    <row r="487" s="11" customFormat="1" ht="13.5" x14ac:dyDescent="0.35"/>
    <row r="488" s="11" customFormat="1" ht="13.5" x14ac:dyDescent="0.35"/>
    <row r="489" s="11" customFormat="1" ht="13.5" x14ac:dyDescent="0.35"/>
    <row r="490" s="11" customFormat="1" ht="13.5" x14ac:dyDescent="0.35"/>
    <row r="491" s="11" customFormat="1" ht="13.5" x14ac:dyDescent="0.35"/>
    <row r="492" s="11" customFormat="1" ht="13.5" x14ac:dyDescent="0.35"/>
    <row r="493" s="11" customFormat="1" ht="13.5" x14ac:dyDescent="0.35"/>
    <row r="494" s="11" customFormat="1" ht="13.5" x14ac:dyDescent="0.35"/>
    <row r="495" s="11" customFormat="1" ht="13.5" x14ac:dyDescent="0.35"/>
    <row r="496" s="11" customFormat="1" ht="13.5" x14ac:dyDescent="0.35"/>
    <row r="497" s="11" customFormat="1" ht="13.5" x14ac:dyDescent="0.35"/>
    <row r="498" s="11" customFormat="1" ht="13.5" x14ac:dyDescent="0.35"/>
    <row r="499" s="11" customFormat="1" ht="13.5" x14ac:dyDescent="0.35"/>
    <row r="500" s="11" customFormat="1" ht="13.5" x14ac:dyDescent="0.35"/>
    <row r="501" s="11" customFormat="1" ht="13.5" x14ac:dyDescent="0.35"/>
    <row r="502" s="11" customFormat="1" ht="13.5" x14ac:dyDescent="0.35"/>
    <row r="503" s="11" customFormat="1" ht="13.5" x14ac:dyDescent="0.35"/>
    <row r="504" s="11" customFormat="1" ht="13.5" x14ac:dyDescent="0.35"/>
    <row r="505" s="11" customFormat="1" ht="13.5" x14ac:dyDescent="0.35"/>
    <row r="506" s="11" customFormat="1" ht="13.5" x14ac:dyDescent="0.35"/>
    <row r="507" s="11" customFormat="1" ht="13.5" x14ac:dyDescent="0.35"/>
    <row r="508" s="11" customFormat="1" ht="13.5" x14ac:dyDescent="0.35"/>
    <row r="509" s="11" customFormat="1" ht="13.5" x14ac:dyDescent="0.35"/>
    <row r="510" s="11" customFormat="1" ht="13.5" x14ac:dyDescent="0.35"/>
    <row r="511" s="11" customFormat="1" ht="13.5" x14ac:dyDescent="0.35"/>
    <row r="512" s="11" customFormat="1" ht="13.5" x14ac:dyDescent="0.35"/>
    <row r="513" s="11" customFormat="1" ht="13.5" x14ac:dyDescent="0.35"/>
    <row r="514" s="11" customFormat="1" ht="13.5" x14ac:dyDescent="0.35"/>
    <row r="515" s="11" customFormat="1" ht="13.5" x14ac:dyDescent="0.35"/>
    <row r="516" s="11" customFormat="1" ht="13.5" x14ac:dyDescent="0.35"/>
    <row r="517" s="11" customFormat="1" ht="13.5" x14ac:dyDescent="0.35"/>
    <row r="518" s="11" customFormat="1" ht="13.5" x14ac:dyDescent="0.35"/>
    <row r="519" s="11" customFormat="1" ht="13.5" x14ac:dyDescent="0.35"/>
    <row r="520" s="11" customFormat="1" ht="13.5" x14ac:dyDescent="0.35"/>
    <row r="521" s="11" customFormat="1" ht="13.5" x14ac:dyDescent="0.35"/>
    <row r="522" s="11" customFormat="1" ht="13.5" x14ac:dyDescent="0.35"/>
    <row r="523" s="11" customFormat="1" ht="13.5" x14ac:dyDescent="0.35"/>
    <row r="524" s="11" customFormat="1" ht="13.5" x14ac:dyDescent="0.35"/>
    <row r="525" s="11" customFormat="1" ht="13.5" x14ac:dyDescent="0.35"/>
    <row r="526" s="11" customFormat="1" ht="13.5" x14ac:dyDescent="0.35"/>
    <row r="527" s="11" customFormat="1" ht="13.5" x14ac:dyDescent="0.35"/>
    <row r="528" s="11" customFormat="1" ht="13.5" x14ac:dyDescent="0.35"/>
    <row r="529" s="11" customFormat="1" ht="13.5" x14ac:dyDescent="0.35"/>
    <row r="530" s="11" customFormat="1" ht="13.5" x14ac:dyDescent="0.35"/>
    <row r="531" s="11" customFormat="1" ht="13.5" x14ac:dyDescent="0.35"/>
    <row r="532" s="11" customFormat="1" ht="13.5" x14ac:dyDescent="0.35"/>
    <row r="533" s="11" customFormat="1" ht="13.5" x14ac:dyDescent="0.35"/>
    <row r="534" s="11" customFormat="1" ht="13.5" x14ac:dyDescent="0.35"/>
    <row r="535" s="11" customFormat="1" ht="13.5" x14ac:dyDescent="0.35"/>
    <row r="536" s="11" customFormat="1" ht="13.5" x14ac:dyDescent="0.35"/>
    <row r="537" s="11" customFormat="1" ht="13.5" x14ac:dyDescent="0.35"/>
    <row r="538" s="11" customFormat="1" ht="13.5" x14ac:dyDescent="0.35"/>
    <row r="539" s="11" customFormat="1" ht="13.5" x14ac:dyDescent="0.35"/>
    <row r="540" s="11" customFormat="1" ht="13.5" x14ac:dyDescent="0.35"/>
    <row r="541" s="11" customFormat="1" ht="13.5" x14ac:dyDescent="0.35"/>
    <row r="542" s="11" customFormat="1" ht="13.5" x14ac:dyDescent="0.35"/>
    <row r="543" s="11" customFormat="1" ht="13.5" x14ac:dyDescent="0.35"/>
    <row r="544" s="11" customFormat="1" ht="13.5" x14ac:dyDescent="0.35"/>
    <row r="545" s="11" customFormat="1" ht="13.5" x14ac:dyDescent="0.35"/>
    <row r="546" s="11" customFormat="1" ht="13.5" x14ac:dyDescent="0.35"/>
    <row r="547" s="11" customFormat="1" ht="13.5" x14ac:dyDescent="0.35"/>
    <row r="548" s="11" customFormat="1" ht="13.5" x14ac:dyDescent="0.35"/>
    <row r="549" s="11" customFormat="1" ht="13.5" x14ac:dyDescent="0.35"/>
    <row r="550" s="11" customFormat="1" ht="13.5" x14ac:dyDescent="0.35"/>
    <row r="551" s="11" customFormat="1" ht="13.5" x14ac:dyDescent="0.35"/>
    <row r="552" s="11" customFormat="1" ht="13.5" x14ac:dyDescent="0.35"/>
    <row r="553" s="11" customFormat="1" ht="13.5" x14ac:dyDescent="0.35"/>
    <row r="554" s="11" customFormat="1" ht="13.5" x14ac:dyDescent="0.35"/>
    <row r="555" s="11" customFormat="1" ht="13.5" x14ac:dyDescent="0.35"/>
    <row r="556" s="11" customFormat="1" ht="13.5" x14ac:dyDescent="0.35"/>
    <row r="557" s="11" customFormat="1" ht="13.5" x14ac:dyDescent="0.35"/>
    <row r="558" s="11" customFormat="1" ht="13.5" x14ac:dyDescent="0.35"/>
    <row r="559" s="11" customFormat="1" ht="13.5" x14ac:dyDescent="0.35"/>
    <row r="560" s="11" customFormat="1" ht="13.5" x14ac:dyDescent="0.35"/>
    <row r="561" s="11" customFormat="1" ht="13.5" x14ac:dyDescent="0.35"/>
    <row r="562" s="11" customFormat="1" ht="13.5" x14ac:dyDescent="0.35"/>
    <row r="563" s="11" customFormat="1" ht="13.5" x14ac:dyDescent="0.35"/>
    <row r="564" s="11" customFormat="1" ht="13.5" x14ac:dyDescent="0.35"/>
    <row r="565" s="11" customFormat="1" ht="13.5" x14ac:dyDescent="0.35"/>
    <row r="566" s="11" customFormat="1" ht="13.5" x14ac:dyDescent="0.35"/>
    <row r="567" s="11" customFormat="1" ht="13.5" x14ac:dyDescent="0.35"/>
    <row r="568" s="11" customFormat="1" ht="13.5" x14ac:dyDescent="0.35"/>
    <row r="569" s="11" customFormat="1" ht="13.5" x14ac:dyDescent="0.35"/>
    <row r="570" s="11" customFormat="1" ht="13.5" x14ac:dyDescent="0.35"/>
    <row r="571" s="11" customFormat="1" ht="13.5" x14ac:dyDescent="0.35"/>
    <row r="572" s="11" customFormat="1" ht="13.5" x14ac:dyDescent="0.35"/>
    <row r="573" s="11" customFormat="1" ht="13.5" x14ac:dyDescent="0.35"/>
    <row r="574" s="11" customFormat="1" ht="13.5" x14ac:dyDescent="0.35"/>
    <row r="575" s="11" customFormat="1" ht="13.5" x14ac:dyDescent="0.35"/>
    <row r="576" s="11" customFormat="1" ht="13.5" x14ac:dyDescent="0.35"/>
    <row r="577" s="11" customFormat="1" ht="13.5" x14ac:dyDescent="0.35"/>
    <row r="578" s="11" customFormat="1" ht="13.5" x14ac:dyDescent="0.35"/>
    <row r="579" s="11" customFormat="1" ht="13.5" x14ac:dyDescent="0.35"/>
    <row r="580" s="11" customFormat="1" ht="13.5" x14ac:dyDescent="0.35"/>
    <row r="581" s="11" customFormat="1" ht="13.5" x14ac:dyDescent="0.35"/>
    <row r="582" s="11" customFormat="1" ht="13.5" x14ac:dyDescent="0.35"/>
    <row r="583" s="11" customFormat="1" ht="13.5" x14ac:dyDescent="0.35"/>
    <row r="584" s="11" customFormat="1" ht="13.5" x14ac:dyDescent="0.35"/>
    <row r="585" s="11" customFormat="1" ht="13.5" x14ac:dyDescent="0.35"/>
    <row r="586" s="11" customFormat="1" ht="13.5" x14ac:dyDescent="0.35"/>
    <row r="587" s="11" customFormat="1" ht="13.5" x14ac:dyDescent="0.35"/>
    <row r="588" s="11" customFormat="1" ht="13.5" x14ac:dyDescent="0.35"/>
    <row r="589" s="11" customFormat="1" ht="13.5" x14ac:dyDescent="0.35"/>
    <row r="590" s="11" customFormat="1" ht="13.5" x14ac:dyDescent="0.35"/>
    <row r="591" s="11" customFormat="1" ht="13.5" x14ac:dyDescent="0.35"/>
    <row r="592" s="11" customFormat="1" ht="13.5" x14ac:dyDescent="0.35"/>
    <row r="593" spans="15:18" s="11" customFormat="1" ht="13.5" x14ac:dyDescent="0.35"/>
    <row r="594" spans="15:18" s="11" customFormat="1" ht="13.5" x14ac:dyDescent="0.35"/>
    <row r="595" spans="15:18" s="11" customFormat="1" ht="13.5" x14ac:dyDescent="0.35"/>
    <row r="596" spans="15:18" s="11" customFormat="1" ht="13.5" x14ac:dyDescent="0.35"/>
    <row r="597" spans="15:18" s="11" customFormat="1" ht="13.5" x14ac:dyDescent="0.35"/>
    <row r="598" spans="15:18" s="11" customFormat="1" ht="13.5" x14ac:dyDescent="0.35"/>
    <row r="599" spans="15:18" s="11" customFormat="1" ht="13.5" x14ac:dyDescent="0.35"/>
    <row r="600" spans="15:18" s="11" customFormat="1" ht="13.5" x14ac:dyDescent="0.35"/>
    <row r="601" spans="15:18" s="11" customFormat="1" ht="13.5" x14ac:dyDescent="0.35"/>
    <row r="602" spans="15:18" s="11" customFormat="1" ht="13.5" x14ac:dyDescent="0.35"/>
    <row r="603" spans="15:18" s="11" customFormat="1" ht="13.5" x14ac:dyDescent="0.35"/>
    <row r="604" spans="15:18" s="11" customFormat="1" ht="13.5" x14ac:dyDescent="0.35"/>
    <row r="605" spans="15:18" s="11" customFormat="1" ht="13.5" x14ac:dyDescent="0.35"/>
    <row r="606" spans="15:18" s="11" customFormat="1" ht="13.5" x14ac:dyDescent="0.35"/>
    <row r="607" spans="15:18" s="11" customFormat="1" ht="13.5" x14ac:dyDescent="0.35"/>
    <row r="608" spans="15:18" s="11" customFormat="1" ht="13.5" x14ac:dyDescent="0.35">
      <c r="O608" s="4"/>
      <c r="P608" s="4"/>
      <c r="Q608" s="4"/>
      <c r="R608" s="4"/>
    </row>
    <row r="609" spans="1:18" s="11" customFormat="1" ht="13.5" x14ac:dyDescent="0.35">
      <c r="O609" s="4"/>
      <c r="P609" s="4"/>
      <c r="Q609" s="4"/>
      <c r="R609" s="4"/>
    </row>
    <row r="610" spans="1:18" s="11" customFormat="1" ht="13.5" x14ac:dyDescent="0.35">
      <c r="O610" s="4"/>
      <c r="P610" s="4"/>
      <c r="Q610" s="4"/>
      <c r="R610" s="4"/>
    </row>
    <row r="611" spans="1:18" s="11" customFormat="1" ht="13.5" x14ac:dyDescent="0.35">
      <c r="O611" s="4"/>
      <c r="P611" s="4"/>
      <c r="Q611" s="4"/>
      <c r="R611" s="4"/>
    </row>
    <row r="612" spans="1:18" ht="13.5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 spans="1:18" ht="13.5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</sheetData>
  <mergeCells count="4">
    <mergeCell ref="A1:L1"/>
    <mergeCell ref="B185:L185"/>
    <mergeCell ref="B186:L186"/>
    <mergeCell ref="B305:L305"/>
  </mergeCells>
  <phoneticPr fontId="0" type="noConversion"/>
  <printOptions horizontalCentered="1" verticalCentered="1"/>
  <pageMargins left="0.35433070866141736" right="3.937007874015748E-2" top="0.31496062992125984" bottom="0" header="0.51181102362204722" footer="0.51181102362204722"/>
  <pageSetup scale="64" fitToWidth="2" fitToHeight="2" orientation="portrait" horizontalDpi="4294967295" verticalDpi="300" r:id="rId1"/>
  <headerFooter scaleWithDoc="0" alignWithMargins="0">
    <oddHeader>&amp;R&amp;G</oddHeader>
    <oddFooter>&amp;R&amp;"Verdana,Italic"&amp;K0033CCCWT Monthly Report - December 2014</oddFooter>
  </headerFooter>
  <ignoredErrors>
    <ignoredError sqref="B333" formulaRange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EC05-44E2-43C9-82A5-368AF585A61C}">
  <dimension ref="A1:BB359"/>
  <sheetViews>
    <sheetView showGridLines="0" tabSelected="1" zoomScale="75" zoomScaleNormal="75" zoomScaleSheetLayoutView="75" workbookViewId="0">
      <pane xSplit="1" ySplit="4" topLeftCell="B299" activePane="bottomRight" state="frozen"/>
      <selection activeCell="A29" sqref="A29"/>
      <selection pane="topRight" activeCell="A29" sqref="A29"/>
      <selection pane="bottomLeft" activeCell="A29" sqref="A29"/>
      <selection pane="bottomRight" activeCell="C309" sqref="C309"/>
    </sheetView>
  </sheetViews>
  <sheetFormatPr defaultColWidth="9.1328125" defaultRowHeight="13.5" x14ac:dyDescent="0.35"/>
  <cols>
    <col min="1" max="1" width="15.3984375" style="21" bestFit="1" customWidth="1"/>
    <col min="2" max="2" width="9.265625" style="21" customWidth="1"/>
    <col min="3" max="4" width="12.265625" style="21" customWidth="1"/>
    <col min="5" max="5" width="11.1328125" style="21" customWidth="1"/>
    <col min="6" max="7" width="13.3984375" style="21" customWidth="1"/>
    <col min="8" max="8" width="13.265625" style="21" customWidth="1"/>
    <col min="9" max="9" width="8.59765625" style="21" customWidth="1"/>
    <col min="10" max="10" width="8.3984375" style="21" customWidth="1"/>
    <col min="11" max="11" width="11.59765625" style="21" customWidth="1"/>
    <col min="12" max="12" width="11.73046875" style="21" customWidth="1"/>
    <col min="13" max="13" width="11.59765625" style="21" customWidth="1"/>
    <col min="14" max="15" width="11.3984375" style="21" customWidth="1"/>
    <col min="16" max="16" width="11.1328125" style="21" customWidth="1"/>
    <col min="17" max="17" width="13.1328125" style="21" customWidth="1"/>
    <col min="18" max="18" width="9.265625" style="21" customWidth="1"/>
    <col min="19" max="19" width="3.3984375" style="23" customWidth="1"/>
    <col min="20" max="41" width="8.86328125" customWidth="1"/>
    <col min="42" max="42" width="4.3984375" style="21" customWidth="1"/>
    <col min="43" max="16384" width="9.1328125" style="21"/>
  </cols>
  <sheetData>
    <row r="1" spans="1:53" s="23" customFormat="1" ht="19.899999999999999" x14ac:dyDescent="0.35">
      <c r="A1" s="124" t="s">
        <v>33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7"/>
    </row>
    <row r="2" spans="1:53" s="23" customFormat="1" ht="15" customHeight="1" thickBot="1" x14ac:dyDescent="0.4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9"/>
    </row>
    <row r="3" spans="1:53" ht="30" customHeight="1" x14ac:dyDescent="0.35">
      <c r="A3" s="122" t="s">
        <v>0</v>
      </c>
      <c r="B3" s="100" t="s">
        <v>1</v>
      </c>
      <c r="C3" s="78" t="s">
        <v>2</v>
      </c>
      <c r="D3" s="78" t="s">
        <v>316</v>
      </c>
      <c r="E3" s="78" t="s">
        <v>18</v>
      </c>
      <c r="F3" s="78" t="s">
        <v>3</v>
      </c>
      <c r="G3" s="78" t="s">
        <v>28</v>
      </c>
      <c r="H3" s="78" t="s">
        <v>4</v>
      </c>
      <c r="I3" s="78" t="s">
        <v>5</v>
      </c>
      <c r="J3" s="78" t="s">
        <v>6</v>
      </c>
      <c r="K3" s="78" t="s">
        <v>7</v>
      </c>
      <c r="L3" s="78" t="s">
        <v>49</v>
      </c>
      <c r="M3" s="78" t="s">
        <v>30</v>
      </c>
      <c r="N3" s="78" t="s">
        <v>31</v>
      </c>
      <c r="O3" s="78" t="s">
        <v>34</v>
      </c>
      <c r="P3" s="78" t="s">
        <v>35</v>
      </c>
      <c r="Q3" s="78" t="s">
        <v>36</v>
      </c>
      <c r="R3" s="79" t="s">
        <v>25</v>
      </c>
      <c r="S3" s="29"/>
      <c r="AP3" s="30"/>
    </row>
    <row r="4" spans="1:53" ht="45.75" customHeight="1" thickBot="1" x14ac:dyDescent="0.4">
      <c r="A4" s="123"/>
      <c r="B4" s="101" t="s">
        <v>47</v>
      </c>
      <c r="C4" s="80" t="s">
        <v>37</v>
      </c>
      <c r="D4" s="80"/>
      <c r="E4" s="81" t="s">
        <v>44</v>
      </c>
      <c r="F4" s="80" t="s">
        <v>45</v>
      </c>
      <c r="G4" s="80" t="s">
        <v>48</v>
      </c>
      <c r="H4" s="80" t="s">
        <v>38</v>
      </c>
      <c r="I4" s="80" t="s">
        <v>11</v>
      </c>
      <c r="J4" s="80" t="s">
        <v>11</v>
      </c>
      <c r="K4" s="80" t="s">
        <v>39</v>
      </c>
      <c r="L4" s="80" t="s">
        <v>50</v>
      </c>
      <c r="M4" s="80" t="s">
        <v>40</v>
      </c>
      <c r="N4" s="80" t="s">
        <v>41</v>
      </c>
      <c r="O4" s="80" t="s">
        <v>42</v>
      </c>
      <c r="P4" s="80" t="s">
        <v>11</v>
      </c>
      <c r="Q4" s="80" t="s">
        <v>43</v>
      </c>
      <c r="R4" s="82" t="s">
        <v>46</v>
      </c>
      <c r="S4" s="29"/>
      <c r="AP4" s="30"/>
    </row>
    <row r="5" spans="1:53" ht="18" customHeight="1" x14ac:dyDescent="0.35">
      <c r="A5" s="99">
        <v>45505</v>
      </c>
      <c r="B5" s="1">
        <v>7.22</v>
      </c>
      <c r="C5" s="12">
        <v>14</v>
      </c>
      <c r="D5" s="12"/>
      <c r="E5" s="1" t="s">
        <v>32</v>
      </c>
      <c r="F5" s="85">
        <v>1165</v>
      </c>
      <c r="G5" s="85">
        <v>781</v>
      </c>
      <c r="H5" s="76">
        <v>565</v>
      </c>
      <c r="I5" s="76">
        <v>203</v>
      </c>
      <c r="J5" s="25">
        <f>H5-I5</f>
        <v>362</v>
      </c>
      <c r="K5" s="86">
        <v>186</v>
      </c>
      <c r="L5" s="59" t="s">
        <v>51</v>
      </c>
      <c r="M5" s="60" t="s">
        <v>51</v>
      </c>
      <c r="N5" s="59" t="s">
        <v>32</v>
      </c>
      <c r="O5" s="57" t="s">
        <v>51</v>
      </c>
      <c r="P5" s="12"/>
      <c r="Q5" s="87"/>
      <c r="R5" s="88" t="s">
        <v>51</v>
      </c>
      <c r="S5" s="31"/>
      <c r="AP5" s="3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spans="1:53" ht="18" customHeight="1" x14ac:dyDescent="0.35">
      <c r="A6" s="99">
        <v>45506</v>
      </c>
      <c r="B6" s="2">
        <v>7.02</v>
      </c>
      <c r="C6" s="58">
        <v>11</v>
      </c>
      <c r="D6" s="58"/>
      <c r="E6" s="2">
        <v>0.1</v>
      </c>
      <c r="F6" s="50">
        <v>1177</v>
      </c>
      <c r="G6" s="25">
        <v>789</v>
      </c>
      <c r="H6" s="25">
        <v>551</v>
      </c>
      <c r="I6" s="25">
        <v>194</v>
      </c>
      <c r="J6" s="25">
        <f t="shared" ref="J6:J28" si="0">H6-I6</f>
        <v>357</v>
      </c>
      <c r="K6" s="25">
        <v>194</v>
      </c>
      <c r="L6" s="59" t="s">
        <v>51</v>
      </c>
      <c r="M6" s="60" t="s">
        <v>51</v>
      </c>
      <c r="N6" s="59" t="s">
        <v>32</v>
      </c>
      <c r="O6" s="57" t="s">
        <v>51</v>
      </c>
      <c r="P6" s="58"/>
      <c r="Q6" s="60"/>
      <c r="R6" s="89"/>
      <c r="S6" s="31"/>
      <c r="AP6" s="3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</row>
    <row r="7" spans="1:53" ht="18" customHeight="1" x14ac:dyDescent="0.35">
      <c r="A7" s="99">
        <v>45507</v>
      </c>
      <c r="B7" s="2">
        <v>7.09</v>
      </c>
      <c r="C7" s="58">
        <v>18</v>
      </c>
      <c r="D7" s="58"/>
      <c r="E7" s="2">
        <v>0.6</v>
      </c>
      <c r="F7" s="50">
        <v>1213</v>
      </c>
      <c r="G7" s="50">
        <v>813</v>
      </c>
      <c r="H7" s="25">
        <v>560</v>
      </c>
      <c r="I7" s="25">
        <v>185</v>
      </c>
      <c r="J7" s="25">
        <f t="shared" si="0"/>
        <v>375</v>
      </c>
      <c r="K7" s="25">
        <v>170</v>
      </c>
      <c r="L7" s="59" t="s">
        <v>51</v>
      </c>
      <c r="M7" s="60" t="s">
        <v>51</v>
      </c>
      <c r="N7" s="59" t="s">
        <v>32</v>
      </c>
      <c r="O7" s="57" t="s">
        <v>51</v>
      </c>
      <c r="P7" s="58"/>
      <c r="Q7" s="60"/>
      <c r="R7" s="89"/>
      <c r="S7" s="31"/>
      <c r="AP7" s="3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</row>
    <row r="8" spans="1:53" ht="18" customHeight="1" x14ac:dyDescent="0.35">
      <c r="A8" s="99">
        <v>45509</v>
      </c>
      <c r="B8" s="2">
        <v>8.01</v>
      </c>
      <c r="C8" s="17">
        <v>15</v>
      </c>
      <c r="D8" s="17"/>
      <c r="E8" s="2">
        <v>0.3</v>
      </c>
      <c r="F8" s="50">
        <v>1328</v>
      </c>
      <c r="G8" s="50">
        <v>890</v>
      </c>
      <c r="H8" s="25">
        <v>524</v>
      </c>
      <c r="I8" s="25">
        <v>194</v>
      </c>
      <c r="J8" s="25">
        <f t="shared" si="0"/>
        <v>330</v>
      </c>
      <c r="K8" s="25">
        <v>186</v>
      </c>
      <c r="L8" s="59" t="s">
        <v>51</v>
      </c>
      <c r="M8" s="60" t="s">
        <v>51</v>
      </c>
      <c r="N8" s="59" t="s">
        <v>32</v>
      </c>
      <c r="O8" s="57" t="s">
        <v>51</v>
      </c>
      <c r="P8" s="58"/>
      <c r="Q8" s="60"/>
      <c r="R8" s="89"/>
      <c r="S8" s="31"/>
      <c r="AP8" s="3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</row>
    <row r="9" spans="1:53" ht="18" customHeight="1" x14ac:dyDescent="0.35">
      <c r="A9" s="99">
        <v>45510</v>
      </c>
      <c r="B9" s="2">
        <v>7.6</v>
      </c>
      <c r="C9" s="58">
        <v>11</v>
      </c>
      <c r="D9" s="58"/>
      <c r="E9" s="2">
        <v>0.2</v>
      </c>
      <c r="F9" s="50">
        <v>1300</v>
      </c>
      <c r="G9" s="50">
        <v>871</v>
      </c>
      <c r="H9" s="25">
        <v>520</v>
      </c>
      <c r="I9" s="25">
        <v>203</v>
      </c>
      <c r="J9" s="25">
        <f t="shared" si="0"/>
        <v>317</v>
      </c>
      <c r="K9" s="25">
        <v>203</v>
      </c>
      <c r="L9" s="59" t="s">
        <v>51</v>
      </c>
      <c r="M9" s="60" t="s">
        <v>51</v>
      </c>
      <c r="N9" s="59" t="s">
        <v>32</v>
      </c>
      <c r="O9" s="57" t="s">
        <v>51</v>
      </c>
      <c r="P9" s="58"/>
      <c r="Q9" s="60"/>
      <c r="R9" s="89"/>
      <c r="S9" s="31"/>
      <c r="AP9" s="3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</row>
    <row r="10" spans="1:53" ht="18" customHeight="1" x14ac:dyDescent="0.35">
      <c r="A10" s="99">
        <v>45511</v>
      </c>
      <c r="B10" s="2">
        <v>7.8</v>
      </c>
      <c r="C10" s="17">
        <v>19</v>
      </c>
      <c r="D10" s="17"/>
      <c r="E10" s="2">
        <v>0.5</v>
      </c>
      <c r="F10" s="50">
        <v>1307</v>
      </c>
      <c r="G10" s="50">
        <v>876</v>
      </c>
      <c r="H10" s="25">
        <v>511</v>
      </c>
      <c r="I10" s="25">
        <v>190</v>
      </c>
      <c r="J10" s="25">
        <f t="shared" si="0"/>
        <v>321</v>
      </c>
      <c r="K10" s="25">
        <v>194</v>
      </c>
      <c r="L10" s="59" t="s">
        <v>51</v>
      </c>
      <c r="M10" s="60" t="s">
        <v>51</v>
      </c>
      <c r="N10" s="59" t="s">
        <v>32</v>
      </c>
      <c r="O10" s="57" t="s">
        <v>51</v>
      </c>
      <c r="P10" s="58"/>
      <c r="Q10" s="60"/>
      <c r="R10" s="89"/>
      <c r="S10" s="31"/>
      <c r="AP10" s="3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</row>
    <row r="11" spans="1:53" ht="18" customHeight="1" x14ac:dyDescent="0.35">
      <c r="A11" s="99">
        <v>45512</v>
      </c>
      <c r="B11" s="2">
        <v>7.99</v>
      </c>
      <c r="C11" s="58">
        <v>28</v>
      </c>
      <c r="D11" s="58"/>
      <c r="E11" s="2" t="s">
        <v>32</v>
      </c>
      <c r="F11" s="17">
        <v>1415</v>
      </c>
      <c r="G11" s="17">
        <v>948</v>
      </c>
      <c r="H11" s="17">
        <v>533</v>
      </c>
      <c r="I11" s="17"/>
      <c r="J11" s="25">
        <f t="shared" si="0"/>
        <v>533</v>
      </c>
      <c r="K11" s="17">
        <v>203</v>
      </c>
      <c r="L11" s="59" t="s">
        <v>51</v>
      </c>
      <c r="M11" s="60" t="s">
        <v>51</v>
      </c>
      <c r="N11" s="59" t="s">
        <v>32</v>
      </c>
      <c r="O11" s="57" t="s">
        <v>51</v>
      </c>
      <c r="P11" s="58"/>
      <c r="Q11" s="60"/>
      <c r="R11" s="89"/>
      <c r="S11" s="31"/>
      <c r="AP11" s="3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</row>
    <row r="12" spans="1:53" ht="18" customHeight="1" x14ac:dyDescent="0.35">
      <c r="A12" s="99">
        <v>45513</v>
      </c>
      <c r="B12" s="2">
        <v>7.67</v>
      </c>
      <c r="C12" s="58">
        <v>16</v>
      </c>
      <c r="D12" s="58"/>
      <c r="E12" s="2">
        <v>0.5</v>
      </c>
      <c r="F12" s="50">
        <v>1271</v>
      </c>
      <c r="G12" s="50">
        <v>852</v>
      </c>
      <c r="H12" s="25">
        <v>520</v>
      </c>
      <c r="I12" s="25">
        <v>194</v>
      </c>
      <c r="J12" s="25">
        <f t="shared" si="0"/>
        <v>326</v>
      </c>
      <c r="K12" s="25">
        <v>194</v>
      </c>
      <c r="L12" s="59" t="s">
        <v>51</v>
      </c>
      <c r="M12" s="60" t="s">
        <v>51</v>
      </c>
      <c r="N12" s="59" t="s">
        <v>32</v>
      </c>
      <c r="O12" s="57" t="s">
        <v>51</v>
      </c>
      <c r="P12" s="58"/>
      <c r="Q12" s="60"/>
      <c r="R12" s="89"/>
      <c r="S12" s="31"/>
      <c r="AP12" s="3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</row>
    <row r="13" spans="1:53" ht="18" customHeight="1" x14ac:dyDescent="0.35">
      <c r="A13" s="99">
        <v>45514</v>
      </c>
      <c r="B13" s="2">
        <v>7.73</v>
      </c>
      <c r="C13" s="58">
        <v>31</v>
      </c>
      <c r="D13" s="58"/>
      <c r="E13" s="2" t="s">
        <v>32</v>
      </c>
      <c r="F13" s="50">
        <v>1174</v>
      </c>
      <c r="G13" s="50">
        <v>787</v>
      </c>
      <c r="H13" s="25">
        <v>506</v>
      </c>
      <c r="I13" s="25">
        <v>249</v>
      </c>
      <c r="J13" s="25">
        <f t="shared" si="0"/>
        <v>257</v>
      </c>
      <c r="K13" s="25">
        <v>170</v>
      </c>
      <c r="L13" s="59" t="s">
        <v>51</v>
      </c>
      <c r="M13" s="60" t="s">
        <v>51</v>
      </c>
      <c r="N13" s="59" t="s">
        <v>32</v>
      </c>
      <c r="O13" s="57" t="s">
        <v>51</v>
      </c>
      <c r="P13" s="58"/>
      <c r="Q13" s="60"/>
      <c r="R13" s="89"/>
      <c r="S13" s="31"/>
      <c r="AP13" s="3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</row>
    <row r="14" spans="1:53" ht="18" customHeight="1" x14ac:dyDescent="0.35">
      <c r="A14" s="99">
        <v>45516</v>
      </c>
      <c r="B14" s="2">
        <v>7.31</v>
      </c>
      <c r="C14" s="58">
        <v>20</v>
      </c>
      <c r="D14" s="58"/>
      <c r="E14" s="2" t="s">
        <v>32</v>
      </c>
      <c r="F14" s="50">
        <v>1341</v>
      </c>
      <c r="G14" s="50">
        <v>899</v>
      </c>
      <c r="H14" s="25">
        <v>461</v>
      </c>
      <c r="I14" s="25">
        <v>212</v>
      </c>
      <c r="J14" s="25">
        <f t="shared" si="0"/>
        <v>249</v>
      </c>
      <c r="K14" s="25">
        <v>170</v>
      </c>
      <c r="L14" s="59" t="s">
        <v>51</v>
      </c>
      <c r="M14" s="60" t="s">
        <v>51</v>
      </c>
      <c r="N14" s="59" t="s">
        <v>32</v>
      </c>
      <c r="O14" s="57" t="s">
        <v>51</v>
      </c>
      <c r="P14" s="58"/>
      <c r="Q14" s="60"/>
      <c r="R14" s="89"/>
      <c r="S14" s="31"/>
      <c r="AP14" s="3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</row>
    <row r="15" spans="1:53" ht="18" customHeight="1" x14ac:dyDescent="0.35">
      <c r="A15" s="99">
        <v>45517</v>
      </c>
      <c r="B15" s="2">
        <v>7.83</v>
      </c>
      <c r="C15" s="58">
        <v>17</v>
      </c>
      <c r="D15" s="58"/>
      <c r="E15" s="2" t="s">
        <v>32</v>
      </c>
      <c r="F15" s="50">
        <v>1380</v>
      </c>
      <c r="G15" s="50">
        <v>925</v>
      </c>
      <c r="H15" s="25">
        <v>462</v>
      </c>
      <c r="I15" s="25">
        <v>356</v>
      </c>
      <c r="J15" s="25">
        <f t="shared" si="0"/>
        <v>106</v>
      </c>
      <c r="K15" s="25">
        <v>178</v>
      </c>
      <c r="L15" s="59" t="s">
        <v>51</v>
      </c>
      <c r="M15" s="60" t="s">
        <v>51</v>
      </c>
      <c r="N15" s="59" t="s">
        <v>32</v>
      </c>
      <c r="O15" s="57" t="s">
        <v>51</v>
      </c>
      <c r="P15" s="58"/>
      <c r="Q15" s="60"/>
      <c r="R15" s="89"/>
      <c r="S15" s="31"/>
      <c r="AP15" s="3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</row>
    <row r="16" spans="1:53" ht="18" customHeight="1" x14ac:dyDescent="0.35">
      <c r="A16" s="99">
        <v>45518</v>
      </c>
      <c r="B16" s="2">
        <v>7.68</v>
      </c>
      <c r="C16" s="58">
        <v>19</v>
      </c>
      <c r="D16" s="58"/>
      <c r="E16" s="2" t="s">
        <v>32</v>
      </c>
      <c r="F16" s="50">
        <v>1489</v>
      </c>
      <c r="G16" s="50">
        <v>998</v>
      </c>
      <c r="H16" s="50">
        <v>469</v>
      </c>
      <c r="I16" s="25">
        <v>221</v>
      </c>
      <c r="J16" s="25">
        <f t="shared" si="0"/>
        <v>248</v>
      </c>
      <c r="K16" s="25">
        <v>170</v>
      </c>
      <c r="L16" s="59" t="s">
        <v>51</v>
      </c>
      <c r="M16" s="60" t="s">
        <v>51</v>
      </c>
      <c r="N16" s="59" t="s">
        <v>32</v>
      </c>
      <c r="O16" s="57" t="s">
        <v>51</v>
      </c>
      <c r="P16" s="58"/>
      <c r="Q16" s="60"/>
      <c r="R16" s="89"/>
      <c r="S16" s="31"/>
      <c r="AP16" s="3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</row>
    <row r="17" spans="1:53" ht="18" customHeight="1" x14ac:dyDescent="0.35">
      <c r="A17" s="99">
        <v>45520</v>
      </c>
      <c r="B17" s="2">
        <v>7.59</v>
      </c>
      <c r="C17" s="58">
        <v>13</v>
      </c>
      <c r="D17" s="58"/>
      <c r="E17" s="2" t="s">
        <v>32</v>
      </c>
      <c r="F17" s="50">
        <v>1331</v>
      </c>
      <c r="G17" s="50">
        <v>892</v>
      </c>
      <c r="H17" s="25">
        <v>279</v>
      </c>
      <c r="I17" s="25">
        <v>207</v>
      </c>
      <c r="J17" s="25">
        <f t="shared" si="0"/>
        <v>72</v>
      </c>
      <c r="K17" s="25">
        <v>170</v>
      </c>
      <c r="L17" s="59" t="s">
        <v>51</v>
      </c>
      <c r="M17" s="60" t="s">
        <v>51</v>
      </c>
      <c r="N17" s="59" t="s">
        <v>32</v>
      </c>
      <c r="O17" s="57" t="s">
        <v>51</v>
      </c>
      <c r="P17" s="58"/>
      <c r="Q17" s="60"/>
      <c r="R17" s="89"/>
      <c r="S17" s="31"/>
      <c r="AP17" s="3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</row>
    <row r="18" spans="1:53" ht="18" customHeight="1" x14ac:dyDescent="0.35">
      <c r="A18" s="99">
        <v>45521</v>
      </c>
      <c r="B18" s="2">
        <v>7.28</v>
      </c>
      <c r="C18" s="58">
        <v>15</v>
      </c>
      <c r="D18" s="58"/>
      <c r="E18" s="2">
        <v>0.3</v>
      </c>
      <c r="F18" s="50">
        <v>1338</v>
      </c>
      <c r="G18" s="50">
        <v>897</v>
      </c>
      <c r="H18" s="25">
        <v>492</v>
      </c>
      <c r="I18" s="25">
        <v>221</v>
      </c>
      <c r="J18" s="25">
        <f t="shared" si="0"/>
        <v>271</v>
      </c>
      <c r="K18" s="25">
        <v>178</v>
      </c>
      <c r="L18" s="59" t="s">
        <v>51</v>
      </c>
      <c r="M18" s="60" t="s">
        <v>51</v>
      </c>
      <c r="N18" s="59" t="s">
        <v>32</v>
      </c>
      <c r="O18" s="57" t="s">
        <v>51</v>
      </c>
      <c r="P18" s="58"/>
      <c r="Q18" s="60"/>
      <c r="R18" s="89"/>
      <c r="S18" s="31"/>
      <c r="AP18" s="3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</row>
    <row r="19" spans="1:53" ht="18" customHeight="1" x14ac:dyDescent="0.35">
      <c r="A19" s="99">
        <v>45524</v>
      </c>
      <c r="B19" s="25">
        <v>7.25</v>
      </c>
      <c r="C19" s="25">
        <v>17</v>
      </c>
      <c r="D19" s="25"/>
      <c r="E19" s="2" t="s">
        <v>32</v>
      </c>
      <c r="F19" s="25">
        <v>1314</v>
      </c>
      <c r="G19" s="25">
        <v>881</v>
      </c>
      <c r="H19" s="25">
        <v>474</v>
      </c>
      <c r="I19" s="25">
        <v>212</v>
      </c>
      <c r="J19" s="25">
        <f t="shared" si="0"/>
        <v>262</v>
      </c>
      <c r="K19" s="25">
        <v>170</v>
      </c>
      <c r="L19" s="59" t="s">
        <v>51</v>
      </c>
      <c r="M19" s="60" t="s">
        <v>51</v>
      </c>
      <c r="N19" s="59" t="s">
        <v>32</v>
      </c>
      <c r="O19" s="57" t="s">
        <v>51</v>
      </c>
      <c r="P19" s="25"/>
      <c r="Q19" s="60"/>
      <c r="R19" s="90"/>
      <c r="S19" s="31"/>
      <c r="AP19" s="3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</row>
    <row r="20" spans="1:53" ht="18" customHeight="1" x14ac:dyDescent="0.35">
      <c r="A20" s="99">
        <v>45525</v>
      </c>
      <c r="B20" s="2">
        <v>7.44</v>
      </c>
      <c r="C20" s="25">
        <v>14</v>
      </c>
      <c r="D20" s="25"/>
      <c r="E20" s="2" t="s">
        <v>32</v>
      </c>
      <c r="F20" s="25">
        <v>1334</v>
      </c>
      <c r="G20" s="25">
        <v>874</v>
      </c>
      <c r="H20" s="25">
        <v>483</v>
      </c>
      <c r="I20" s="25">
        <v>285</v>
      </c>
      <c r="J20" s="25">
        <f t="shared" si="0"/>
        <v>198</v>
      </c>
      <c r="K20" s="25">
        <v>178</v>
      </c>
      <c r="L20" s="59" t="s">
        <v>51</v>
      </c>
      <c r="M20" s="60" t="s">
        <v>51</v>
      </c>
      <c r="N20" s="59" t="s">
        <v>32</v>
      </c>
      <c r="O20" s="57" t="s">
        <v>51</v>
      </c>
      <c r="P20" s="25"/>
      <c r="Q20" s="60"/>
      <c r="R20" s="90"/>
      <c r="S20" s="31"/>
      <c r="AP20" s="3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</row>
    <row r="21" spans="1:53" ht="18" customHeight="1" x14ac:dyDescent="0.35">
      <c r="A21" s="99" t="s">
        <v>52</v>
      </c>
      <c r="B21" s="2">
        <v>7.97</v>
      </c>
      <c r="C21" s="25">
        <v>21</v>
      </c>
      <c r="D21" s="25"/>
      <c r="E21" s="2">
        <v>0.2</v>
      </c>
      <c r="F21" s="25">
        <v>1257</v>
      </c>
      <c r="G21" s="25">
        <v>842</v>
      </c>
      <c r="H21" s="25">
        <v>474</v>
      </c>
      <c r="I21" s="25">
        <v>207</v>
      </c>
      <c r="J21" s="25">
        <f t="shared" si="0"/>
        <v>267</v>
      </c>
      <c r="K21" s="25">
        <v>170</v>
      </c>
      <c r="L21" s="59" t="s">
        <v>51</v>
      </c>
      <c r="M21" s="60" t="s">
        <v>51</v>
      </c>
      <c r="N21" s="59" t="s">
        <v>32</v>
      </c>
      <c r="O21" s="57" t="s">
        <v>51</v>
      </c>
      <c r="P21" s="25"/>
      <c r="Q21" s="60"/>
      <c r="R21" s="90"/>
      <c r="S21" s="31"/>
      <c r="AP21" s="3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</row>
    <row r="22" spans="1:53" ht="18" customHeight="1" x14ac:dyDescent="0.35">
      <c r="A22" s="99">
        <v>45527</v>
      </c>
      <c r="B22" s="2">
        <v>7.73</v>
      </c>
      <c r="C22" s="25">
        <v>33</v>
      </c>
      <c r="D22" s="25"/>
      <c r="E22" s="2">
        <v>0.2</v>
      </c>
      <c r="F22" s="25">
        <v>1361</v>
      </c>
      <c r="G22" s="25">
        <v>912</v>
      </c>
      <c r="H22" s="25">
        <v>481</v>
      </c>
      <c r="I22" s="25">
        <v>198</v>
      </c>
      <c r="J22" s="25">
        <f t="shared" si="0"/>
        <v>283</v>
      </c>
      <c r="K22" s="25">
        <v>162</v>
      </c>
      <c r="L22" s="59" t="s">
        <v>51</v>
      </c>
      <c r="M22" s="60" t="s">
        <v>51</v>
      </c>
      <c r="N22" s="59" t="s">
        <v>32</v>
      </c>
      <c r="O22" s="57" t="s">
        <v>51</v>
      </c>
      <c r="P22" s="25"/>
      <c r="Q22" s="60"/>
      <c r="R22" s="90"/>
      <c r="S22" s="31"/>
      <c r="AP22" s="3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</row>
    <row r="23" spans="1:53" ht="18" customHeight="1" x14ac:dyDescent="0.35">
      <c r="A23" s="70">
        <v>45528</v>
      </c>
      <c r="B23" s="2">
        <v>7.78</v>
      </c>
      <c r="C23" s="25">
        <v>24</v>
      </c>
      <c r="D23" s="25"/>
      <c r="E23" s="2">
        <v>0.5</v>
      </c>
      <c r="F23" s="25">
        <v>1392</v>
      </c>
      <c r="G23" s="25">
        <v>933</v>
      </c>
      <c r="H23" s="25">
        <v>531</v>
      </c>
      <c r="I23" s="25">
        <v>258</v>
      </c>
      <c r="J23" s="25">
        <f t="shared" si="0"/>
        <v>273</v>
      </c>
      <c r="K23" s="25">
        <v>146</v>
      </c>
      <c r="L23" s="59" t="s">
        <v>51</v>
      </c>
      <c r="M23" s="60" t="s">
        <v>51</v>
      </c>
      <c r="N23" s="59" t="s">
        <v>32</v>
      </c>
      <c r="O23" s="57" t="s">
        <v>51</v>
      </c>
      <c r="P23" s="25"/>
      <c r="Q23" s="60"/>
      <c r="R23" s="90"/>
      <c r="S23" s="31"/>
      <c r="AP23" s="3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</row>
    <row r="24" spans="1:53" ht="18" customHeight="1" x14ac:dyDescent="0.35">
      <c r="A24" s="99">
        <v>45531</v>
      </c>
      <c r="B24" s="2">
        <v>7.56</v>
      </c>
      <c r="C24" s="25">
        <v>23</v>
      </c>
      <c r="D24" s="25"/>
      <c r="E24" s="2" t="s">
        <v>32</v>
      </c>
      <c r="F24" s="25">
        <v>1085</v>
      </c>
      <c r="G24" s="25">
        <v>727</v>
      </c>
      <c r="H24" s="25">
        <v>460</v>
      </c>
      <c r="I24" s="25">
        <v>239</v>
      </c>
      <c r="J24" s="25">
        <f t="shared" si="0"/>
        <v>221</v>
      </c>
      <c r="K24" s="25">
        <v>122</v>
      </c>
      <c r="L24" s="59" t="s">
        <v>51</v>
      </c>
      <c r="M24" s="60" t="s">
        <v>51</v>
      </c>
      <c r="N24" s="59" t="s">
        <v>32</v>
      </c>
      <c r="O24" s="57" t="s">
        <v>51</v>
      </c>
      <c r="P24" s="25"/>
      <c r="Q24" s="60"/>
      <c r="R24" s="90"/>
      <c r="S24" s="31"/>
      <c r="AP24" s="3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</row>
    <row r="25" spans="1:53" ht="18" customHeight="1" x14ac:dyDescent="0.35">
      <c r="A25" s="99">
        <v>45532</v>
      </c>
      <c r="B25" s="2">
        <v>7.23</v>
      </c>
      <c r="C25" s="25">
        <v>19</v>
      </c>
      <c r="D25" s="25"/>
      <c r="E25" s="2" t="s">
        <v>32</v>
      </c>
      <c r="F25" s="25">
        <v>1052</v>
      </c>
      <c r="G25" s="25">
        <v>705</v>
      </c>
      <c r="H25" s="25">
        <v>515</v>
      </c>
      <c r="I25" s="25">
        <v>253</v>
      </c>
      <c r="J25" s="25">
        <f t="shared" si="0"/>
        <v>262</v>
      </c>
      <c r="K25" s="25">
        <v>146</v>
      </c>
      <c r="L25" s="59" t="s">
        <v>51</v>
      </c>
      <c r="M25" s="60" t="s">
        <v>51</v>
      </c>
      <c r="N25" s="59" t="s">
        <v>32</v>
      </c>
      <c r="O25" s="57" t="s">
        <v>51</v>
      </c>
      <c r="P25" s="25"/>
      <c r="Q25" s="60"/>
      <c r="R25" s="90"/>
      <c r="S25" s="31"/>
      <c r="AP25" s="3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</row>
    <row r="26" spans="1:53" ht="18" customHeight="1" x14ac:dyDescent="0.35">
      <c r="A26" s="99" t="s">
        <v>53</v>
      </c>
      <c r="B26" s="2">
        <v>7.34</v>
      </c>
      <c r="C26" s="25">
        <v>21</v>
      </c>
      <c r="D26" s="25"/>
      <c r="E26" s="2" t="s">
        <v>32</v>
      </c>
      <c r="F26" s="25">
        <v>986</v>
      </c>
      <c r="G26" s="25">
        <v>661</v>
      </c>
      <c r="H26" s="25">
        <v>529</v>
      </c>
      <c r="I26" s="25">
        <v>217</v>
      </c>
      <c r="J26" s="25">
        <f t="shared" si="0"/>
        <v>312</v>
      </c>
      <c r="K26" s="25">
        <v>130</v>
      </c>
      <c r="L26" s="59" t="s">
        <v>51</v>
      </c>
      <c r="M26" s="60" t="s">
        <v>51</v>
      </c>
      <c r="N26" s="59" t="s">
        <v>32</v>
      </c>
      <c r="O26" s="57" t="s">
        <v>51</v>
      </c>
      <c r="P26" s="25"/>
      <c r="Q26" s="60"/>
      <c r="R26" s="90"/>
      <c r="S26" s="31"/>
      <c r="AP26" s="3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</row>
    <row r="27" spans="1:53" ht="18" customHeight="1" x14ac:dyDescent="0.35">
      <c r="A27" s="99">
        <v>45534</v>
      </c>
      <c r="B27" s="25">
        <v>6.98</v>
      </c>
      <c r="C27" s="25">
        <v>22</v>
      </c>
      <c r="D27" s="25"/>
      <c r="E27" s="2" t="s">
        <v>32</v>
      </c>
      <c r="F27" s="25">
        <v>940</v>
      </c>
      <c r="G27" s="25">
        <v>630</v>
      </c>
      <c r="H27" s="25">
        <v>520</v>
      </c>
      <c r="I27" s="25">
        <v>250</v>
      </c>
      <c r="J27" s="25">
        <f t="shared" si="0"/>
        <v>270</v>
      </c>
      <c r="K27" s="25">
        <v>138</v>
      </c>
      <c r="L27" s="59" t="s">
        <v>51</v>
      </c>
      <c r="M27" s="60" t="s">
        <v>51</v>
      </c>
      <c r="N27" s="59" t="s">
        <v>32</v>
      </c>
      <c r="O27" s="57" t="s">
        <v>51</v>
      </c>
      <c r="P27" s="25"/>
      <c r="Q27" s="60"/>
      <c r="R27" s="90"/>
      <c r="S27" s="31"/>
      <c r="AP27" s="3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</row>
    <row r="28" spans="1:53" ht="18" customHeight="1" thickBot="1" x14ac:dyDescent="0.4">
      <c r="A28" s="109">
        <v>45535</v>
      </c>
      <c r="B28" s="25">
        <v>7.59</v>
      </c>
      <c r="C28" s="25">
        <v>16</v>
      </c>
      <c r="D28" s="25"/>
      <c r="E28" s="2" t="s">
        <v>32</v>
      </c>
      <c r="F28" s="25">
        <v>989</v>
      </c>
      <c r="G28" s="25">
        <v>663</v>
      </c>
      <c r="H28" s="25">
        <v>474</v>
      </c>
      <c r="I28" s="25">
        <v>290</v>
      </c>
      <c r="J28" s="25">
        <f t="shared" si="0"/>
        <v>184</v>
      </c>
      <c r="K28" s="25">
        <v>146</v>
      </c>
      <c r="L28" s="59" t="s">
        <v>51</v>
      </c>
      <c r="M28" s="60" t="s">
        <v>51</v>
      </c>
      <c r="N28" s="59" t="s">
        <v>32</v>
      </c>
      <c r="O28" s="57" t="s">
        <v>51</v>
      </c>
      <c r="P28" s="25"/>
      <c r="Q28" s="60"/>
      <c r="R28" s="90"/>
      <c r="S28" s="31"/>
      <c r="AP28" s="3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</row>
    <row r="29" spans="1:53" ht="18" customHeight="1" x14ac:dyDescent="0.35">
      <c r="A29" s="108">
        <v>45537</v>
      </c>
      <c r="B29" s="1">
        <v>8.39</v>
      </c>
      <c r="C29" s="12">
        <v>12</v>
      </c>
      <c r="D29" s="12"/>
      <c r="E29" s="1">
        <v>0.6</v>
      </c>
      <c r="F29" s="85">
        <v>1023</v>
      </c>
      <c r="G29" s="85">
        <v>686</v>
      </c>
      <c r="H29" s="76">
        <v>417</v>
      </c>
      <c r="I29" s="76">
        <v>218</v>
      </c>
      <c r="J29" s="25">
        <f>H29-I29</f>
        <v>199</v>
      </c>
      <c r="K29" s="76">
        <v>146</v>
      </c>
      <c r="L29" s="59" t="s">
        <v>51</v>
      </c>
      <c r="M29" s="60" t="s">
        <v>51</v>
      </c>
      <c r="N29" s="59" t="s">
        <v>32</v>
      </c>
      <c r="O29" s="57" t="s">
        <v>51</v>
      </c>
      <c r="P29" s="12"/>
      <c r="Q29" s="87"/>
      <c r="R29" s="88" t="s">
        <v>51</v>
      </c>
      <c r="S29" s="102"/>
      <c r="AP29" s="103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</row>
    <row r="30" spans="1:53" ht="18" customHeight="1" x14ac:dyDescent="0.35">
      <c r="A30" s="99">
        <v>45538</v>
      </c>
      <c r="B30" s="2">
        <v>8.17</v>
      </c>
      <c r="C30" s="58">
        <v>12</v>
      </c>
      <c r="D30" s="58"/>
      <c r="E30" s="2" t="s">
        <v>32</v>
      </c>
      <c r="F30" s="50">
        <v>989</v>
      </c>
      <c r="G30" s="25">
        <v>663</v>
      </c>
      <c r="H30" s="25">
        <v>406</v>
      </c>
      <c r="I30" s="25">
        <v>218</v>
      </c>
      <c r="J30" s="25">
        <f t="shared" ref="J30:J53" si="1">H30-I30</f>
        <v>188</v>
      </c>
      <c r="K30" s="25">
        <v>122</v>
      </c>
      <c r="L30" s="59" t="s">
        <v>51</v>
      </c>
      <c r="M30" s="60" t="s">
        <v>51</v>
      </c>
      <c r="N30" s="59" t="s">
        <v>32</v>
      </c>
      <c r="O30" s="57" t="s">
        <v>51</v>
      </c>
      <c r="P30" s="58"/>
      <c r="Q30" s="60"/>
      <c r="R30" s="89"/>
      <c r="S30" s="102"/>
      <c r="AP30" s="103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</row>
    <row r="31" spans="1:53" ht="18" customHeight="1" x14ac:dyDescent="0.35">
      <c r="A31" s="99">
        <v>45539</v>
      </c>
      <c r="B31" s="2">
        <v>7.15</v>
      </c>
      <c r="C31" s="58">
        <v>21</v>
      </c>
      <c r="D31" s="58"/>
      <c r="E31" s="2">
        <v>0.2</v>
      </c>
      <c r="F31" s="50">
        <v>1205</v>
      </c>
      <c r="G31" s="50">
        <v>808</v>
      </c>
      <c r="H31" s="25">
        <v>478</v>
      </c>
      <c r="I31" s="25">
        <v>259</v>
      </c>
      <c r="J31" s="25">
        <f t="shared" si="1"/>
        <v>219</v>
      </c>
      <c r="K31" s="25">
        <v>154</v>
      </c>
      <c r="L31" s="59" t="s">
        <v>51</v>
      </c>
      <c r="M31" s="60" t="s">
        <v>51</v>
      </c>
      <c r="N31" s="59" t="s">
        <v>32</v>
      </c>
      <c r="O31" s="57" t="s">
        <v>51</v>
      </c>
      <c r="P31" s="58"/>
      <c r="Q31" s="60"/>
      <c r="R31" s="89"/>
      <c r="S31" s="102"/>
      <c r="AP31" s="103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</row>
    <row r="32" spans="1:53" ht="18" customHeight="1" x14ac:dyDescent="0.35">
      <c r="A32" s="99">
        <v>45540</v>
      </c>
      <c r="B32" s="2">
        <v>7.76</v>
      </c>
      <c r="C32" s="17">
        <v>24</v>
      </c>
      <c r="D32" s="17"/>
      <c r="E32" s="2" t="s">
        <v>32</v>
      </c>
      <c r="F32" s="50">
        <v>1035</v>
      </c>
      <c r="G32" s="50">
        <v>694</v>
      </c>
      <c r="H32" s="25">
        <v>462</v>
      </c>
      <c r="I32" s="25">
        <v>239</v>
      </c>
      <c r="J32" s="25">
        <f t="shared" si="1"/>
        <v>223</v>
      </c>
      <c r="K32" s="25">
        <v>138</v>
      </c>
      <c r="L32" s="59" t="s">
        <v>51</v>
      </c>
      <c r="M32" s="60" t="s">
        <v>51</v>
      </c>
      <c r="N32" s="59" t="s">
        <v>32</v>
      </c>
      <c r="O32" s="57" t="s">
        <v>51</v>
      </c>
      <c r="P32" s="58"/>
      <c r="Q32" s="60"/>
      <c r="R32" s="89"/>
      <c r="S32" s="102"/>
      <c r="AP32" s="103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</row>
    <row r="33" spans="1:53" ht="18" customHeight="1" x14ac:dyDescent="0.35">
      <c r="A33" s="99">
        <v>45541</v>
      </c>
      <c r="B33" s="2">
        <v>7.21</v>
      </c>
      <c r="C33" s="17">
        <v>20</v>
      </c>
      <c r="D33" s="17"/>
      <c r="E33" s="2" t="s">
        <v>32</v>
      </c>
      <c r="F33" s="50">
        <v>1029</v>
      </c>
      <c r="G33" s="50">
        <v>690</v>
      </c>
      <c r="H33" s="25">
        <v>447</v>
      </c>
      <c r="I33" s="25">
        <v>224</v>
      </c>
      <c r="J33" s="25">
        <f t="shared" si="1"/>
        <v>223</v>
      </c>
      <c r="K33" s="25">
        <v>154</v>
      </c>
      <c r="L33" s="59" t="s">
        <v>51</v>
      </c>
      <c r="M33" s="60" t="s">
        <v>51</v>
      </c>
      <c r="N33" s="59" t="s">
        <v>32</v>
      </c>
      <c r="O33" s="57" t="s">
        <v>51</v>
      </c>
      <c r="P33" s="58"/>
      <c r="Q33" s="60"/>
      <c r="R33" s="89"/>
      <c r="S33" s="102"/>
      <c r="AP33" s="103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</row>
    <row r="34" spans="1:53" ht="18" customHeight="1" x14ac:dyDescent="0.35">
      <c r="A34" s="99" t="s">
        <v>60</v>
      </c>
      <c r="B34" s="2">
        <v>7.6</v>
      </c>
      <c r="C34" s="58">
        <v>20</v>
      </c>
      <c r="D34" s="58"/>
      <c r="E34" s="2" t="s">
        <v>32</v>
      </c>
      <c r="F34" s="50">
        <v>1186</v>
      </c>
      <c r="G34" s="50">
        <v>795</v>
      </c>
      <c r="H34" s="25">
        <v>457</v>
      </c>
      <c r="I34" s="25">
        <v>229</v>
      </c>
      <c r="J34" s="25">
        <f t="shared" si="1"/>
        <v>228</v>
      </c>
      <c r="K34" s="25">
        <v>162</v>
      </c>
      <c r="L34" s="59" t="s">
        <v>51</v>
      </c>
      <c r="M34" s="60" t="s">
        <v>51</v>
      </c>
      <c r="N34" s="59" t="s">
        <v>32</v>
      </c>
      <c r="O34" s="57" t="s">
        <v>51</v>
      </c>
      <c r="P34" s="58"/>
      <c r="Q34" s="60"/>
      <c r="R34" s="89"/>
      <c r="S34" s="102"/>
      <c r="AP34" s="103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</row>
    <row r="35" spans="1:53" ht="18" customHeight="1" x14ac:dyDescent="0.35">
      <c r="A35" s="99" t="s">
        <v>54</v>
      </c>
      <c r="B35" s="2">
        <v>7.34</v>
      </c>
      <c r="C35" s="17">
        <v>34</v>
      </c>
      <c r="D35" s="17"/>
      <c r="E35" s="2">
        <v>0.5</v>
      </c>
      <c r="F35" s="50">
        <v>1052</v>
      </c>
      <c r="G35" s="50">
        <v>705</v>
      </c>
      <c r="H35" s="25">
        <v>462</v>
      </c>
      <c r="I35" s="25">
        <v>244</v>
      </c>
      <c r="J35" s="25">
        <f t="shared" si="1"/>
        <v>218</v>
      </c>
      <c r="K35" s="25">
        <v>138</v>
      </c>
      <c r="L35" s="59" t="s">
        <v>51</v>
      </c>
      <c r="M35" s="60" t="s">
        <v>51</v>
      </c>
      <c r="N35" s="59" t="s">
        <v>32</v>
      </c>
      <c r="O35" s="57" t="s">
        <v>51</v>
      </c>
      <c r="P35" s="58"/>
      <c r="Q35" s="60"/>
      <c r="R35" s="89"/>
      <c r="S35" s="102"/>
      <c r="AP35" s="103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</row>
    <row r="36" spans="1:53" ht="18" customHeight="1" x14ac:dyDescent="0.35">
      <c r="A36" s="99" t="s">
        <v>55</v>
      </c>
      <c r="B36" s="2">
        <v>7.63</v>
      </c>
      <c r="C36" s="58">
        <v>45</v>
      </c>
      <c r="D36" s="58"/>
      <c r="E36" s="2" t="s">
        <v>32</v>
      </c>
      <c r="F36" s="17">
        <v>1016</v>
      </c>
      <c r="G36" s="17">
        <v>681</v>
      </c>
      <c r="H36" s="17">
        <v>362</v>
      </c>
      <c r="I36" s="17">
        <v>195</v>
      </c>
      <c r="J36" s="25">
        <f t="shared" si="1"/>
        <v>167</v>
      </c>
      <c r="K36" s="17">
        <v>105</v>
      </c>
      <c r="L36" s="59" t="s">
        <v>51</v>
      </c>
      <c r="M36" s="60" t="s">
        <v>51</v>
      </c>
      <c r="N36" s="59" t="s">
        <v>32</v>
      </c>
      <c r="O36" s="57" t="s">
        <v>51</v>
      </c>
      <c r="P36" s="58"/>
      <c r="Q36" s="60"/>
      <c r="R36" s="89"/>
      <c r="S36" s="102"/>
      <c r="AP36" s="103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</row>
    <row r="37" spans="1:53" ht="18" customHeight="1" x14ac:dyDescent="0.35">
      <c r="A37" s="99" t="s">
        <v>56</v>
      </c>
      <c r="B37" s="2">
        <v>7.46</v>
      </c>
      <c r="C37" s="58">
        <v>32</v>
      </c>
      <c r="D37" s="58"/>
      <c r="E37" s="2" t="s">
        <v>32</v>
      </c>
      <c r="F37" s="50">
        <v>976</v>
      </c>
      <c r="G37" s="50">
        <v>654</v>
      </c>
      <c r="H37" s="25">
        <v>362</v>
      </c>
      <c r="I37" s="25">
        <v>185</v>
      </c>
      <c r="J37" s="25">
        <f t="shared" si="1"/>
        <v>177</v>
      </c>
      <c r="K37" s="25">
        <v>97</v>
      </c>
      <c r="L37" s="59" t="s">
        <v>51</v>
      </c>
      <c r="M37" s="60" t="s">
        <v>51</v>
      </c>
      <c r="N37" s="59" t="s">
        <v>32</v>
      </c>
      <c r="O37" s="57" t="s">
        <v>51</v>
      </c>
      <c r="P37" s="58"/>
      <c r="Q37" s="60"/>
      <c r="R37" s="89"/>
      <c r="S37" s="102"/>
      <c r="AP37" s="103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</row>
    <row r="38" spans="1:53" ht="18" customHeight="1" x14ac:dyDescent="0.35">
      <c r="A38" s="99" t="s">
        <v>57</v>
      </c>
      <c r="B38" s="2">
        <v>7.36</v>
      </c>
      <c r="C38" s="58">
        <v>28</v>
      </c>
      <c r="D38" s="58"/>
      <c r="E38" s="2" t="s">
        <v>32</v>
      </c>
      <c r="F38" s="50">
        <v>974</v>
      </c>
      <c r="G38" s="50">
        <v>653</v>
      </c>
      <c r="H38" s="25">
        <v>384</v>
      </c>
      <c r="I38" s="25">
        <v>190</v>
      </c>
      <c r="J38" s="25">
        <f t="shared" si="1"/>
        <v>194</v>
      </c>
      <c r="K38" s="25">
        <v>131</v>
      </c>
      <c r="L38" s="59" t="s">
        <v>51</v>
      </c>
      <c r="M38" s="60" t="s">
        <v>51</v>
      </c>
      <c r="N38" s="59" t="s">
        <v>32</v>
      </c>
      <c r="O38" s="57" t="s">
        <v>51</v>
      </c>
      <c r="P38" s="58"/>
      <c r="Q38" s="60"/>
      <c r="R38" s="89"/>
      <c r="S38" s="102"/>
      <c r="AP38" s="103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</row>
    <row r="39" spans="1:53" ht="18" customHeight="1" x14ac:dyDescent="0.35">
      <c r="A39" s="99">
        <v>45548</v>
      </c>
      <c r="B39" s="2">
        <v>7.43</v>
      </c>
      <c r="C39" s="58">
        <v>29</v>
      </c>
      <c r="D39" s="58"/>
      <c r="E39" s="2">
        <v>0.5</v>
      </c>
      <c r="F39" s="50">
        <v>873</v>
      </c>
      <c r="G39" s="50">
        <v>585</v>
      </c>
      <c r="H39" s="25">
        <v>375</v>
      </c>
      <c r="I39" s="25">
        <v>181</v>
      </c>
      <c r="J39" s="25">
        <f t="shared" si="1"/>
        <v>194</v>
      </c>
      <c r="K39" s="25">
        <v>116</v>
      </c>
      <c r="L39" s="59" t="s">
        <v>51</v>
      </c>
      <c r="M39" s="60" t="s">
        <v>51</v>
      </c>
      <c r="N39" s="59" t="s">
        <v>32</v>
      </c>
      <c r="O39" s="57" t="s">
        <v>51</v>
      </c>
      <c r="P39" s="58"/>
      <c r="Q39" s="60"/>
      <c r="R39" s="89"/>
      <c r="S39" s="102"/>
      <c r="AP39" s="103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</row>
    <row r="40" spans="1:53" ht="18" customHeight="1" x14ac:dyDescent="0.35">
      <c r="A40" s="99">
        <v>45549</v>
      </c>
      <c r="B40" s="2">
        <v>7.83</v>
      </c>
      <c r="C40" s="58">
        <v>22</v>
      </c>
      <c r="D40" s="58"/>
      <c r="E40" s="2">
        <v>0.5</v>
      </c>
      <c r="F40" s="50">
        <v>1334</v>
      </c>
      <c r="G40" s="50">
        <v>594</v>
      </c>
      <c r="H40" s="25">
        <v>362</v>
      </c>
      <c r="I40" s="25">
        <v>190</v>
      </c>
      <c r="J40" s="25">
        <f t="shared" si="1"/>
        <v>172</v>
      </c>
      <c r="K40" s="25">
        <v>124</v>
      </c>
      <c r="L40" s="59" t="s">
        <v>51</v>
      </c>
      <c r="M40" s="60" t="s">
        <v>51</v>
      </c>
      <c r="N40" s="59" t="s">
        <v>32</v>
      </c>
      <c r="O40" s="57" t="s">
        <v>51</v>
      </c>
      <c r="P40" s="58"/>
      <c r="Q40" s="60"/>
      <c r="R40" s="89"/>
      <c r="S40" s="102"/>
      <c r="AP40" s="103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</row>
    <row r="41" spans="1:53" ht="18" customHeight="1" x14ac:dyDescent="0.35">
      <c r="A41" s="99">
        <v>45551</v>
      </c>
      <c r="B41" s="2">
        <v>7.44</v>
      </c>
      <c r="C41" s="58">
        <v>23</v>
      </c>
      <c r="D41" s="58"/>
      <c r="E41" s="2">
        <v>0.6</v>
      </c>
      <c r="F41" s="50">
        <v>876</v>
      </c>
      <c r="G41" s="50">
        <v>587</v>
      </c>
      <c r="H41" s="25">
        <v>374</v>
      </c>
      <c r="I41" s="25">
        <v>178</v>
      </c>
      <c r="J41" s="25">
        <f t="shared" si="1"/>
        <v>196</v>
      </c>
      <c r="K41" s="25">
        <v>109</v>
      </c>
      <c r="L41" s="59" t="s">
        <v>51</v>
      </c>
      <c r="M41" s="60" t="s">
        <v>51</v>
      </c>
      <c r="N41" s="59" t="s">
        <v>32</v>
      </c>
      <c r="O41" s="57" t="s">
        <v>51</v>
      </c>
      <c r="P41" s="58"/>
      <c r="Q41" s="60"/>
      <c r="R41" s="89"/>
      <c r="S41" s="102"/>
      <c r="AP41" s="103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</row>
    <row r="42" spans="1:53" ht="18" customHeight="1" x14ac:dyDescent="0.35">
      <c r="A42" s="99">
        <v>45552</v>
      </c>
      <c r="B42" s="2">
        <v>7.66</v>
      </c>
      <c r="C42" s="58">
        <v>25</v>
      </c>
      <c r="D42" s="58"/>
      <c r="E42" s="2" t="s">
        <v>32</v>
      </c>
      <c r="F42" s="50">
        <v>928</v>
      </c>
      <c r="G42" s="50">
        <v>622</v>
      </c>
      <c r="H42" s="50">
        <v>394</v>
      </c>
      <c r="I42" s="25">
        <v>182</v>
      </c>
      <c r="J42" s="25">
        <f t="shared" si="1"/>
        <v>212</v>
      </c>
      <c r="K42" s="25">
        <v>138</v>
      </c>
      <c r="L42" s="59" t="s">
        <v>51</v>
      </c>
      <c r="M42" s="60" t="s">
        <v>51</v>
      </c>
      <c r="N42" s="59" t="s">
        <v>32</v>
      </c>
      <c r="O42" s="57" t="s">
        <v>51</v>
      </c>
      <c r="P42" s="58"/>
      <c r="Q42" s="60"/>
      <c r="R42" s="89"/>
      <c r="S42" s="102"/>
      <c r="AP42" s="103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</row>
    <row r="43" spans="1:53" ht="18" customHeight="1" x14ac:dyDescent="0.35">
      <c r="A43" s="99">
        <v>45553</v>
      </c>
      <c r="B43" s="2">
        <v>7.6</v>
      </c>
      <c r="C43" s="58">
        <v>30</v>
      </c>
      <c r="D43" s="58"/>
      <c r="E43" s="2">
        <v>0.5</v>
      </c>
      <c r="F43" s="50">
        <v>886</v>
      </c>
      <c r="G43" s="50">
        <v>594</v>
      </c>
      <c r="H43" s="25">
        <v>389</v>
      </c>
      <c r="I43" s="25">
        <v>187</v>
      </c>
      <c r="J43" s="25">
        <f t="shared" si="1"/>
        <v>202</v>
      </c>
      <c r="K43" s="25">
        <v>109</v>
      </c>
      <c r="L43" s="59" t="s">
        <v>51</v>
      </c>
      <c r="M43" s="60" t="s">
        <v>51</v>
      </c>
      <c r="N43" s="59" t="s">
        <v>32</v>
      </c>
      <c r="O43" s="57" t="s">
        <v>51</v>
      </c>
      <c r="P43" s="58"/>
      <c r="Q43" s="60"/>
      <c r="R43" s="89"/>
      <c r="S43" s="102"/>
      <c r="AP43" s="103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</row>
    <row r="44" spans="1:53" ht="18" customHeight="1" x14ac:dyDescent="0.35">
      <c r="A44" s="99">
        <v>45554</v>
      </c>
      <c r="B44" s="2">
        <v>7.73</v>
      </c>
      <c r="C44" s="58">
        <v>24</v>
      </c>
      <c r="D44" s="58"/>
      <c r="E44" s="2" t="s">
        <v>32</v>
      </c>
      <c r="F44" s="50">
        <v>1023</v>
      </c>
      <c r="G44" s="50">
        <v>686</v>
      </c>
      <c r="H44" s="25">
        <v>394</v>
      </c>
      <c r="I44" s="25">
        <v>192</v>
      </c>
      <c r="J44" s="25">
        <f t="shared" si="1"/>
        <v>202</v>
      </c>
      <c r="K44" s="25">
        <v>116</v>
      </c>
      <c r="L44" s="59" t="s">
        <v>51</v>
      </c>
      <c r="M44" s="60" t="s">
        <v>51</v>
      </c>
      <c r="N44" s="59" t="s">
        <v>32</v>
      </c>
      <c r="O44" s="57" t="s">
        <v>51</v>
      </c>
      <c r="P44" s="58"/>
      <c r="Q44" s="60"/>
      <c r="R44" s="89"/>
      <c r="S44" s="102"/>
      <c r="AP44" s="103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</row>
    <row r="45" spans="1:53" ht="18" customHeight="1" x14ac:dyDescent="0.35">
      <c r="A45" s="99">
        <v>45555</v>
      </c>
      <c r="B45" s="2">
        <v>7.77</v>
      </c>
      <c r="C45" s="58">
        <v>26</v>
      </c>
      <c r="D45" s="58"/>
      <c r="E45" s="2" t="s">
        <v>32</v>
      </c>
      <c r="F45" s="50">
        <v>1056</v>
      </c>
      <c r="G45" s="50">
        <v>708</v>
      </c>
      <c r="H45" s="25">
        <v>379</v>
      </c>
      <c r="I45" s="25">
        <v>178</v>
      </c>
      <c r="J45" s="25">
        <f t="shared" si="1"/>
        <v>201</v>
      </c>
      <c r="K45" s="25">
        <v>102</v>
      </c>
      <c r="L45" s="59" t="s">
        <v>51</v>
      </c>
      <c r="M45" s="60" t="s">
        <v>51</v>
      </c>
      <c r="N45" s="59" t="s">
        <v>32</v>
      </c>
      <c r="O45" s="57" t="s">
        <v>51</v>
      </c>
      <c r="P45" s="58"/>
      <c r="Q45" s="60"/>
      <c r="R45" s="89"/>
      <c r="S45" s="102"/>
      <c r="AP45" s="103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</row>
    <row r="46" spans="1:53" ht="18" customHeight="1" x14ac:dyDescent="0.35">
      <c r="A46" s="99">
        <v>45556</v>
      </c>
      <c r="B46" s="2">
        <v>7.82</v>
      </c>
      <c r="C46" s="58">
        <v>36</v>
      </c>
      <c r="D46" s="58"/>
      <c r="E46" s="2" t="s">
        <v>32</v>
      </c>
      <c r="F46" s="50">
        <v>1016</v>
      </c>
      <c r="G46" s="50">
        <v>681</v>
      </c>
      <c r="H46" s="25">
        <v>371</v>
      </c>
      <c r="I46" s="25">
        <v>181</v>
      </c>
      <c r="J46" s="25">
        <f t="shared" si="1"/>
        <v>190</v>
      </c>
      <c r="K46" s="25">
        <v>122</v>
      </c>
      <c r="L46" s="59" t="s">
        <v>51</v>
      </c>
      <c r="M46" s="60" t="s">
        <v>51</v>
      </c>
      <c r="N46" s="59" t="s">
        <v>32</v>
      </c>
      <c r="O46" s="57" t="s">
        <v>51</v>
      </c>
      <c r="P46" s="58"/>
      <c r="Q46" s="60"/>
      <c r="R46" s="89"/>
      <c r="S46" s="102"/>
      <c r="AP46" s="103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</row>
    <row r="47" spans="1:53" ht="18" customHeight="1" x14ac:dyDescent="0.35">
      <c r="A47" s="99">
        <v>45558</v>
      </c>
      <c r="B47" s="2">
        <v>8.02</v>
      </c>
      <c r="C47" s="25">
        <v>25</v>
      </c>
      <c r="D47" s="25"/>
      <c r="E47" s="2" t="s">
        <v>32</v>
      </c>
      <c r="F47" s="25">
        <v>1120</v>
      </c>
      <c r="G47" s="25">
        <v>751</v>
      </c>
      <c r="H47" s="25">
        <v>399</v>
      </c>
      <c r="I47" s="25">
        <v>162</v>
      </c>
      <c r="J47" s="25">
        <f t="shared" si="1"/>
        <v>237</v>
      </c>
      <c r="K47" s="25">
        <v>106</v>
      </c>
      <c r="L47" s="59" t="s">
        <v>51</v>
      </c>
      <c r="M47" s="60" t="s">
        <v>51</v>
      </c>
      <c r="N47" s="59" t="s">
        <v>32</v>
      </c>
      <c r="O47" s="57" t="s">
        <v>51</v>
      </c>
      <c r="P47" s="58"/>
      <c r="Q47" s="60"/>
      <c r="R47" s="90"/>
      <c r="S47" s="102"/>
      <c r="AP47" s="103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</row>
    <row r="48" spans="1:53" ht="18" customHeight="1" x14ac:dyDescent="0.35">
      <c r="A48" s="99" t="s">
        <v>58</v>
      </c>
      <c r="B48" s="2">
        <v>7.35</v>
      </c>
      <c r="C48" s="25">
        <v>24</v>
      </c>
      <c r="D48" s="25"/>
      <c r="E48" s="2">
        <v>0.4</v>
      </c>
      <c r="F48" s="25">
        <v>1067</v>
      </c>
      <c r="G48" s="25">
        <v>715</v>
      </c>
      <c r="H48" s="25">
        <v>413</v>
      </c>
      <c r="I48" s="25">
        <v>153</v>
      </c>
      <c r="J48" s="25">
        <f t="shared" si="1"/>
        <v>260</v>
      </c>
      <c r="K48" s="25">
        <v>110</v>
      </c>
      <c r="L48" s="59" t="s">
        <v>51</v>
      </c>
      <c r="M48" s="60" t="s">
        <v>51</v>
      </c>
      <c r="N48" s="59" t="s">
        <v>32</v>
      </c>
      <c r="O48" s="57" t="s">
        <v>51</v>
      </c>
      <c r="P48" s="25"/>
      <c r="Q48" s="60"/>
      <c r="R48" s="90"/>
      <c r="S48" s="102"/>
      <c r="AP48" s="103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</row>
    <row r="49" spans="1:53" ht="18" customHeight="1" x14ac:dyDescent="0.35">
      <c r="A49" s="99">
        <v>45560</v>
      </c>
      <c r="B49" s="2">
        <v>8.1199999999999992</v>
      </c>
      <c r="C49" s="25">
        <v>45</v>
      </c>
      <c r="D49" s="25"/>
      <c r="E49" s="2" t="s">
        <v>32</v>
      </c>
      <c r="F49" s="25">
        <v>1092</v>
      </c>
      <c r="G49" s="25">
        <v>732</v>
      </c>
      <c r="H49" s="25">
        <v>418</v>
      </c>
      <c r="I49" s="25">
        <v>167</v>
      </c>
      <c r="J49" s="25">
        <f t="shared" si="1"/>
        <v>251</v>
      </c>
      <c r="K49" s="25">
        <v>114</v>
      </c>
      <c r="L49" s="59" t="s">
        <v>51</v>
      </c>
      <c r="M49" s="60" t="s">
        <v>51</v>
      </c>
      <c r="N49" s="59" t="s">
        <v>32</v>
      </c>
      <c r="O49" s="57" t="s">
        <v>51</v>
      </c>
      <c r="P49" s="25"/>
      <c r="Q49" s="60"/>
      <c r="R49" s="90"/>
      <c r="S49" s="102"/>
      <c r="AP49" s="103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</row>
    <row r="50" spans="1:53" ht="18" customHeight="1" x14ac:dyDescent="0.35">
      <c r="A50" s="99">
        <v>45561</v>
      </c>
      <c r="B50" s="2">
        <v>7.47</v>
      </c>
      <c r="C50" s="25">
        <v>44</v>
      </c>
      <c r="D50" s="25"/>
      <c r="E50" s="2">
        <v>0.7</v>
      </c>
      <c r="F50" s="25">
        <v>1071</v>
      </c>
      <c r="G50" s="25">
        <v>718</v>
      </c>
      <c r="H50" s="25">
        <v>499</v>
      </c>
      <c r="I50" s="25">
        <v>165</v>
      </c>
      <c r="J50" s="25">
        <f t="shared" si="1"/>
        <v>334</v>
      </c>
      <c r="K50" s="25">
        <v>109</v>
      </c>
      <c r="L50" s="59" t="s">
        <v>51</v>
      </c>
      <c r="M50" s="60" t="s">
        <v>51</v>
      </c>
      <c r="N50" s="59" t="s">
        <v>32</v>
      </c>
      <c r="O50" s="57" t="s">
        <v>51</v>
      </c>
      <c r="P50" s="25"/>
      <c r="Q50" s="60"/>
      <c r="R50" s="90"/>
      <c r="S50" s="102"/>
      <c r="AP50" s="103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</row>
    <row r="51" spans="1:53" ht="18" customHeight="1" x14ac:dyDescent="0.35">
      <c r="A51" s="99">
        <v>45562</v>
      </c>
      <c r="B51" s="2">
        <v>7.99</v>
      </c>
      <c r="C51" s="25">
        <v>58</v>
      </c>
      <c r="D51" s="25"/>
      <c r="E51" s="2" t="s">
        <v>32</v>
      </c>
      <c r="F51" s="25">
        <v>1220</v>
      </c>
      <c r="G51" s="25">
        <v>818</v>
      </c>
      <c r="H51" s="25">
        <v>445</v>
      </c>
      <c r="I51" s="25">
        <v>199</v>
      </c>
      <c r="J51" s="25">
        <f t="shared" si="1"/>
        <v>246</v>
      </c>
      <c r="K51" s="25">
        <v>116</v>
      </c>
      <c r="L51" s="59" t="s">
        <v>51</v>
      </c>
      <c r="M51" s="60" t="s">
        <v>51</v>
      </c>
      <c r="N51" s="59" t="s">
        <v>32</v>
      </c>
      <c r="O51" s="57" t="s">
        <v>51</v>
      </c>
      <c r="P51" s="25"/>
      <c r="Q51" s="60"/>
      <c r="R51" s="90"/>
      <c r="S51" s="102"/>
      <c r="AP51" s="103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</row>
    <row r="52" spans="1:53" ht="18" customHeight="1" x14ac:dyDescent="0.35">
      <c r="A52" s="70">
        <v>45563</v>
      </c>
      <c r="B52" s="2">
        <v>8.1999999999999993</v>
      </c>
      <c r="C52" s="25">
        <v>34</v>
      </c>
      <c r="D52" s="25"/>
      <c r="E52" s="2" t="s">
        <v>32</v>
      </c>
      <c r="F52" s="25">
        <v>1095</v>
      </c>
      <c r="G52" s="25">
        <v>734</v>
      </c>
      <c r="H52" s="25">
        <v>379</v>
      </c>
      <c r="I52" s="25">
        <v>177</v>
      </c>
      <c r="J52" s="25">
        <f t="shared" si="1"/>
        <v>202</v>
      </c>
      <c r="K52" s="25">
        <v>109</v>
      </c>
      <c r="L52" s="59" t="s">
        <v>51</v>
      </c>
      <c r="M52" s="60" t="s">
        <v>51</v>
      </c>
      <c r="N52" s="59" t="s">
        <v>32</v>
      </c>
      <c r="O52" s="57" t="s">
        <v>51</v>
      </c>
      <c r="P52" s="25"/>
      <c r="Q52" s="60"/>
      <c r="R52" s="90"/>
      <c r="S52" s="102"/>
      <c r="AP52" s="103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</row>
    <row r="53" spans="1:53" ht="18" customHeight="1" thickBot="1" x14ac:dyDescent="0.4">
      <c r="A53" s="109" t="s">
        <v>59</v>
      </c>
      <c r="B53" s="2">
        <v>7.75</v>
      </c>
      <c r="C53" s="25">
        <v>19</v>
      </c>
      <c r="D53" s="25"/>
      <c r="E53" s="2">
        <v>0.6</v>
      </c>
      <c r="F53" s="25">
        <v>1120</v>
      </c>
      <c r="G53" s="25">
        <v>751</v>
      </c>
      <c r="H53" s="25">
        <v>402</v>
      </c>
      <c r="I53" s="25">
        <v>194</v>
      </c>
      <c r="J53" s="25">
        <f t="shared" si="1"/>
        <v>208</v>
      </c>
      <c r="K53" s="25">
        <v>116</v>
      </c>
      <c r="L53" s="59" t="s">
        <v>51</v>
      </c>
      <c r="M53" s="60" t="s">
        <v>51</v>
      </c>
      <c r="N53" s="59" t="s">
        <v>32</v>
      </c>
      <c r="O53" s="57" t="s">
        <v>51</v>
      </c>
      <c r="P53" s="25"/>
      <c r="Q53" s="60"/>
      <c r="R53" s="90"/>
      <c r="S53" s="102"/>
      <c r="AP53" s="103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</row>
    <row r="54" spans="1:53" ht="18" customHeight="1" x14ac:dyDescent="0.35">
      <c r="A54" s="108">
        <v>45566</v>
      </c>
      <c r="B54" s="1">
        <v>7.18</v>
      </c>
      <c r="C54" s="12">
        <v>15</v>
      </c>
      <c r="D54" s="12"/>
      <c r="E54" s="1" t="s">
        <v>32</v>
      </c>
      <c r="F54" s="85">
        <v>986</v>
      </c>
      <c r="G54" s="85">
        <v>661</v>
      </c>
      <c r="H54" s="76">
        <v>594</v>
      </c>
      <c r="I54" s="76">
        <v>320</v>
      </c>
      <c r="J54" s="25">
        <f>H54-I54</f>
        <v>274</v>
      </c>
      <c r="K54" s="76">
        <v>167</v>
      </c>
      <c r="L54" s="59" t="s">
        <v>51</v>
      </c>
      <c r="M54" s="60" t="s">
        <v>51</v>
      </c>
      <c r="N54" s="59" t="s">
        <v>32</v>
      </c>
      <c r="O54" s="57" t="s">
        <v>51</v>
      </c>
      <c r="P54" s="12"/>
      <c r="Q54" s="87"/>
      <c r="R54" s="88" t="s">
        <v>51</v>
      </c>
      <c r="S54" s="102"/>
      <c r="AP54" s="103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</row>
    <row r="55" spans="1:53" ht="18" customHeight="1" x14ac:dyDescent="0.35">
      <c r="A55" s="99">
        <v>45567</v>
      </c>
      <c r="B55" s="2">
        <v>8.0399999999999991</v>
      </c>
      <c r="C55" s="58">
        <v>17</v>
      </c>
      <c r="D55" s="58"/>
      <c r="E55" s="2">
        <v>0.5</v>
      </c>
      <c r="F55" s="50">
        <v>970</v>
      </c>
      <c r="G55" s="25">
        <v>650</v>
      </c>
      <c r="H55" s="25">
        <v>580</v>
      </c>
      <c r="I55" s="25">
        <v>316</v>
      </c>
      <c r="J55" s="25">
        <f>H55-I55</f>
        <v>264</v>
      </c>
      <c r="K55" s="25">
        <v>153</v>
      </c>
      <c r="L55" s="59" t="s">
        <v>51</v>
      </c>
      <c r="M55" s="60" t="s">
        <v>51</v>
      </c>
      <c r="N55" s="59" t="s">
        <v>32</v>
      </c>
      <c r="O55" s="57" t="s">
        <v>51</v>
      </c>
      <c r="P55" s="58"/>
      <c r="Q55" s="60"/>
      <c r="R55" s="89"/>
      <c r="S55" s="102"/>
      <c r="AP55" s="103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</row>
    <row r="56" spans="1:53" ht="18" customHeight="1" x14ac:dyDescent="0.35">
      <c r="A56" s="99" t="s">
        <v>61</v>
      </c>
      <c r="B56" s="2">
        <v>7.82</v>
      </c>
      <c r="C56" s="58">
        <v>17</v>
      </c>
      <c r="D56" s="58"/>
      <c r="E56" s="2" t="s">
        <v>32</v>
      </c>
      <c r="F56" s="50">
        <v>908</v>
      </c>
      <c r="G56" s="50">
        <v>609</v>
      </c>
      <c r="H56" s="25">
        <v>561</v>
      </c>
      <c r="I56" s="25">
        <v>302</v>
      </c>
      <c r="J56" s="25">
        <f>H56-I56</f>
        <v>259</v>
      </c>
      <c r="K56" s="25">
        <v>146</v>
      </c>
      <c r="L56" s="59" t="s">
        <v>51</v>
      </c>
      <c r="M56" s="60" t="s">
        <v>51</v>
      </c>
      <c r="N56" s="59" t="s">
        <v>32</v>
      </c>
      <c r="O56" s="57" t="s">
        <v>51</v>
      </c>
      <c r="P56" s="58"/>
      <c r="Q56" s="60"/>
      <c r="R56" s="89"/>
      <c r="S56" s="102"/>
      <c r="AP56" s="103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</row>
    <row r="57" spans="1:53" ht="18" customHeight="1" x14ac:dyDescent="0.35">
      <c r="A57" s="99" t="s">
        <v>83</v>
      </c>
      <c r="B57" s="2">
        <v>7.96</v>
      </c>
      <c r="C57" s="17">
        <v>20</v>
      </c>
      <c r="D57" s="17"/>
      <c r="E57" s="2" t="s">
        <v>32</v>
      </c>
      <c r="F57" s="50">
        <v>952</v>
      </c>
      <c r="G57" s="50">
        <v>638</v>
      </c>
      <c r="H57" s="25">
        <v>575</v>
      </c>
      <c r="I57" s="25">
        <v>288</v>
      </c>
      <c r="J57" s="25">
        <f t="shared" ref="J57:J80" si="2">H57-I57</f>
        <v>287</v>
      </c>
      <c r="K57" s="25">
        <v>156</v>
      </c>
      <c r="L57" s="59" t="s">
        <v>51</v>
      </c>
      <c r="M57" s="60" t="s">
        <v>51</v>
      </c>
      <c r="N57" s="59" t="s">
        <v>32</v>
      </c>
      <c r="O57" s="57" t="s">
        <v>51</v>
      </c>
      <c r="P57" s="58"/>
      <c r="Q57" s="60"/>
      <c r="R57" s="89"/>
      <c r="S57" s="102"/>
      <c r="AP57" s="103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</row>
    <row r="58" spans="1:53" ht="18" customHeight="1" x14ac:dyDescent="0.35">
      <c r="A58" s="99">
        <v>45570</v>
      </c>
      <c r="B58" s="2">
        <v>7.65</v>
      </c>
      <c r="C58" s="17">
        <v>15</v>
      </c>
      <c r="D58" s="17"/>
      <c r="E58" s="2" t="s">
        <v>32</v>
      </c>
      <c r="F58" s="50">
        <v>976</v>
      </c>
      <c r="G58" s="50">
        <v>654</v>
      </c>
      <c r="H58" s="25">
        <v>566</v>
      </c>
      <c r="I58" s="25">
        <v>302</v>
      </c>
      <c r="J58" s="25">
        <f t="shared" si="2"/>
        <v>264</v>
      </c>
      <c r="K58" s="25">
        <v>167</v>
      </c>
      <c r="L58" s="59" t="s">
        <v>51</v>
      </c>
      <c r="M58" s="60" t="s">
        <v>51</v>
      </c>
      <c r="N58" s="59" t="s">
        <v>32</v>
      </c>
      <c r="O58" s="57" t="s">
        <v>51</v>
      </c>
      <c r="P58" s="58"/>
      <c r="Q58" s="60"/>
      <c r="R58" s="89"/>
      <c r="S58" s="102"/>
      <c r="AP58" s="103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</row>
    <row r="59" spans="1:53" ht="18" customHeight="1" x14ac:dyDescent="0.35">
      <c r="A59" s="99">
        <v>45572</v>
      </c>
      <c r="B59" s="2">
        <v>7.79</v>
      </c>
      <c r="C59" s="58">
        <v>18</v>
      </c>
      <c r="D59" s="58"/>
      <c r="E59" s="2" t="s">
        <v>32</v>
      </c>
      <c r="F59" s="50">
        <v>986</v>
      </c>
      <c r="G59" s="50">
        <v>661</v>
      </c>
      <c r="H59" s="25">
        <v>557</v>
      </c>
      <c r="I59" s="25">
        <v>302</v>
      </c>
      <c r="J59" s="25">
        <f t="shared" si="2"/>
        <v>255</v>
      </c>
      <c r="K59" s="25">
        <v>138</v>
      </c>
      <c r="L59" s="59" t="s">
        <v>51</v>
      </c>
      <c r="M59" s="60" t="s">
        <v>51</v>
      </c>
      <c r="N59" s="59" t="s">
        <v>32</v>
      </c>
      <c r="O59" s="57" t="s">
        <v>51</v>
      </c>
      <c r="P59" s="58"/>
      <c r="Q59" s="60"/>
      <c r="R59" s="89"/>
      <c r="S59" s="102"/>
      <c r="AP59" s="103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</row>
    <row r="60" spans="1:53" ht="18" customHeight="1" x14ac:dyDescent="0.35">
      <c r="A60" s="99" t="s">
        <v>62</v>
      </c>
      <c r="B60" s="2">
        <v>7.39</v>
      </c>
      <c r="C60" s="17">
        <v>34</v>
      </c>
      <c r="D60" s="17"/>
      <c r="E60" s="2">
        <v>0.8</v>
      </c>
      <c r="F60" s="50">
        <v>1101</v>
      </c>
      <c r="G60" s="50">
        <v>738</v>
      </c>
      <c r="H60" s="25">
        <v>579</v>
      </c>
      <c r="I60" s="25">
        <v>294</v>
      </c>
      <c r="J60" s="25">
        <f t="shared" si="2"/>
        <v>285</v>
      </c>
      <c r="K60" s="25">
        <v>160</v>
      </c>
      <c r="L60" s="59" t="s">
        <v>51</v>
      </c>
      <c r="M60" s="60" t="s">
        <v>51</v>
      </c>
      <c r="N60" s="59" t="s">
        <v>32</v>
      </c>
      <c r="O60" s="57" t="s">
        <v>51</v>
      </c>
      <c r="P60" s="58"/>
      <c r="Q60" s="60"/>
      <c r="R60" s="89"/>
      <c r="S60" s="102"/>
      <c r="AP60" s="103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</row>
    <row r="61" spans="1:53" ht="18" customHeight="1" x14ac:dyDescent="0.35">
      <c r="A61" s="99" t="s">
        <v>63</v>
      </c>
      <c r="B61" s="2">
        <v>7.67</v>
      </c>
      <c r="C61" s="58">
        <v>19</v>
      </c>
      <c r="D61" s="58"/>
      <c r="E61" s="2">
        <v>0.6</v>
      </c>
      <c r="F61" s="17">
        <v>982</v>
      </c>
      <c r="G61" s="17">
        <v>658</v>
      </c>
      <c r="H61" s="17">
        <v>547</v>
      </c>
      <c r="I61" s="17">
        <v>285</v>
      </c>
      <c r="J61" s="25">
        <f t="shared" si="2"/>
        <v>262</v>
      </c>
      <c r="K61" s="17">
        <v>153</v>
      </c>
      <c r="L61" s="59" t="s">
        <v>51</v>
      </c>
      <c r="M61" s="60" t="s">
        <v>51</v>
      </c>
      <c r="N61" s="59" t="s">
        <v>32</v>
      </c>
      <c r="O61" s="57" t="s">
        <v>51</v>
      </c>
      <c r="P61" s="58"/>
      <c r="Q61" s="60"/>
      <c r="R61" s="89"/>
      <c r="S61" s="102"/>
      <c r="AP61" s="103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</row>
    <row r="62" spans="1:53" ht="18" customHeight="1" x14ac:dyDescent="0.35">
      <c r="A62" s="99" t="s">
        <v>64</v>
      </c>
      <c r="B62" s="2">
        <v>7.96</v>
      </c>
      <c r="C62" s="58">
        <v>21</v>
      </c>
      <c r="D62" s="58"/>
      <c r="E62" s="2">
        <v>0.2</v>
      </c>
      <c r="F62" s="50">
        <v>1032</v>
      </c>
      <c r="G62" s="50">
        <v>692</v>
      </c>
      <c r="H62" s="25">
        <v>533</v>
      </c>
      <c r="I62" s="25">
        <v>280</v>
      </c>
      <c r="J62" s="25">
        <f t="shared" si="2"/>
        <v>253</v>
      </c>
      <c r="K62" s="25">
        <v>160</v>
      </c>
      <c r="L62" s="59" t="s">
        <v>51</v>
      </c>
      <c r="M62" s="60" t="s">
        <v>51</v>
      </c>
      <c r="N62" s="59" t="s">
        <v>32</v>
      </c>
      <c r="O62" s="57" t="s">
        <v>51</v>
      </c>
      <c r="P62" s="58"/>
      <c r="Q62" s="60"/>
      <c r="R62" s="89"/>
      <c r="S62" s="102"/>
      <c r="AP62" s="103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</row>
    <row r="63" spans="1:53" ht="18" customHeight="1" x14ac:dyDescent="0.35">
      <c r="A63" s="99" t="s">
        <v>65</v>
      </c>
      <c r="B63" s="2">
        <v>7.96</v>
      </c>
      <c r="C63" s="58">
        <v>17</v>
      </c>
      <c r="D63" s="58"/>
      <c r="E63" s="2">
        <v>0.8</v>
      </c>
      <c r="F63" s="50">
        <v>957</v>
      </c>
      <c r="G63" s="50">
        <v>641</v>
      </c>
      <c r="H63" s="25">
        <v>524</v>
      </c>
      <c r="I63" s="25">
        <v>289</v>
      </c>
      <c r="J63" s="25">
        <f t="shared" si="2"/>
        <v>235</v>
      </c>
      <c r="K63" s="25">
        <v>153</v>
      </c>
      <c r="L63" s="59" t="s">
        <v>51</v>
      </c>
      <c r="M63" s="60" t="s">
        <v>51</v>
      </c>
      <c r="N63" s="59" t="s">
        <v>32</v>
      </c>
      <c r="O63" s="57" t="s">
        <v>51</v>
      </c>
      <c r="P63" s="58"/>
      <c r="Q63" s="60"/>
      <c r="R63" s="89"/>
      <c r="S63" s="102"/>
      <c r="AP63" s="103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</row>
    <row r="64" spans="1:53" ht="18" customHeight="1" x14ac:dyDescent="0.35">
      <c r="A64" s="99" t="s">
        <v>66</v>
      </c>
      <c r="B64" s="2">
        <v>7.81</v>
      </c>
      <c r="C64" s="58">
        <v>19</v>
      </c>
      <c r="D64" s="58"/>
      <c r="E64" s="2">
        <v>0.2</v>
      </c>
      <c r="F64" s="50">
        <v>1001</v>
      </c>
      <c r="G64" s="50">
        <v>671</v>
      </c>
      <c r="H64" s="25">
        <v>529</v>
      </c>
      <c r="I64" s="25">
        <v>285</v>
      </c>
      <c r="J64" s="25">
        <f t="shared" si="2"/>
        <v>244</v>
      </c>
      <c r="K64" s="25">
        <v>160</v>
      </c>
      <c r="L64" s="59" t="s">
        <v>51</v>
      </c>
      <c r="M64" s="60" t="s">
        <v>51</v>
      </c>
      <c r="N64" s="59" t="s">
        <v>32</v>
      </c>
      <c r="O64" s="57" t="s">
        <v>51</v>
      </c>
      <c r="P64" s="58"/>
      <c r="Q64" s="60"/>
      <c r="R64" s="89"/>
      <c r="S64" s="102"/>
      <c r="AP64" s="103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</row>
    <row r="65" spans="1:53" ht="18" customHeight="1" x14ac:dyDescent="0.35">
      <c r="A65" s="99" t="s">
        <v>67</v>
      </c>
      <c r="B65" s="2">
        <v>7.89</v>
      </c>
      <c r="C65" s="58">
        <v>22</v>
      </c>
      <c r="D65" s="58"/>
      <c r="E65" s="2">
        <v>0.1</v>
      </c>
      <c r="F65" s="50">
        <v>937</v>
      </c>
      <c r="G65" s="50">
        <v>628</v>
      </c>
      <c r="H65" s="25">
        <v>333</v>
      </c>
      <c r="I65" s="25">
        <v>289</v>
      </c>
      <c r="J65" s="25">
        <f t="shared" si="2"/>
        <v>44</v>
      </c>
      <c r="K65" s="25">
        <v>167</v>
      </c>
      <c r="L65" s="59" t="s">
        <v>51</v>
      </c>
      <c r="M65" s="60" t="s">
        <v>51</v>
      </c>
      <c r="N65" s="59" t="s">
        <v>32</v>
      </c>
      <c r="O65" s="57" t="s">
        <v>51</v>
      </c>
      <c r="P65" s="58"/>
      <c r="Q65" s="60"/>
      <c r="R65" s="89"/>
      <c r="S65" s="102"/>
      <c r="AP65" s="103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</row>
    <row r="66" spans="1:53" ht="18" customHeight="1" x14ac:dyDescent="0.35">
      <c r="A66" s="99" t="s">
        <v>68</v>
      </c>
      <c r="B66" s="2">
        <v>7.99</v>
      </c>
      <c r="C66" s="58">
        <v>22</v>
      </c>
      <c r="D66" s="58"/>
      <c r="E66" s="2">
        <v>1</v>
      </c>
      <c r="F66" s="50">
        <v>955</v>
      </c>
      <c r="G66" s="50">
        <v>640</v>
      </c>
      <c r="H66" s="25">
        <v>538</v>
      </c>
      <c r="I66" s="25">
        <v>285</v>
      </c>
      <c r="J66" s="25">
        <f t="shared" si="2"/>
        <v>253</v>
      </c>
      <c r="K66" s="25">
        <v>153</v>
      </c>
      <c r="L66" s="59" t="s">
        <v>51</v>
      </c>
      <c r="M66" s="60" t="s">
        <v>51</v>
      </c>
      <c r="N66" s="59" t="s">
        <v>32</v>
      </c>
      <c r="O66" s="57" t="s">
        <v>51</v>
      </c>
      <c r="P66" s="58"/>
      <c r="Q66" s="60"/>
      <c r="R66" s="89"/>
      <c r="S66" s="102"/>
      <c r="AP66" s="103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</row>
    <row r="67" spans="1:53" ht="18" customHeight="1" x14ac:dyDescent="0.35">
      <c r="A67" s="99" t="s">
        <v>69</v>
      </c>
      <c r="B67" s="2">
        <v>8.25</v>
      </c>
      <c r="C67" s="58">
        <v>17</v>
      </c>
      <c r="D67" s="58"/>
      <c r="E67" s="2" t="s">
        <v>32</v>
      </c>
      <c r="F67" s="50">
        <v>828</v>
      </c>
      <c r="G67" s="50">
        <v>555</v>
      </c>
      <c r="H67" s="50">
        <v>441</v>
      </c>
      <c r="I67" s="25">
        <v>271</v>
      </c>
      <c r="J67" s="25">
        <f t="shared" si="2"/>
        <v>170</v>
      </c>
      <c r="K67" s="25">
        <v>146</v>
      </c>
      <c r="L67" s="59" t="s">
        <v>51</v>
      </c>
      <c r="M67" s="60" t="s">
        <v>51</v>
      </c>
      <c r="N67" s="59" t="s">
        <v>32</v>
      </c>
      <c r="O67" s="57" t="s">
        <v>51</v>
      </c>
      <c r="P67" s="58"/>
      <c r="Q67" s="60"/>
      <c r="R67" s="89"/>
      <c r="S67" s="102"/>
      <c r="AP67" s="103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</row>
    <row r="68" spans="1:53" ht="18" customHeight="1" x14ac:dyDescent="0.35">
      <c r="A68" s="99" t="s">
        <v>70</v>
      </c>
      <c r="B68" s="2">
        <v>7.61</v>
      </c>
      <c r="C68" s="58">
        <v>15</v>
      </c>
      <c r="D68" s="58"/>
      <c r="E68" s="2" t="s">
        <v>32</v>
      </c>
      <c r="F68" s="50">
        <v>798</v>
      </c>
      <c r="G68" s="50">
        <v>535</v>
      </c>
      <c r="H68" s="25">
        <v>452</v>
      </c>
      <c r="I68" s="25">
        <v>262</v>
      </c>
      <c r="J68" s="25">
        <f t="shared" si="2"/>
        <v>190</v>
      </c>
      <c r="K68" s="25">
        <v>138</v>
      </c>
      <c r="L68" s="59" t="s">
        <v>51</v>
      </c>
      <c r="M68" s="60" t="s">
        <v>51</v>
      </c>
      <c r="N68" s="59" t="s">
        <v>32</v>
      </c>
      <c r="O68" s="57" t="s">
        <v>51</v>
      </c>
      <c r="P68" s="58"/>
      <c r="Q68" s="60"/>
      <c r="R68" s="89"/>
      <c r="S68" s="102"/>
      <c r="AP68" s="103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</row>
    <row r="69" spans="1:53" ht="18" customHeight="1" x14ac:dyDescent="0.35">
      <c r="A69" s="99" t="s">
        <v>71</v>
      </c>
      <c r="B69" s="2">
        <v>8</v>
      </c>
      <c r="C69" s="58">
        <v>23</v>
      </c>
      <c r="D69" s="58"/>
      <c r="E69" s="2">
        <v>0.9</v>
      </c>
      <c r="F69" s="50">
        <v>946</v>
      </c>
      <c r="G69" s="50">
        <v>634</v>
      </c>
      <c r="H69" s="25">
        <v>473</v>
      </c>
      <c r="I69" s="25">
        <v>260</v>
      </c>
      <c r="J69" s="25">
        <f t="shared" si="2"/>
        <v>213</v>
      </c>
      <c r="K69" s="25">
        <v>153</v>
      </c>
      <c r="L69" s="59" t="s">
        <v>51</v>
      </c>
      <c r="M69" s="60" t="s">
        <v>51</v>
      </c>
      <c r="N69" s="59" t="s">
        <v>32</v>
      </c>
      <c r="O69" s="57" t="s">
        <v>51</v>
      </c>
      <c r="P69" s="58"/>
      <c r="Q69" s="60"/>
      <c r="R69" s="89"/>
      <c r="S69" s="102"/>
      <c r="AP69" s="103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</row>
    <row r="70" spans="1:53" ht="18" customHeight="1" x14ac:dyDescent="0.35">
      <c r="A70" s="99" t="s">
        <v>72</v>
      </c>
      <c r="B70" s="2">
        <v>8.2200000000000006</v>
      </c>
      <c r="C70" s="58">
        <v>26</v>
      </c>
      <c r="D70" s="58"/>
      <c r="E70" s="2" t="s">
        <v>32</v>
      </c>
      <c r="F70" s="50">
        <v>1074</v>
      </c>
      <c r="G70" s="50">
        <v>720</v>
      </c>
      <c r="H70" s="25">
        <v>469</v>
      </c>
      <c r="I70" s="25">
        <v>255</v>
      </c>
      <c r="J70" s="25">
        <f t="shared" si="2"/>
        <v>214</v>
      </c>
      <c r="K70" s="25">
        <v>146</v>
      </c>
      <c r="L70" s="59" t="s">
        <v>51</v>
      </c>
      <c r="M70" s="60" t="s">
        <v>51</v>
      </c>
      <c r="N70" s="59" t="s">
        <v>32</v>
      </c>
      <c r="O70" s="57" t="s">
        <v>51</v>
      </c>
      <c r="P70" s="58"/>
      <c r="Q70" s="60"/>
      <c r="R70" s="89"/>
      <c r="S70" s="102"/>
      <c r="AP70" s="103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</row>
    <row r="71" spans="1:53" ht="18" customHeight="1" x14ac:dyDescent="0.35">
      <c r="A71" s="99" t="s">
        <v>73</v>
      </c>
      <c r="B71" s="2">
        <v>7.99</v>
      </c>
      <c r="C71" s="58">
        <v>22</v>
      </c>
      <c r="D71" s="58"/>
      <c r="E71" s="2" t="s">
        <v>32</v>
      </c>
      <c r="F71" s="50">
        <v>1025</v>
      </c>
      <c r="G71" s="50">
        <v>687</v>
      </c>
      <c r="H71" s="25">
        <v>469</v>
      </c>
      <c r="I71" s="25">
        <v>255</v>
      </c>
      <c r="J71" s="25">
        <f t="shared" si="2"/>
        <v>214</v>
      </c>
      <c r="K71" s="25">
        <v>167</v>
      </c>
      <c r="L71" s="59" t="s">
        <v>51</v>
      </c>
      <c r="M71" s="60" t="s">
        <v>51</v>
      </c>
      <c r="N71" s="59" t="s">
        <v>32</v>
      </c>
      <c r="O71" s="57" t="s">
        <v>51</v>
      </c>
      <c r="P71" s="58"/>
      <c r="Q71" s="60"/>
      <c r="R71" s="89"/>
      <c r="S71" s="102"/>
      <c r="AP71" s="103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</row>
    <row r="72" spans="1:53" ht="18" customHeight="1" x14ac:dyDescent="0.35">
      <c r="A72" s="99" t="s">
        <v>74</v>
      </c>
      <c r="B72" s="2">
        <v>7.84</v>
      </c>
      <c r="C72" s="25">
        <v>16</v>
      </c>
      <c r="D72" s="25"/>
      <c r="E72" s="2">
        <v>0.2</v>
      </c>
      <c r="F72" s="25">
        <v>1018</v>
      </c>
      <c r="G72" s="25">
        <v>682</v>
      </c>
      <c r="H72" s="25">
        <v>473</v>
      </c>
      <c r="I72" s="25">
        <v>246</v>
      </c>
      <c r="J72" s="25">
        <f t="shared" si="2"/>
        <v>227</v>
      </c>
      <c r="K72" s="25">
        <v>153</v>
      </c>
      <c r="L72" s="59" t="s">
        <v>51</v>
      </c>
      <c r="M72" s="60" t="s">
        <v>51</v>
      </c>
      <c r="N72" s="59" t="s">
        <v>32</v>
      </c>
      <c r="O72" s="57" t="s">
        <v>51</v>
      </c>
      <c r="P72" s="58"/>
      <c r="Q72" s="60"/>
      <c r="R72" s="90"/>
      <c r="S72" s="102"/>
      <c r="AP72" s="103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</row>
    <row r="73" spans="1:53" ht="18" customHeight="1" x14ac:dyDescent="0.35">
      <c r="A73" s="99" t="s">
        <v>75</v>
      </c>
      <c r="B73" s="2">
        <v>8.1300000000000008</v>
      </c>
      <c r="C73" s="25">
        <v>16</v>
      </c>
      <c r="D73" s="25"/>
      <c r="E73" s="2">
        <v>0.4</v>
      </c>
      <c r="F73" s="25">
        <v>764</v>
      </c>
      <c r="G73" s="25">
        <v>512</v>
      </c>
      <c r="H73" s="25">
        <v>464</v>
      </c>
      <c r="I73" s="25">
        <v>241</v>
      </c>
      <c r="J73" s="25">
        <f t="shared" si="2"/>
        <v>223</v>
      </c>
      <c r="K73" s="25">
        <v>146</v>
      </c>
      <c r="L73" s="59" t="s">
        <v>51</v>
      </c>
      <c r="M73" s="60" t="s">
        <v>51</v>
      </c>
      <c r="N73" s="59" t="s">
        <v>32</v>
      </c>
      <c r="O73" s="57" t="s">
        <v>51</v>
      </c>
      <c r="P73" s="25"/>
      <c r="Q73" s="60"/>
      <c r="R73" s="90"/>
      <c r="S73" s="102"/>
      <c r="AP73" s="103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</row>
    <row r="74" spans="1:53" ht="18" customHeight="1" x14ac:dyDescent="0.35">
      <c r="A74" s="99" t="s">
        <v>76</v>
      </c>
      <c r="B74" s="2">
        <v>8</v>
      </c>
      <c r="C74" s="25">
        <v>14</v>
      </c>
      <c r="D74" s="25"/>
      <c r="E74" s="2" t="s">
        <v>32</v>
      </c>
      <c r="F74" s="25">
        <v>1058</v>
      </c>
      <c r="G74" s="25">
        <v>709</v>
      </c>
      <c r="H74" s="25">
        <v>475</v>
      </c>
      <c r="I74" s="25">
        <v>240</v>
      </c>
      <c r="J74" s="25">
        <f t="shared" si="2"/>
        <v>235</v>
      </c>
      <c r="K74" s="25">
        <v>160</v>
      </c>
      <c r="L74" s="59" t="s">
        <v>51</v>
      </c>
      <c r="M74" s="60" t="s">
        <v>51</v>
      </c>
      <c r="N74" s="59" t="s">
        <v>32</v>
      </c>
      <c r="O74" s="57" t="s">
        <v>51</v>
      </c>
      <c r="P74" s="25"/>
      <c r="Q74" s="60"/>
      <c r="R74" s="90"/>
      <c r="S74" s="102"/>
      <c r="AP74" s="103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</row>
    <row r="75" spans="1:53" ht="18" customHeight="1" x14ac:dyDescent="0.35">
      <c r="A75" s="99" t="s">
        <v>77</v>
      </c>
      <c r="B75" s="2">
        <v>8.16</v>
      </c>
      <c r="C75" s="25">
        <v>16</v>
      </c>
      <c r="D75" s="25"/>
      <c r="E75" s="2">
        <v>0.8</v>
      </c>
      <c r="F75" s="25" t="s">
        <v>51</v>
      </c>
      <c r="G75" s="25">
        <v>774</v>
      </c>
      <c r="H75" s="25">
        <v>484</v>
      </c>
      <c r="I75" s="25">
        <v>249</v>
      </c>
      <c r="J75" s="25">
        <f t="shared" si="2"/>
        <v>235</v>
      </c>
      <c r="K75" s="25">
        <v>167</v>
      </c>
      <c r="L75" s="59" t="s">
        <v>51</v>
      </c>
      <c r="M75" s="60" t="s">
        <v>51</v>
      </c>
      <c r="N75" s="59" t="s">
        <v>32</v>
      </c>
      <c r="O75" s="57" t="s">
        <v>51</v>
      </c>
      <c r="P75" s="25"/>
      <c r="Q75" s="60"/>
      <c r="R75" s="90"/>
      <c r="S75" s="102"/>
      <c r="AP75" s="103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</row>
    <row r="76" spans="1:53" ht="18" customHeight="1" x14ac:dyDescent="0.35">
      <c r="A76" s="99" t="s">
        <v>78</v>
      </c>
      <c r="B76" s="2">
        <v>8.1</v>
      </c>
      <c r="C76" s="25">
        <v>15</v>
      </c>
      <c r="D76" s="25"/>
      <c r="E76" s="2" t="s">
        <v>32</v>
      </c>
      <c r="F76" s="25">
        <v>1134</v>
      </c>
      <c r="G76" s="25">
        <v>760</v>
      </c>
      <c r="H76" s="25">
        <v>479</v>
      </c>
      <c r="I76" s="25">
        <v>224</v>
      </c>
      <c r="J76" s="25">
        <f t="shared" si="2"/>
        <v>255</v>
      </c>
      <c r="K76" s="25">
        <v>160</v>
      </c>
      <c r="L76" s="59" t="s">
        <v>51</v>
      </c>
      <c r="M76" s="60" t="s">
        <v>51</v>
      </c>
      <c r="N76" s="59" t="s">
        <v>32</v>
      </c>
      <c r="O76" s="57" t="s">
        <v>51</v>
      </c>
      <c r="P76" s="25"/>
      <c r="Q76" s="60"/>
      <c r="R76" s="90"/>
      <c r="S76" s="102"/>
      <c r="AP76" s="103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</row>
    <row r="77" spans="1:53" ht="18" customHeight="1" x14ac:dyDescent="0.35">
      <c r="A77" s="70" t="s">
        <v>79</v>
      </c>
      <c r="B77" s="2">
        <v>8.07</v>
      </c>
      <c r="C77" s="25">
        <v>15</v>
      </c>
      <c r="D77" s="25"/>
      <c r="E77" s="2" t="s">
        <v>32</v>
      </c>
      <c r="F77" s="25">
        <v>1201</v>
      </c>
      <c r="G77" s="25">
        <v>805</v>
      </c>
      <c r="H77" s="25">
        <v>484</v>
      </c>
      <c r="I77" s="25">
        <v>249</v>
      </c>
      <c r="J77" s="25">
        <f t="shared" si="2"/>
        <v>235</v>
      </c>
      <c r="K77" s="25">
        <v>167</v>
      </c>
      <c r="L77" s="59" t="s">
        <v>51</v>
      </c>
      <c r="M77" s="60" t="s">
        <v>51</v>
      </c>
      <c r="N77" s="59" t="s">
        <v>32</v>
      </c>
      <c r="O77" s="57" t="s">
        <v>51</v>
      </c>
      <c r="P77" s="25"/>
      <c r="Q77" s="60"/>
      <c r="R77" s="90"/>
      <c r="S77" s="102"/>
      <c r="AP77" s="103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</row>
    <row r="78" spans="1:53" ht="18" customHeight="1" x14ac:dyDescent="0.35">
      <c r="A78" s="99" t="s">
        <v>80</v>
      </c>
      <c r="B78" s="2">
        <v>7.81</v>
      </c>
      <c r="C78" s="25">
        <v>18</v>
      </c>
      <c r="D78" s="25"/>
      <c r="E78" s="2">
        <v>0.4</v>
      </c>
      <c r="F78" s="25">
        <v>1211</v>
      </c>
      <c r="G78" s="25">
        <v>812</v>
      </c>
      <c r="H78" s="25">
        <v>479</v>
      </c>
      <c r="I78" s="25">
        <v>240</v>
      </c>
      <c r="J78" s="25">
        <f t="shared" si="2"/>
        <v>239</v>
      </c>
      <c r="K78" s="25">
        <v>160</v>
      </c>
      <c r="L78" s="59" t="s">
        <v>51</v>
      </c>
      <c r="M78" s="60" t="s">
        <v>51</v>
      </c>
      <c r="N78" s="59" t="s">
        <v>32</v>
      </c>
      <c r="O78" s="57" t="s">
        <v>51</v>
      </c>
      <c r="P78" s="25"/>
      <c r="Q78" s="60"/>
      <c r="R78" s="90"/>
      <c r="S78" s="102"/>
      <c r="AP78" s="103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</row>
    <row r="79" spans="1:53" ht="18" customHeight="1" x14ac:dyDescent="0.35">
      <c r="A79" s="99" t="s">
        <v>81</v>
      </c>
      <c r="B79" s="2">
        <v>8</v>
      </c>
      <c r="C79" s="25">
        <v>18</v>
      </c>
      <c r="D79" s="25"/>
      <c r="E79" s="2">
        <v>0.5</v>
      </c>
      <c r="F79" s="25">
        <v>1299</v>
      </c>
      <c r="G79" s="25">
        <v>870</v>
      </c>
      <c r="H79" s="25">
        <v>461</v>
      </c>
      <c r="I79" s="25">
        <v>231</v>
      </c>
      <c r="J79" s="25">
        <f t="shared" si="2"/>
        <v>230</v>
      </c>
      <c r="K79" s="25">
        <v>153</v>
      </c>
      <c r="L79" s="59" t="s">
        <v>51</v>
      </c>
      <c r="M79" s="60" t="s">
        <v>51</v>
      </c>
      <c r="N79" s="59" t="s">
        <v>32</v>
      </c>
      <c r="O79" s="57" t="s">
        <v>51</v>
      </c>
      <c r="P79" s="25"/>
      <c r="Q79" s="60"/>
      <c r="R79" s="90"/>
      <c r="S79" s="102"/>
      <c r="AP79" s="103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</row>
    <row r="80" spans="1:53" ht="18" customHeight="1" thickBot="1" x14ac:dyDescent="0.4">
      <c r="A80" s="109" t="s">
        <v>82</v>
      </c>
      <c r="B80" s="25">
        <v>7.85</v>
      </c>
      <c r="C80" s="25">
        <v>16</v>
      </c>
      <c r="D80" s="25"/>
      <c r="E80" s="2">
        <v>0.1</v>
      </c>
      <c r="F80" s="25">
        <v>1319</v>
      </c>
      <c r="G80" s="25">
        <v>884</v>
      </c>
      <c r="H80" s="25">
        <v>441</v>
      </c>
      <c r="I80" s="25">
        <v>229</v>
      </c>
      <c r="J80" s="25">
        <f t="shared" si="2"/>
        <v>212</v>
      </c>
      <c r="K80" s="25">
        <v>167</v>
      </c>
      <c r="L80" s="59" t="s">
        <v>51</v>
      </c>
      <c r="M80" s="60" t="s">
        <v>51</v>
      </c>
      <c r="N80" s="59" t="s">
        <v>32</v>
      </c>
      <c r="O80" s="57" t="s">
        <v>51</v>
      </c>
      <c r="P80" s="25"/>
      <c r="Q80" s="60"/>
      <c r="R80" s="90"/>
      <c r="S80" s="102"/>
      <c r="AP80" s="103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</row>
    <row r="81" spans="1:53" ht="18" customHeight="1" x14ac:dyDescent="0.35">
      <c r="A81" s="108" t="s">
        <v>84</v>
      </c>
      <c r="B81" s="1">
        <v>7.83</v>
      </c>
      <c r="C81" s="12">
        <v>17</v>
      </c>
      <c r="D81" s="12"/>
      <c r="E81" s="1">
        <v>0.4</v>
      </c>
      <c r="F81" s="85">
        <v>1331</v>
      </c>
      <c r="G81" s="85">
        <v>892</v>
      </c>
      <c r="H81" s="76">
        <v>445</v>
      </c>
      <c r="I81" s="76">
        <v>225</v>
      </c>
      <c r="J81" s="25">
        <f>H81-I81</f>
        <v>220</v>
      </c>
      <c r="K81" s="76">
        <v>153</v>
      </c>
      <c r="L81" s="59" t="s">
        <v>51</v>
      </c>
      <c r="M81" s="60" t="s">
        <v>51</v>
      </c>
      <c r="N81" s="59" t="s">
        <v>32</v>
      </c>
      <c r="O81" s="57" t="s">
        <v>51</v>
      </c>
      <c r="P81" s="12"/>
      <c r="Q81" s="87"/>
      <c r="R81" s="88" t="s">
        <v>51</v>
      </c>
      <c r="S81" s="102"/>
      <c r="AP81" s="103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</row>
    <row r="82" spans="1:53" ht="18" customHeight="1" x14ac:dyDescent="0.35">
      <c r="A82" s="99" t="s">
        <v>85</v>
      </c>
      <c r="B82" s="2">
        <v>7.81</v>
      </c>
      <c r="C82" s="58">
        <v>17</v>
      </c>
      <c r="D82" s="58"/>
      <c r="E82" s="2">
        <v>0.2</v>
      </c>
      <c r="F82" s="50">
        <v>1289</v>
      </c>
      <c r="G82" s="25">
        <v>864</v>
      </c>
      <c r="H82" s="25">
        <v>453</v>
      </c>
      <c r="I82" s="25">
        <v>222</v>
      </c>
      <c r="J82" s="25">
        <f t="shared" ref="J82:J145" si="3">H82-I82</f>
        <v>231</v>
      </c>
      <c r="K82" s="25">
        <v>167</v>
      </c>
      <c r="L82" s="59" t="s">
        <v>51</v>
      </c>
      <c r="M82" s="60" t="s">
        <v>51</v>
      </c>
      <c r="N82" s="59" t="s">
        <v>32</v>
      </c>
      <c r="O82" s="57" t="s">
        <v>51</v>
      </c>
      <c r="P82" s="58"/>
      <c r="Q82" s="60"/>
      <c r="R82" s="89" t="s">
        <v>51</v>
      </c>
      <c r="S82" s="102"/>
      <c r="AP82" s="103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</row>
    <row r="83" spans="1:53" ht="18" customHeight="1" x14ac:dyDescent="0.35">
      <c r="A83" s="99" t="s">
        <v>86</v>
      </c>
      <c r="B83" s="2">
        <v>7.52</v>
      </c>
      <c r="C83" s="58">
        <v>16</v>
      </c>
      <c r="D83" s="58"/>
      <c r="E83" s="2">
        <v>0.6</v>
      </c>
      <c r="F83" s="50">
        <v>1311</v>
      </c>
      <c r="G83" s="50">
        <v>879</v>
      </c>
      <c r="H83" s="25">
        <v>445</v>
      </c>
      <c r="I83" s="25">
        <v>218</v>
      </c>
      <c r="J83" s="25">
        <f t="shared" si="3"/>
        <v>227</v>
      </c>
      <c r="K83" s="25">
        <v>160</v>
      </c>
      <c r="L83" s="59" t="s">
        <v>51</v>
      </c>
      <c r="M83" s="60" t="s">
        <v>51</v>
      </c>
      <c r="N83" s="59" t="s">
        <v>32</v>
      </c>
      <c r="O83" s="57" t="s">
        <v>51</v>
      </c>
      <c r="P83" s="58"/>
      <c r="Q83" s="60"/>
      <c r="R83" s="89" t="s">
        <v>51</v>
      </c>
      <c r="S83" s="102"/>
      <c r="AP83" s="103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</row>
    <row r="84" spans="1:53" ht="18" customHeight="1" x14ac:dyDescent="0.35">
      <c r="A84" s="99" t="s">
        <v>87</v>
      </c>
      <c r="B84" s="2">
        <v>7.69</v>
      </c>
      <c r="C84" s="17">
        <v>19</v>
      </c>
      <c r="D84" s="17"/>
      <c r="E84" s="2" t="s">
        <v>32</v>
      </c>
      <c r="F84" s="50">
        <v>1316</v>
      </c>
      <c r="G84" s="50">
        <v>882</v>
      </c>
      <c r="H84" s="25">
        <v>453</v>
      </c>
      <c r="I84" s="25">
        <v>221</v>
      </c>
      <c r="J84" s="25">
        <f t="shared" si="3"/>
        <v>232</v>
      </c>
      <c r="K84" s="25">
        <v>167</v>
      </c>
      <c r="L84" s="59" t="s">
        <v>51</v>
      </c>
      <c r="M84" s="60" t="s">
        <v>51</v>
      </c>
      <c r="N84" s="59" t="s">
        <v>32</v>
      </c>
      <c r="O84" s="57" t="s">
        <v>51</v>
      </c>
      <c r="P84" s="58"/>
      <c r="Q84" s="60"/>
      <c r="R84" s="89" t="s">
        <v>51</v>
      </c>
      <c r="S84" s="102"/>
      <c r="AP84" s="103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</row>
    <row r="85" spans="1:53" ht="18" customHeight="1" x14ac:dyDescent="0.35">
      <c r="A85" s="99" t="s">
        <v>88</v>
      </c>
      <c r="B85" s="2">
        <v>7.83</v>
      </c>
      <c r="C85" s="17">
        <v>19</v>
      </c>
      <c r="D85" s="17"/>
      <c r="E85" s="2" t="s">
        <v>32</v>
      </c>
      <c r="F85" s="50">
        <v>1210</v>
      </c>
      <c r="G85" s="50">
        <v>811</v>
      </c>
      <c r="H85" s="25">
        <v>449</v>
      </c>
      <c r="I85" s="25">
        <v>233</v>
      </c>
      <c r="J85" s="25">
        <f t="shared" si="3"/>
        <v>216</v>
      </c>
      <c r="K85" s="25">
        <v>160</v>
      </c>
      <c r="L85" s="59" t="s">
        <v>51</v>
      </c>
      <c r="M85" s="60" t="s">
        <v>51</v>
      </c>
      <c r="N85" s="59" t="s">
        <v>32</v>
      </c>
      <c r="O85" s="57" t="s">
        <v>51</v>
      </c>
      <c r="P85" s="58"/>
      <c r="Q85" s="60"/>
      <c r="R85" s="89" t="s">
        <v>51</v>
      </c>
      <c r="S85" s="102"/>
      <c r="AP85" s="103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</row>
    <row r="86" spans="1:53" ht="18" customHeight="1" x14ac:dyDescent="0.35">
      <c r="A86" s="99" t="s">
        <v>89</v>
      </c>
      <c r="B86" s="2">
        <v>7.64</v>
      </c>
      <c r="C86" s="58">
        <v>12</v>
      </c>
      <c r="D86" s="58"/>
      <c r="E86" s="2">
        <v>0.6</v>
      </c>
      <c r="F86" s="50">
        <v>1244</v>
      </c>
      <c r="G86" s="50">
        <v>834</v>
      </c>
      <c r="H86" s="25">
        <v>453</v>
      </c>
      <c r="I86" s="25">
        <v>229</v>
      </c>
      <c r="J86" s="25">
        <f t="shared" si="3"/>
        <v>224</v>
      </c>
      <c r="K86" s="25">
        <v>153</v>
      </c>
      <c r="L86" s="59" t="s">
        <v>51</v>
      </c>
      <c r="M86" s="60" t="s">
        <v>51</v>
      </c>
      <c r="N86" s="59" t="s">
        <v>32</v>
      </c>
      <c r="O86" s="57" t="s">
        <v>51</v>
      </c>
      <c r="P86" s="58"/>
      <c r="Q86" s="60"/>
      <c r="R86" s="89" t="s">
        <v>51</v>
      </c>
      <c r="S86" s="102"/>
      <c r="AP86" s="103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</row>
    <row r="87" spans="1:53" ht="18" customHeight="1" x14ac:dyDescent="0.35">
      <c r="A87" s="99" t="s">
        <v>90</v>
      </c>
      <c r="B87" s="2">
        <v>7.57</v>
      </c>
      <c r="C87" s="17">
        <v>15</v>
      </c>
      <c r="D87" s="17"/>
      <c r="E87" s="2">
        <v>0.4</v>
      </c>
      <c r="F87" s="50">
        <v>1177</v>
      </c>
      <c r="G87" s="50">
        <v>789</v>
      </c>
      <c r="H87" s="25">
        <v>462</v>
      </c>
      <c r="I87" s="25">
        <v>220</v>
      </c>
      <c r="J87" s="25">
        <f t="shared" si="3"/>
        <v>242</v>
      </c>
      <c r="K87" s="25">
        <v>167</v>
      </c>
      <c r="L87" s="59" t="s">
        <v>51</v>
      </c>
      <c r="M87" s="60" t="s">
        <v>51</v>
      </c>
      <c r="N87" s="59" t="s">
        <v>32</v>
      </c>
      <c r="O87" s="57" t="s">
        <v>51</v>
      </c>
      <c r="P87" s="58"/>
      <c r="Q87" s="60"/>
      <c r="R87" s="89" t="s">
        <v>51</v>
      </c>
      <c r="S87" s="102"/>
      <c r="AP87" s="103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</row>
    <row r="88" spans="1:53" ht="18" customHeight="1" x14ac:dyDescent="0.35">
      <c r="A88" s="99" t="s">
        <v>91</v>
      </c>
      <c r="B88" s="2">
        <v>8.07</v>
      </c>
      <c r="C88" s="58">
        <v>15</v>
      </c>
      <c r="D88" s="58"/>
      <c r="E88" s="2" t="s">
        <v>32</v>
      </c>
      <c r="F88" s="17">
        <v>1225</v>
      </c>
      <c r="G88" s="17">
        <v>821</v>
      </c>
      <c r="H88" s="17">
        <v>458</v>
      </c>
      <c r="I88" s="17">
        <v>224</v>
      </c>
      <c r="J88" s="25">
        <f t="shared" si="3"/>
        <v>234</v>
      </c>
      <c r="K88" s="17">
        <v>182</v>
      </c>
      <c r="L88" s="59" t="s">
        <v>51</v>
      </c>
      <c r="M88" s="60" t="s">
        <v>51</v>
      </c>
      <c r="N88" s="59" t="s">
        <v>32</v>
      </c>
      <c r="O88" s="57" t="s">
        <v>51</v>
      </c>
      <c r="P88" s="58"/>
      <c r="Q88" s="60"/>
      <c r="R88" s="89" t="s">
        <v>51</v>
      </c>
      <c r="S88" s="102"/>
      <c r="AP88" s="103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</row>
    <row r="89" spans="1:53" ht="18" customHeight="1" x14ac:dyDescent="0.35">
      <c r="A89" s="99" t="s">
        <v>92</v>
      </c>
      <c r="B89" s="2">
        <v>7.84</v>
      </c>
      <c r="C89" s="58">
        <v>20</v>
      </c>
      <c r="D89" s="58"/>
      <c r="E89" s="2">
        <v>0.2</v>
      </c>
      <c r="F89" s="50">
        <v>1310</v>
      </c>
      <c r="G89" s="50">
        <v>878</v>
      </c>
      <c r="H89" s="25">
        <v>441</v>
      </c>
      <c r="I89" s="25">
        <v>216</v>
      </c>
      <c r="J89" s="25">
        <f t="shared" si="3"/>
        <v>225</v>
      </c>
      <c r="K89" s="25">
        <v>175</v>
      </c>
      <c r="L89" s="59" t="s">
        <v>51</v>
      </c>
      <c r="M89" s="60" t="s">
        <v>51</v>
      </c>
      <c r="N89" s="59" t="s">
        <v>32</v>
      </c>
      <c r="O89" s="57" t="s">
        <v>51</v>
      </c>
      <c r="P89" s="58"/>
      <c r="Q89" s="60"/>
      <c r="R89" s="89" t="s">
        <v>51</v>
      </c>
      <c r="S89" s="102"/>
      <c r="AP89" s="103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</row>
    <row r="90" spans="1:53" ht="18" customHeight="1" x14ac:dyDescent="0.35">
      <c r="A90" s="99" t="s">
        <v>93</v>
      </c>
      <c r="B90" s="2">
        <v>8.17</v>
      </c>
      <c r="C90" s="58">
        <v>19</v>
      </c>
      <c r="D90" s="58"/>
      <c r="E90" s="2">
        <v>0.2</v>
      </c>
      <c r="F90" s="50">
        <v>1311</v>
      </c>
      <c r="G90" s="50">
        <v>879</v>
      </c>
      <c r="H90" s="25">
        <v>453</v>
      </c>
      <c r="I90" s="25">
        <v>208</v>
      </c>
      <c r="J90" s="25">
        <f t="shared" si="3"/>
        <v>245</v>
      </c>
      <c r="K90" s="25">
        <v>166</v>
      </c>
      <c r="L90" s="59" t="s">
        <v>51</v>
      </c>
      <c r="M90" s="60" t="s">
        <v>51</v>
      </c>
      <c r="N90" s="59" t="s">
        <v>32</v>
      </c>
      <c r="O90" s="57" t="s">
        <v>51</v>
      </c>
      <c r="P90" s="58"/>
      <c r="Q90" s="60"/>
      <c r="R90" s="89" t="s">
        <v>51</v>
      </c>
      <c r="S90" s="102"/>
      <c r="AP90" s="103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</row>
    <row r="91" spans="1:53" ht="18" customHeight="1" x14ac:dyDescent="0.35">
      <c r="A91" s="99" t="s">
        <v>94</v>
      </c>
      <c r="B91" s="2">
        <v>8.52</v>
      </c>
      <c r="C91" s="58">
        <v>17</v>
      </c>
      <c r="D91" s="58"/>
      <c r="E91" s="2">
        <v>0.1</v>
      </c>
      <c r="F91" s="50">
        <v>1234</v>
      </c>
      <c r="G91" s="50">
        <v>827</v>
      </c>
      <c r="H91" s="25">
        <v>441</v>
      </c>
      <c r="I91" s="25">
        <v>220</v>
      </c>
      <c r="J91" s="25">
        <f t="shared" si="3"/>
        <v>221</v>
      </c>
      <c r="K91" s="25">
        <v>146</v>
      </c>
      <c r="L91" s="59" t="s">
        <v>51</v>
      </c>
      <c r="M91" s="60" t="s">
        <v>51</v>
      </c>
      <c r="N91" s="59" t="s">
        <v>32</v>
      </c>
      <c r="O91" s="57" t="s">
        <v>51</v>
      </c>
      <c r="P91" s="58"/>
      <c r="Q91" s="60"/>
      <c r="R91" s="89" t="s">
        <v>51</v>
      </c>
      <c r="S91" s="102"/>
      <c r="AP91" s="103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</row>
    <row r="92" spans="1:53" ht="18" customHeight="1" x14ac:dyDescent="0.35">
      <c r="A92" s="99" t="s">
        <v>95</v>
      </c>
      <c r="B92" s="2">
        <v>7.65</v>
      </c>
      <c r="C92" s="58">
        <v>17</v>
      </c>
      <c r="D92" s="58"/>
      <c r="E92" s="2">
        <v>0.1</v>
      </c>
      <c r="F92" s="50">
        <v>1249</v>
      </c>
      <c r="G92" s="50">
        <v>837</v>
      </c>
      <c r="H92" s="25">
        <v>433</v>
      </c>
      <c r="I92" s="25">
        <v>208</v>
      </c>
      <c r="J92" s="25">
        <f t="shared" si="3"/>
        <v>225</v>
      </c>
      <c r="K92" s="25">
        <v>153</v>
      </c>
      <c r="L92" s="59" t="s">
        <v>51</v>
      </c>
      <c r="M92" s="60" t="s">
        <v>51</v>
      </c>
      <c r="N92" s="59" t="s">
        <v>32</v>
      </c>
      <c r="O92" s="57" t="s">
        <v>51</v>
      </c>
      <c r="P92" s="58"/>
      <c r="Q92" s="60"/>
      <c r="R92" s="89" t="s">
        <v>51</v>
      </c>
      <c r="S92" s="102"/>
      <c r="AP92" s="103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</row>
    <row r="93" spans="1:53" ht="18" customHeight="1" x14ac:dyDescent="0.35">
      <c r="A93" s="99" t="s">
        <v>96</v>
      </c>
      <c r="B93" s="2">
        <v>7.87</v>
      </c>
      <c r="C93" s="58">
        <v>18</v>
      </c>
      <c r="D93" s="58"/>
      <c r="E93" s="2">
        <v>0.2</v>
      </c>
      <c r="F93" s="50">
        <v>1271</v>
      </c>
      <c r="G93" s="50">
        <v>852</v>
      </c>
      <c r="H93" s="25">
        <v>437</v>
      </c>
      <c r="I93" s="25">
        <v>216</v>
      </c>
      <c r="J93" s="25">
        <f t="shared" si="3"/>
        <v>221</v>
      </c>
      <c r="K93" s="25">
        <v>153</v>
      </c>
      <c r="L93" s="59" t="s">
        <v>51</v>
      </c>
      <c r="M93" s="60" t="s">
        <v>51</v>
      </c>
      <c r="N93" s="59" t="s">
        <v>32</v>
      </c>
      <c r="O93" s="57" t="s">
        <v>51</v>
      </c>
      <c r="P93" s="58"/>
      <c r="Q93" s="60"/>
      <c r="R93" s="89" t="s">
        <v>51</v>
      </c>
      <c r="S93" s="102"/>
      <c r="AP93" s="103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</row>
    <row r="94" spans="1:53" ht="18" customHeight="1" x14ac:dyDescent="0.35">
      <c r="A94" s="99" t="s">
        <v>97</v>
      </c>
      <c r="B94" s="2">
        <v>7.56</v>
      </c>
      <c r="C94" s="58">
        <v>16</v>
      </c>
      <c r="D94" s="58"/>
      <c r="E94" s="2" t="s">
        <v>32</v>
      </c>
      <c r="F94" s="50">
        <v>1243</v>
      </c>
      <c r="G94" s="50">
        <v>833</v>
      </c>
      <c r="H94" s="50">
        <v>441</v>
      </c>
      <c r="I94" s="25">
        <v>220</v>
      </c>
      <c r="J94" s="25">
        <f t="shared" si="3"/>
        <v>221</v>
      </c>
      <c r="K94" s="25">
        <v>160</v>
      </c>
      <c r="L94" s="59" t="s">
        <v>51</v>
      </c>
      <c r="M94" s="60" t="s">
        <v>51</v>
      </c>
      <c r="N94" s="59" t="s">
        <v>32</v>
      </c>
      <c r="O94" s="57" t="s">
        <v>51</v>
      </c>
      <c r="P94" s="58"/>
      <c r="Q94" s="60"/>
      <c r="R94" s="89" t="s">
        <v>51</v>
      </c>
      <c r="S94" s="102"/>
      <c r="AP94" s="103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</row>
    <row r="95" spans="1:53" ht="18" customHeight="1" x14ac:dyDescent="0.35">
      <c r="A95" s="99" t="s">
        <v>98</v>
      </c>
      <c r="B95" s="2">
        <v>7.75</v>
      </c>
      <c r="C95" s="58">
        <v>14</v>
      </c>
      <c r="D95" s="58"/>
      <c r="E95" s="2">
        <v>0.5</v>
      </c>
      <c r="F95" s="50">
        <v>1188</v>
      </c>
      <c r="G95" s="50">
        <v>796</v>
      </c>
      <c r="H95" s="25">
        <v>437</v>
      </c>
      <c r="I95" s="25">
        <v>225</v>
      </c>
      <c r="J95" s="25">
        <f t="shared" si="3"/>
        <v>212</v>
      </c>
      <c r="K95" s="25">
        <v>153</v>
      </c>
      <c r="L95" s="59" t="s">
        <v>51</v>
      </c>
      <c r="M95" s="60" t="s">
        <v>51</v>
      </c>
      <c r="N95" s="59" t="s">
        <v>32</v>
      </c>
      <c r="O95" s="57" t="s">
        <v>51</v>
      </c>
      <c r="P95" s="58"/>
      <c r="Q95" s="60"/>
      <c r="R95" s="89" t="s">
        <v>51</v>
      </c>
      <c r="S95" s="102"/>
      <c r="AP95" s="103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</row>
    <row r="96" spans="1:53" ht="18" customHeight="1" x14ac:dyDescent="0.35">
      <c r="A96" s="99" t="s">
        <v>99</v>
      </c>
      <c r="B96" s="2">
        <v>7.24</v>
      </c>
      <c r="C96" s="58">
        <v>16</v>
      </c>
      <c r="D96" s="58"/>
      <c r="E96" s="2" t="s">
        <v>32</v>
      </c>
      <c r="F96" s="50">
        <v>1232</v>
      </c>
      <c r="G96" s="50">
        <v>826</v>
      </c>
      <c r="H96" s="25">
        <v>433</v>
      </c>
      <c r="I96" s="25">
        <v>216</v>
      </c>
      <c r="J96" s="25">
        <f t="shared" si="3"/>
        <v>217</v>
      </c>
      <c r="K96" s="25">
        <v>160</v>
      </c>
      <c r="L96" s="59" t="s">
        <v>51</v>
      </c>
      <c r="M96" s="60" t="s">
        <v>51</v>
      </c>
      <c r="N96" s="59" t="s">
        <v>32</v>
      </c>
      <c r="O96" s="57" t="s">
        <v>51</v>
      </c>
      <c r="P96" s="58"/>
      <c r="Q96" s="60"/>
      <c r="R96" s="89" t="s">
        <v>51</v>
      </c>
      <c r="S96" s="102"/>
      <c r="AP96" s="103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</row>
    <row r="97" spans="1:53" ht="18" customHeight="1" x14ac:dyDescent="0.35">
      <c r="A97" s="99" t="s">
        <v>100</v>
      </c>
      <c r="B97" s="2">
        <v>6.92</v>
      </c>
      <c r="C97" s="58">
        <v>18</v>
      </c>
      <c r="D97" s="58"/>
      <c r="E97" s="2">
        <v>0.6</v>
      </c>
      <c r="F97" s="50">
        <v>1207</v>
      </c>
      <c r="G97" s="50">
        <v>809</v>
      </c>
      <c r="H97" s="25">
        <v>424</v>
      </c>
      <c r="I97" s="25">
        <v>220</v>
      </c>
      <c r="J97" s="25">
        <f t="shared" si="3"/>
        <v>204</v>
      </c>
      <c r="K97" s="25">
        <v>153</v>
      </c>
      <c r="L97" s="59" t="s">
        <v>51</v>
      </c>
      <c r="M97" s="60" t="s">
        <v>51</v>
      </c>
      <c r="N97" s="59" t="s">
        <v>32</v>
      </c>
      <c r="O97" s="57" t="s">
        <v>51</v>
      </c>
      <c r="P97" s="58"/>
      <c r="Q97" s="60"/>
      <c r="R97" s="89" t="s">
        <v>51</v>
      </c>
      <c r="S97" s="102"/>
      <c r="AP97" s="103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</row>
    <row r="98" spans="1:53" ht="18" customHeight="1" x14ac:dyDescent="0.35">
      <c r="A98" s="99" t="s">
        <v>101</v>
      </c>
      <c r="B98" s="2">
        <v>7.63</v>
      </c>
      <c r="C98" s="58">
        <v>18</v>
      </c>
      <c r="D98" s="58"/>
      <c r="E98" s="2">
        <v>0.4</v>
      </c>
      <c r="F98" s="50"/>
      <c r="G98" s="50">
        <v>853</v>
      </c>
      <c r="H98" s="25">
        <v>441</v>
      </c>
      <c r="I98" s="25">
        <v>223</v>
      </c>
      <c r="J98" s="25">
        <f t="shared" si="3"/>
        <v>218</v>
      </c>
      <c r="K98" s="25">
        <v>160</v>
      </c>
      <c r="L98" s="59" t="s">
        <v>51</v>
      </c>
      <c r="M98" s="60" t="s">
        <v>51</v>
      </c>
      <c r="N98" s="59" t="s">
        <v>32</v>
      </c>
      <c r="O98" s="57" t="s">
        <v>51</v>
      </c>
      <c r="P98" s="58"/>
      <c r="Q98" s="60"/>
      <c r="R98" s="89" t="s">
        <v>51</v>
      </c>
      <c r="S98" s="102"/>
      <c r="AP98" s="103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</row>
    <row r="99" spans="1:53" ht="18" customHeight="1" x14ac:dyDescent="0.35">
      <c r="A99" s="99" t="s">
        <v>102</v>
      </c>
      <c r="B99" s="2">
        <v>8.84</v>
      </c>
      <c r="C99" s="25">
        <v>15</v>
      </c>
      <c r="D99" s="25"/>
      <c r="E99" s="2" t="s">
        <v>32</v>
      </c>
      <c r="F99" s="25">
        <v>1214</v>
      </c>
      <c r="G99" s="25">
        <v>814</v>
      </c>
      <c r="H99" s="25">
        <v>441</v>
      </c>
      <c r="I99" s="25">
        <v>223</v>
      </c>
      <c r="J99" s="25">
        <f t="shared" si="3"/>
        <v>218</v>
      </c>
      <c r="K99" s="25">
        <v>160</v>
      </c>
      <c r="L99" s="59" t="s">
        <v>51</v>
      </c>
      <c r="M99" s="60" t="s">
        <v>51</v>
      </c>
      <c r="N99" s="59" t="s">
        <v>32</v>
      </c>
      <c r="O99" s="57" t="s">
        <v>51</v>
      </c>
      <c r="P99" s="58"/>
      <c r="Q99" s="60"/>
      <c r="R99" s="89" t="s">
        <v>51</v>
      </c>
      <c r="S99" s="102"/>
      <c r="AP99" s="103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</row>
    <row r="100" spans="1:53" ht="18" customHeight="1" x14ac:dyDescent="0.35">
      <c r="A100" s="99" t="s">
        <v>103</v>
      </c>
      <c r="B100" s="2">
        <v>7.53</v>
      </c>
      <c r="C100" s="25">
        <v>18</v>
      </c>
      <c r="D100" s="25"/>
      <c r="E100" s="2">
        <v>0.8</v>
      </c>
      <c r="F100" s="25">
        <v>1215</v>
      </c>
      <c r="G100" s="25">
        <v>814</v>
      </c>
      <c r="H100" s="25">
        <v>445</v>
      </c>
      <c r="I100" s="25">
        <v>227</v>
      </c>
      <c r="J100" s="25">
        <f t="shared" si="3"/>
        <v>218</v>
      </c>
      <c r="K100" s="25">
        <v>160</v>
      </c>
      <c r="L100" s="59" t="s">
        <v>51</v>
      </c>
      <c r="M100" s="60" t="s">
        <v>51</v>
      </c>
      <c r="N100" s="59" t="s">
        <v>32</v>
      </c>
      <c r="O100" s="57" t="s">
        <v>51</v>
      </c>
      <c r="P100" s="58"/>
      <c r="Q100" s="60"/>
      <c r="R100" s="89" t="s">
        <v>51</v>
      </c>
      <c r="S100" s="102"/>
      <c r="AP100" s="103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</row>
    <row r="101" spans="1:53" ht="18" customHeight="1" x14ac:dyDescent="0.35">
      <c r="A101" s="99" t="s">
        <v>104</v>
      </c>
      <c r="B101" s="2">
        <v>7.08</v>
      </c>
      <c r="C101" s="25">
        <v>16</v>
      </c>
      <c r="D101" s="25"/>
      <c r="E101" s="2">
        <v>0.7</v>
      </c>
      <c r="F101" s="25">
        <v>1225</v>
      </c>
      <c r="G101" s="25">
        <v>821</v>
      </c>
      <c r="H101" s="25">
        <v>454</v>
      </c>
      <c r="I101" s="25">
        <v>235</v>
      </c>
      <c r="J101" s="25">
        <f t="shared" si="3"/>
        <v>219</v>
      </c>
      <c r="K101" s="25">
        <v>167</v>
      </c>
      <c r="L101" s="59" t="s">
        <v>51</v>
      </c>
      <c r="M101" s="60" t="s">
        <v>51</v>
      </c>
      <c r="N101" s="59" t="s">
        <v>32</v>
      </c>
      <c r="O101" s="57" t="s">
        <v>51</v>
      </c>
      <c r="P101" s="58"/>
      <c r="Q101" s="60"/>
      <c r="R101" s="89" t="s">
        <v>51</v>
      </c>
      <c r="S101" s="102"/>
      <c r="AP101" s="103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</row>
    <row r="102" spans="1:53" ht="18" customHeight="1" x14ac:dyDescent="0.35">
      <c r="A102" s="99" t="s">
        <v>105</v>
      </c>
      <c r="B102" s="2">
        <v>7.7</v>
      </c>
      <c r="C102" s="25">
        <v>15</v>
      </c>
      <c r="D102" s="25"/>
      <c r="E102" s="2" t="s">
        <v>32</v>
      </c>
      <c r="F102" s="25">
        <v>1305</v>
      </c>
      <c r="G102" s="25">
        <v>875</v>
      </c>
      <c r="H102" s="25">
        <v>462</v>
      </c>
      <c r="I102" s="25">
        <v>244</v>
      </c>
      <c r="J102" s="25">
        <f t="shared" si="3"/>
        <v>218</v>
      </c>
      <c r="K102" s="25">
        <v>175</v>
      </c>
      <c r="L102" s="59" t="s">
        <v>51</v>
      </c>
      <c r="M102" s="60" t="s">
        <v>51</v>
      </c>
      <c r="N102" s="59" t="s">
        <v>32</v>
      </c>
      <c r="O102" s="57" t="s">
        <v>51</v>
      </c>
      <c r="P102" s="58"/>
      <c r="Q102" s="60"/>
      <c r="R102" s="89" t="s">
        <v>51</v>
      </c>
      <c r="S102" s="102"/>
      <c r="AP102" s="103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</row>
    <row r="103" spans="1:53" ht="18" customHeight="1" x14ac:dyDescent="0.35">
      <c r="A103" s="99" t="s">
        <v>106</v>
      </c>
      <c r="B103" s="2">
        <v>8.41</v>
      </c>
      <c r="C103" s="25">
        <v>18</v>
      </c>
      <c r="D103" s="25"/>
      <c r="E103" s="2">
        <v>0.2</v>
      </c>
      <c r="F103" s="25">
        <v>1290</v>
      </c>
      <c r="G103" s="25">
        <v>864</v>
      </c>
      <c r="H103" s="25">
        <v>454</v>
      </c>
      <c r="I103" s="25">
        <v>239</v>
      </c>
      <c r="J103" s="25">
        <f t="shared" si="3"/>
        <v>215</v>
      </c>
      <c r="K103" s="25">
        <v>175</v>
      </c>
      <c r="L103" s="59" t="s">
        <v>51</v>
      </c>
      <c r="M103" s="60" t="s">
        <v>51</v>
      </c>
      <c r="N103" s="59" t="s">
        <v>32</v>
      </c>
      <c r="O103" s="57" t="s">
        <v>51</v>
      </c>
      <c r="P103" s="58"/>
      <c r="Q103" s="60"/>
      <c r="R103" s="89" t="s">
        <v>51</v>
      </c>
      <c r="S103" s="102"/>
      <c r="AP103" s="103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</row>
    <row r="104" spans="1:53" ht="18" customHeight="1" thickBot="1" x14ac:dyDescent="0.4">
      <c r="A104" s="73" t="s">
        <v>107</v>
      </c>
      <c r="B104" s="2">
        <v>7.11</v>
      </c>
      <c r="C104" s="25">
        <v>15</v>
      </c>
      <c r="D104" s="25"/>
      <c r="E104" s="2" t="s">
        <v>32</v>
      </c>
      <c r="F104" s="25">
        <v>1298</v>
      </c>
      <c r="G104" s="25">
        <v>870</v>
      </c>
      <c r="H104" s="25">
        <v>458</v>
      </c>
      <c r="I104" s="25">
        <v>248</v>
      </c>
      <c r="J104" s="25">
        <f t="shared" si="3"/>
        <v>210</v>
      </c>
      <c r="K104" s="25">
        <v>160</v>
      </c>
      <c r="L104" s="59" t="s">
        <v>51</v>
      </c>
      <c r="M104" s="60" t="s">
        <v>51</v>
      </c>
      <c r="N104" s="59" t="s">
        <v>32</v>
      </c>
      <c r="O104" s="57" t="s">
        <v>51</v>
      </c>
      <c r="P104" s="25"/>
      <c r="Q104" s="60"/>
      <c r="R104" s="90" t="s">
        <v>51</v>
      </c>
      <c r="S104" s="102"/>
      <c r="AP104" s="103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</row>
    <row r="105" spans="1:53" ht="18" customHeight="1" x14ac:dyDescent="0.35">
      <c r="A105" s="108" t="s">
        <v>108</v>
      </c>
      <c r="B105" s="1">
        <v>7.79</v>
      </c>
      <c r="C105" s="12">
        <v>25</v>
      </c>
      <c r="D105" s="12"/>
      <c r="E105" s="1">
        <v>1</v>
      </c>
      <c r="F105" s="85">
        <v>1400</v>
      </c>
      <c r="G105" s="85">
        <v>938</v>
      </c>
      <c r="H105" s="76">
        <v>471</v>
      </c>
      <c r="I105" s="76">
        <v>237</v>
      </c>
      <c r="J105" s="25">
        <f t="shared" si="3"/>
        <v>234</v>
      </c>
      <c r="K105" s="76">
        <v>167</v>
      </c>
      <c r="L105" s="59" t="s">
        <v>51</v>
      </c>
      <c r="M105" s="60" t="s">
        <v>51</v>
      </c>
      <c r="N105" s="59" t="s">
        <v>32</v>
      </c>
      <c r="O105" s="57" t="s">
        <v>51</v>
      </c>
      <c r="P105" s="17"/>
      <c r="Q105" s="60"/>
      <c r="R105" s="104" t="s">
        <v>51</v>
      </c>
      <c r="S105" s="102"/>
      <c r="AP105" s="103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</row>
    <row r="106" spans="1:53" ht="18" customHeight="1" x14ac:dyDescent="0.35">
      <c r="A106" s="99" t="s">
        <v>109</v>
      </c>
      <c r="B106" s="2">
        <v>8.0399999999999991</v>
      </c>
      <c r="C106" s="58">
        <v>15</v>
      </c>
      <c r="D106" s="58"/>
      <c r="E106" s="2">
        <v>0.5</v>
      </c>
      <c r="F106" s="50">
        <v>1348</v>
      </c>
      <c r="G106" s="25">
        <v>903</v>
      </c>
      <c r="H106" s="25">
        <v>466</v>
      </c>
      <c r="I106" s="25">
        <v>220</v>
      </c>
      <c r="J106" s="25">
        <f t="shared" si="3"/>
        <v>246</v>
      </c>
      <c r="K106" s="25">
        <v>153</v>
      </c>
      <c r="L106" s="59" t="s">
        <v>51</v>
      </c>
      <c r="M106" s="60" t="s">
        <v>51</v>
      </c>
      <c r="N106" s="59" t="s">
        <v>32</v>
      </c>
      <c r="O106" s="57" t="s">
        <v>51</v>
      </c>
      <c r="P106" s="17"/>
      <c r="Q106" s="60"/>
      <c r="R106" s="104" t="s">
        <v>51</v>
      </c>
      <c r="S106" s="102"/>
      <c r="AP106" s="103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</row>
    <row r="107" spans="1:53" ht="18" customHeight="1" x14ac:dyDescent="0.35">
      <c r="A107" s="99" t="s">
        <v>110</v>
      </c>
      <c r="B107" s="2">
        <v>7.83</v>
      </c>
      <c r="C107" s="58">
        <v>26</v>
      </c>
      <c r="D107" s="58"/>
      <c r="E107" s="2" t="s">
        <v>134</v>
      </c>
      <c r="F107" s="50">
        <v>1405</v>
      </c>
      <c r="G107" s="50">
        <v>942</v>
      </c>
      <c r="H107" s="25">
        <v>471</v>
      </c>
      <c r="I107" s="25">
        <v>229</v>
      </c>
      <c r="J107" s="25">
        <f t="shared" si="3"/>
        <v>242</v>
      </c>
      <c r="K107" s="25">
        <v>160</v>
      </c>
      <c r="L107" s="59" t="s">
        <v>51</v>
      </c>
      <c r="M107" s="60" t="s">
        <v>51</v>
      </c>
      <c r="N107" s="59" t="s">
        <v>32</v>
      </c>
      <c r="O107" s="57" t="s">
        <v>51</v>
      </c>
      <c r="P107" s="17"/>
      <c r="Q107" s="60"/>
      <c r="R107" s="104" t="s">
        <v>51</v>
      </c>
      <c r="S107" s="102"/>
      <c r="AP107" s="103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</row>
    <row r="108" spans="1:53" ht="18" customHeight="1" x14ac:dyDescent="0.35">
      <c r="A108" s="99" t="s">
        <v>111</v>
      </c>
      <c r="B108" s="2">
        <v>7.8</v>
      </c>
      <c r="C108" s="17">
        <v>21</v>
      </c>
      <c r="D108" s="17"/>
      <c r="E108" s="2">
        <v>0.4</v>
      </c>
      <c r="F108" s="50"/>
      <c r="G108" s="50">
        <v>1007</v>
      </c>
      <c r="H108" s="25">
        <v>483</v>
      </c>
      <c r="I108" s="25">
        <v>237</v>
      </c>
      <c r="J108" s="25">
        <f t="shared" si="3"/>
        <v>246</v>
      </c>
      <c r="K108" s="25">
        <v>146</v>
      </c>
      <c r="L108" s="59" t="s">
        <v>51</v>
      </c>
      <c r="M108" s="60" t="s">
        <v>51</v>
      </c>
      <c r="N108" s="59" t="s">
        <v>32</v>
      </c>
      <c r="O108" s="57" t="s">
        <v>51</v>
      </c>
      <c r="P108" s="17"/>
      <c r="Q108" s="60"/>
      <c r="R108" s="104" t="s">
        <v>51</v>
      </c>
      <c r="S108" s="102"/>
      <c r="AP108" s="103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</row>
    <row r="109" spans="1:53" ht="18" customHeight="1" x14ac:dyDescent="0.35">
      <c r="A109" s="99" t="s">
        <v>112</v>
      </c>
      <c r="B109" s="2">
        <v>8.02</v>
      </c>
      <c r="C109" s="17">
        <v>21</v>
      </c>
      <c r="D109" s="17"/>
      <c r="E109" s="2" t="s">
        <v>134</v>
      </c>
      <c r="F109" s="50">
        <v>1503</v>
      </c>
      <c r="G109" s="50">
        <v>1007</v>
      </c>
      <c r="H109" s="25">
        <v>483</v>
      </c>
      <c r="I109" s="25">
        <v>237</v>
      </c>
      <c r="J109" s="25">
        <f t="shared" si="3"/>
        <v>246</v>
      </c>
      <c r="K109" s="25">
        <v>167</v>
      </c>
      <c r="L109" s="59" t="s">
        <v>51</v>
      </c>
      <c r="M109" s="60" t="s">
        <v>51</v>
      </c>
      <c r="N109" s="59" t="s">
        <v>32</v>
      </c>
      <c r="O109" s="57" t="s">
        <v>51</v>
      </c>
      <c r="P109" s="17"/>
      <c r="Q109" s="60"/>
      <c r="R109" s="104" t="s">
        <v>51</v>
      </c>
      <c r="S109" s="102"/>
      <c r="AP109" s="103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</row>
    <row r="110" spans="1:53" ht="18" customHeight="1" x14ac:dyDescent="0.35">
      <c r="A110" s="99" t="s">
        <v>113</v>
      </c>
      <c r="B110" s="2">
        <v>8.59</v>
      </c>
      <c r="C110" s="58">
        <v>5</v>
      </c>
      <c r="D110" s="58"/>
      <c r="E110" s="2" t="s">
        <v>134</v>
      </c>
      <c r="F110" s="50">
        <v>1400</v>
      </c>
      <c r="G110" s="50">
        <v>938</v>
      </c>
      <c r="H110" s="25">
        <v>601</v>
      </c>
      <c r="I110" s="25">
        <v>315</v>
      </c>
      <c r="J110" s="25">
        <f t="shared" si="3"/>
        <v>286</v>
      </c>
      <c r="K110" s="25">
        <v>160</v>
      </c>
      <c r="L110" s="59" t="s">
        <v>51</v>
      </c>
      <c r="M110" s="60" t="s">
        <v>51</v>
      </c>
      <c r="N110" s="59" t="s">
        <v>32</v>
      </c>
      <c r="O110" s="57" t="s">
        <v>51</v>
      </c>
      <c r="P110" s="17"/>
      <c r="Q110" s="60"/>
      <c r="R110" s="104" t="s">
        <v>51</v>
      </c>
      <c r="S110" s="102"/>
      <c r="AP110" s="103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</row>
    <row r="111" spans="1:53" ht="18" customHeight="1" x14ac:dyDescent="0.35">
      <c r="A111" s="99" t="s">
        <v>114</v>
      </c>
      <c r="B111" s="2">
        <v>7.99</v>
      </c>
      <c r="C111" s="17">
        <v>30</v>
      </c>
      <c r="D111" s="17"/>
      <c r="E111" s="2" t="s">
        <v>134</v>
      </c>
      <c r="F111" s="50">
        <v>1300</v>
      </c>
      <c r="G111" s="50">
        <v>871</v>
      </c>
      <c r="H111" s="25">
        <v>466</v>
      </c>
      <c r="I111" s="25">
        <v>298</v>
      </c>
      <c r="J111" s="25">
        <f t="shared" si="3"/>
        <v>168</v>
      </c>
      <c r="K111" s="25">
        <v>160</v>
      </c>
      <c r="L111" s="59" t="s">
        <v>51</v>
      </c>
      <c r="M111" s="60" t="s">
        <v>51</v>
      </c>
      <c r="N111" s="59" t="s">
        <v>32</v>
      </c>
      <c r="O111" s="57" t="s">
        <v>51</v>
      </c>
      <c r="P111" s="17"/>
      <c r="Q111" s="60"/>
      <c r="R111" s="104" t="s">
        <v>51</v>
      </c>
      <c r="S111" s="102"/>
      <c r="AP111" s="103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</row>
    <row r="112" spans="1:53" ht="18" customHeight="1" x14ac:dyDescent="0.35">
      <c r="A112" s="99" t="s">
        <v>115</v>
      </c>
      <c r="B112" s="2">
        <v>7.77</v>
      </c>
      <c r="C112" s="58">
        <v>32</v>
      </c>
      <c r="D112" s="58"/>
      <c r="E112" s="2">
        <v>0.6</v>
      </c>
      <c r="F112" s="17">
        <v>1333</v>
      </c>
      <c r="G112" s="17">
        <v>893</v>
      </c>
      <c r="H112" s="17">
        <v>454</v>
      </c>
      <c r="I112" s="17">
        <v>294</v>
      </c>
      <c r="J112" s="25">
        <f t="shared" si="3"/>
        <v>160</v>
      </c>
      <c r="K112" s="17">
        <v>153</v>
      </c>
      <c r="L112" s="59" t="s">
        <v>51</v>
      </c>
      <c r="M112" s="60" t="s">
        <v>51</v>
      </c>
      <c r="N112" s="59" t="s">
        <v>32</v>
      </c>
      <c r="O112" s="57" t="s">
        <v>51</v>
      </c>
      <c r="P112" s="17"/>
      <c r="Q112" s="60"/>
      <c r="R112" s="104" t="s">
        <v>51</v>
      </c>
      <c r="S112" s="102"/>
      <c r="AP112" s="103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</row>
    <row r="113" spans="1:53" ht="18" customHeight="1" x14ac:dyDescent="0.35">
      <c r="A113" s="99" t="s">
        <v>116</v>
      </c>
      <c r="B113" s="2">
        <v>7.85</v>
      </c>
      <c r="C113" s="58">
        <v>34</v>
      </c>
      <c r="D113" s="58"/>
      <c r="E113" s="2">
        <v>0.5</v>
      </c>
      <c r="F113" s="50">
        <v>1247</v>
      </c>
      <c r="G113" s="50">
        <v>836</v>
      </c>
      <c r="H113" s="25">
        <v>458</v>
      </c>
      <c r="I113" s="25">
        <v>302</v>
      </c>
      <c r="J113" s="25">
        <f t="shared" si="3"/>
        <v>156</v>
      </c>
      <c r="K113" s="25">
        <v>160</v>
      </c>
      <c r="L113" s="59" t="s">
        <v>51</v>
      </c>
      <c r="M113" s="60" t="s">
        <v>51</v>
      </c>
      <c r="N113" s="59" t="s">
        <v>32</v>
      </c>
      <c r="O113" s="57" t="s">
        <v>51</v>
      </c>
      <c r="P113" s="17"/>
      <c r="Q113" s="60"/>
      <c r="R113" s="104" t="s">
        <v>51</v>
      </c>
      <c r="S113" s="102"/>
      <c r="AP113" s="103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</row>
    <row r="114" spans="1:53" ht="18" customHeight="1" x14ac:dyDescent="0.35">
      <c r="A114" s="99" t="s">
        <v>117</v>
      </c>
      <c r="B114" s="2">
        <v>7.74</v>
      </c>
      <c r="C114" s="58">
        <v>28</v>
      </c>
      <c r="D114" s="58"/>
      <c r="E114" s="2">
        <v>0.7</v>
      </c>
      <c r="F114" s="50">
        <v>1190</v>
      </c>
      <c r="G114" s="50">
        <v>797</v>
      </c>
      <c r="H114" s="25">
        <v>454</v>
      </c>
      <c r="I114" s="25">
        <v>298</v>
      </c>
      <c r="J114" s="25">
        <f t="shared" si="3"/>
        <v>156</v>
      </c>
      <c r="K114" s="25">
        <v>153</v>
      </c>
      <c r="L114" s="59" t="s">
        <v>51</v>
      </c>
      <c r="M114" s="60" t="s">
        <v>51</v>
      </c>
      <c r="N114" s="59" t="s">
        <v>32</v>
      </c>
      <c r="O114" s="57" t="s">
        <v>51</v>
      </c>
      <c r="P114" s="17"/>
      <c r="Q114" s="60"/>
      <c r="R114" s="104" t="s">
        <v>51</v>
      </c>
      <c r="S114" s="102"/>
      <c r="AP114" s="103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</row>
    <row r="115" spans="1:53" ht="18" customHeight="1" x14ac:dyDescent="0.35">
      <c r="A115" s="99" t="s">
        <v>118</v>
      </c>
      <c r="B115" s="2">
        <v>8.08</v>
      </c>
      <c r="C115" s="58">
        <v>27</v>
      </c>
      <c r="D115" s="58"/>
      <c r="E115" s="2" t="s">
        <v>134</v>
      </c>
      <c r="F115" s="50">
        <v>1262</v>
      </c>
      <c r="G115" s="50">
        <v>846</v>
      </c>
      <c r="H115" s="25">
        <v>462</v>
      </c>
      <c r="I115" s="25">
        <v>356</v>
      </c>
      <c r="J115" s="25">
        <f t="shared" si="3"/>
        <v>106</v>
      </c>
      <c r="K115" s="25">
        <v>153</v>
      </c>
      <c r="L115" s="59" t="s">
        <v>51</v>
      </c>
      <c r="M115" s="60" t="s">
        <v>51</v>
      </c>
      <c r="N115" s="59" t="s">
        <v>32</v>
      </c>
      <c r="O115" s="57" t="s">
        <v>51</v>
      </c>
      <c r="P115" s="17"/>
      <c r="Q115" s="60"/>
      <c r="R115" s="104" t="s">
        <v>51</v>
      </c>
      <c r="S115" s="102"/>
      <c r="AP115" s="103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</row>
    <row r="116" spans="1:53" ht="18" customHeight="1" x14ac:dyDescent="0.35">
      <c r="A116" s="99" t="s">
        <v>119</v>
      </c>
      <c r="B116" s="2">
        <v>7.65</v>
      </c>
      <c r="C116" s="58">
        <v>39</v>
      </c>
      <c r="D116" s="58"/>
      <c r="E116" s="2" t="s">
        <v>134</v>
      </c>
      <c r="F116" s="50">
        <v>1268</v>
      </c>
      <c r="G116" s="50">
        <v>850</v>
      </c>
      <c r="H116" s="25">
        <v>449</v>
      </c>
      <c r="I116" s="25">
        <v>293</v>
      </c>
      <c r="J116" s="25">
        <f t="shared" si="3"/>
        <v>156</v>
      </c>
      <c r="K116" s="25">
        <v>160</v>
      </c>
      <c r="L116" s="59" t="s">
        <v>51</v>
      </c>
      <c r="M116" s="60" t="s">
        <v>51</v>
      </c>
      <c r="N116" s="59" t="s">
        <v>32</v>
      </c>
      <c r="O116" s="57" t="s">
        <v>51</v>
      </c>
      <c r="P116" s="17"/>
      <c r="Q116" s="60"/>
      <c r="R116" s="104" t="s">
        <v>51</v>
      </c>
      <c r="S116" s="102"/>
      <c r="AP116" s="103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</row>
    <row r="117" spans="1:53" ht="18" customHeight="1" x14ac:dyDescent="0.35">
      <c r="A117" s="99" t="s">
        <v>120</v>
      </c>
      <c r="B117" s="2">
        <v>8.14</v>
      </c>
      <c r="C117" s="58">
        <v>27</v>
      </c>
      <c r="D117" s="58"/>
      <c r="E117" s="2" t="s">
        <v>134</v>
      </c>
      <c r="F117" s="50">
        <v>1167</v>
      </c>
      <c r="G117" s="50">
        <v>782</v>
      </c>
      <c r="H117" s="25">
        <v>424</v>
      </c>
      <c r="I117" s="25">
        <v>288</v>
      </c>
      <c r="J117" s="25">
        <f t="shared" si="3"/>
        <v>136</v>
      </c>
      <c r="K117" s="25">
        <v>156</v>
      </c>
      <c r="L117" s="59" t="s">
        <v>51</v>
      </c>
      <c r="M117" s="60" t="s">
        <v>51</v>
      </c>
      <c r="N117" s="59" t="s">
        <v>32</v>
      </c>
      <c r="O117" s="57" t="s">
        <v>51</v>
      </c>
      <c r="P117" s="17"/>
      <c r="Q117" s="60"/>
      <c r="R117" s="104" t="s">
        <v>51</v>
      </c>
      <c r="S117" s="102"/>
      <c r="AP117" s="103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</row>
    <row r="118" spans="1:53" ht="18" customHeight="1" x14ac:dyDescent="0.35">
      <c r="A118" s="99" t="s">
        <v>121</v>
      </c>
      <c r="B118" s="2">
        <v>8.4</v>
      </c>
      <c r="C118" s="58">
        <v>30</v>
      </c>
      <c r="D118" s="58"/>
      <c r="E118" s="2" t="s">
        <v>134</v>
      </c>
      <c r="F118" s="50">
        <v>1261</v>
      </c>
      <c r="G118" s="50">
        <v>845</v>
      </c>
      <c r="H118" s="50">
        <v>420</v>
      </c>
      <c r="I118" s="25">
        <v>297</v>
      </c>
      <c r="J118" s="25">
        <f t="shared" si="3"/>
        <v>123</v>
      </c>
      <c r="K118" s="25">
        <v>146</v>
      </c>
      <c r="L118" s="59" t="s">
        <v>51</v>
      </c>
      <c r="M118" s="60" t="s">
        <v>51</v>
      </c>
      <c r="N118" s="59" t="s">
        <v>32</v>
      </c>
      <c r="O118" s="57" t="s">
        <v>51</v>
      </c>
      <c r="P118" s="17"/>
      <c r="Q118" s="60"/>
      <c r="R118" s="104" t="s">
        <v>51</v>
      </c>
      <c r="S118" s="102"/>
      <c r="AP118" s="103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</row>
    <row r="119" spans="1:53" ht="18" customHeight="1" x14ac:dyDescent="0.35">
      <c r="A119" s="99" t="s">
        <v>122</v>
      </c>
      <c r="B119" s="2">
        <v>8.0299999999999994</v>
      </c>
      <c r="C119" s="58">
        <v>19</v>
      </c>
      <c r="D119" s="58"/>
      <c r="E119" s="2">
        <v>0.6</v>
      </c>
      <c r="F119" s="50">
        <v>1191</v>
      </c>
      <c r="G119" s="50">
        <v>798</v>
      </c>
      <c r="H119" s="25">
        <v>412</v>
      </c>
      <c r="I119" s="25">
        <v>247</v>
      </c>
      <c r="J119" s="25">
        <f t="shared" si="3"/>
        <v>165</v>
      </c>
      <c r="K119" s="25">
        <v>138</v>
      </c>
      <c r="L119" s="59" t="s">
        <v>51</v>
      </c>
      <c r="M119" s="60" t="s">
        <v>51</v>
      </c>
      <c r="N119" s="59" t="s">
        <v>32</v>
      </c>
      <c r="O119" s="57" t="s">
        <v>51</v>
      </c>
      <c r="P119" s="17"/>
      <c r="Q119" s="60"/>
      <c r="R119" s="104" t="s">
        <v>51</v>
      </c>
      <c r="S119" s="102"/>
      <c r="AP119" s="103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</row>
    <row r="120" spans="1:53" ht="18" customHeight="1" x14ac:dyDescent="0.35">
      <c r="A120" s="99" t="s">
        <v>123</v>
      </c>
      <c r="B120" s="2">
        <v>8.43</v>
      </c>
      <c r="C120" s="58">
        <v>23</v>
      </c>
      <c r="D120" s="58"/>
      <c r="E120" s="2" t="s">
        <v>134</v>
      </c>
      <c r="F120" s="50">
        <v>1217</v>
      </c>
      <c r="G120" s="50">
        <v>816</v>
      </c>
      <c r="H120" s="25">
        <v>420</v>
      </c>
      <c r="I120" s="25">
        <v>298</v>
      </c>
      <c r="J120" s="25">
        <f t="shared" si="3"/>
        <v>122</v>
      </c>
      <c r="K120" s="25">
        <v>131</v>
      </c>
      <c r="L120" s="59" t="s">
        <v>51</v>
      </c>
      <c r="M120" s="60" t="s">
        <v>51</v>
      </c>
      <c r="N120" s="59" t="s">
        <v>32</v>
      </c>
      <c r="O120" s="57" t="s">
        <v>51</v>
      </c>
      <c r="P120" s="17"/>
      <c r="Q120" s="60"/>
      <c r="R120" s="104" t="s">
        <v>51</v>
      </c>
      <c r="S120" s="102"/>
      <c r="AP120" s="103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</row>
    <row r="121" spans="1:53" ht="18" customHeight="1" x14ac:dyDescent="0.35">
      <c r="A121" s="99" t="s">
        <v>124</v>
      </c>
      <c r="B121" s="2">
        <v>7.96</v>
      </c>
      <c r="C121" s="58">
        <v>18</v>
      </c>
      <c r="D121" s="58"/>
      <c r="E121" s="2">
        <v>0.2</v>
      </c>
      <c r="F121" s="50">
        <v>1267</v>
      </c>
      <c r="G121" s="50">
        <v>849</v>
      </c>
      <c r="H121" s="25">
        <v>416</v>
      </c>
      <c r="I121" s="25">
        <v>283</v>
      </c>
      <c r="J121" s="25">
        <f t="shared" si="3"/>
        <v>133</v>
      </c>
      <c r="K121" s="25">
        <v>146</v>
      </c>
      <c r="L121" s="59" t="s">
        <v>51</v>
      </c>
      <c r="M121" s="60" t="s">
        <v>51</v>
      </c>
      <c r="N121" s="59" t="s">
        <v>32</v>
      </c>
      <c r="O121" s="57" t="s">
        <v>51</v>
      </c>
      <c r="P121" s="17"/>
      <c r="Q121" s="60"/>
      <c r="R121" s="104" t="s">
        <v>51</v>
      </c>
      <c r="S121" s="102"/>
      <c r="AP121" s="103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</row>
    <row r="122" spans="1:53" ht="18" customHeight="1" x14ac:dyDescent="0.35">
      <c r="A122" s="99" t="s">
        <v>125</v>
      </c>
      <c r="B122" s="2">
        <v>7.25</v>
      </c>
      <c r="C122" s="58">
        <v>22</v>
      </c>
      <c r="D122" s="58"/>
      <c r="E122" s="2">
        <v>0.5</v>
      </c>
      <c r="F122" s="50"/>
      <c r="G122" s="50">
        <v>821</v>
      </c>
      <c r="H122" s="25">
        <v>412</v>
      </c>
      <c r="I122" s="25">
        <v>270</v>
      </c>
      <c r="J122" s="25">
        <f t="shared" si="3"/>
        <v>142</v>
      </c>
      <c r="K122" s="25">
        <v>160</v>
      </c>
      <c r="L122" s="59" t="s">
        <v>51</v>
      </c>
      <c r="M122" s="60" t="s">
        <v>51</v>
      </c>
      <c r="N122" s="59" t="s">
        <v>32</v>
      </c>
      <c r="O122" s="57" t="s">
        <v>51</v>
      </c>
      <c r="P122" s="17"/>
      <c r="Q122" s="60"/>
      <c r="R122" s="104" t="s">
        <v>51</v>
      </c>
      <c r="S122" s="102"/>
      <c r="AP122" s="103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</row>
    <row r="123" spans="1:53" ht="18" customHeight="1" x14ac:dyDescent="0.35">
      <c r="A123" s="99" t="s">
        <v>126</v>
      </c>
      <c r="B123" s="2">
        <v>8.68</v>
      </c>
      <c r="C123" s="25">
        <v>27</v>
      </c>
      <c r="D123" s="25"/>
      <c r="E123" s="2" t="s">
        <v>134</v>
      </c>
      <c r="F123" s="25">
        <v>1326</v>
      </c>
      <c r="G123" s="25">
        <v>889</v>
      </c>
      <c r="H123" s="25">
        <v>432</v>
      </c>
      <c r="I123" s="25">
        <v>261</v>
      </c>
      <c r="J123" s="25">
        <f t="shared" si="3"/>
        <v>171</v>
      </c>
      <c r="K123" s="25">
        <v>153</v>
      </c>
      <c r="L123" s="59" t="s">
        <v>51</v>
      </c>
      <c r="M123" s="60" t="s">
        <v>51</v>
      </c>
      <c r="N123" s="59" t="s">
        <v>32</v>
      </c>
      <c r="O123" s="57" t="s">
        <v>51</v>
      </c>
      <c r="P123" s="17"/>
      <c r="Q123" s="60"/>
      <c r="R123" s="104" t="s">
        <v>51</v>
      </c>
      <c r="S123" s="102"/>
      <c r="AP123" s="103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</row>
    <row r="124" spans="1:53" ht="18" customHeight="1" x14ac:dyDescent="0.35">
      <c r="A124" s="99" t="s">
        <v>127</v>
      </c>
      <c r="B124" s="2">
        <v>7.98</v>
      </c>
      <c r="C124" s="25">
        <v>22</v>
      </c>
      <c r="D124" s="25"/>
      <c r="E124" s="2">
        <v>0.8</v>
      </c>
      <c r="F124" s="25">
        <v>1300</v>
      </c>
      <c r="G124" s="25">
        <v>871</v>
      </c>
      <c r="H124" s="25">
        <v>424</v>
      </c>
      <c r="I124" s="25">
        <v>253</v>
      </c>
      <c r="J124" s="25">
        <f t="shared" si="3"/>
        <v>171</v>
      </c>
      <c r="K124" s="25">
        <v>146</v>
      </c>
      <c r="L124" s="59" t="s">
        <v>51</v>
      </c>
      <c r="M124" s="60" t="s">
        <v>51</v>
      </c>
      <c r="N124" s="59" t="s">
        <v>32</v>
      </c>
      <c r="O124" s="57" t="s">
        <v>51</v>
      </c>
      <c r="P124" s="17"/>
      <c r="Q124" s="60"/>
      <c r="R124" s="104" t="s">
        <v>51</v>
      </c>
      <c r="S124" s="102"/>
      <c r="AP124" s="103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</row>
    <row r="125" spans="1:53" ht="18" customHeight="1" x14ac:dyDescent="0.35">
      <c r="A125" s="99" t="s">
        <v>128</v>
      </c>
      <c r="B125" s="2">
        <v>7.83</v>
      </c>
      <c r="C125" s="25">
        <v>24</v>
      </c>
      <c r="D125" s="25"/>
      <c r="E125" s="2">
        <v>0.1</v>
      </c>
      <c r="F125" s="25">
        <v>1359</v>
      </c>
      <c r="G125" s="25">
        <v>911</v>
      </c>
      <c r="H125" s="25">
        <v>428</v>
      </c>
      <c r="I125" s="25">
        <v>265</v>
      </c>
      <c r="J125" s="25">
        <f t="shared" si="3"/>
        <v>163</v>
      </c>
      <c r="K125" s="25">
        <v>160</v>
      </c>
      <c r="L125" s="59" t="s">
        <v>51</v>
      </c>
      <c r="M125" s="60" t="s">
        <v>51</v>
      </c>
      <c r="N125" s="59" t="s">
        <v>32</v>
      </c>
      <c r="O125" s="57" t="s">
        <v>51</v>
      </c>
      <c r="P125" s="17"/>
      <c r="Q125" s="60"/>
      <c r="R125" s="104" t="s">
        <v>51</v>
      </c>
      <c r="S125" s="102"/>
      <c r="AP125" s="103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</row>
    <row r="126" spans="1:53" ht="18" customHeight="1" x14ac:dyDescent="0.35">
      <c r="A126" s="99" t="s">
        <v>129</v>
      </c>
      <c r="B126" s="2">
        <v>7.72</v>
      </c>
      <c r="C126" s="25">
        <v>24</v>
      </c>
      <c r="D126" s="25"/>
      <c r="E126" s="2">
        <v>0.6</v>
      </c>
      <c r="F126" s="25">
        <v>1404</v>
      </c>
      <c r="G126" s="25">
        <v>941</v>
      </c>
      <c r="H126" s="25">
        <v>432</v>
      </c>
      <c r="I126" s="25">
        <v>257</v>
      </c>
      <c r="J126" s="25">
        <f t="shared" si="3"/>
        <v>175</v>
      </c>
      <c r="K126" s="25">
        <v>153</v>
      </c>
      <c r="L126" s="59" t="s">
        <v>51</v>
      </c>
      <c r="M126" s="60" t="s">
        <v>51</v>
      </c>
      <c r="N126" s="59" t="s">
        <v>32</v>
      </c>
      <c r="O126" s="57" t="s">
        <v>51</v>
      </c>
      <c r="P126" s="17"/>
      <c r="Q126" s="60"/>
      <c r="R126" s="104" t="s">
        <v>51</v>
      </c>
      <c r="S126" s="102"/>
      <c r="AP126" s="103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</row>
    <row r="127" spans="1:53" ht="18" customHeight="1" x14ac:dyDescent="0.35">
      <c r="A127" s="99" t="s">
        <v>130</v>
      </c>
      <c r="B127" s="2">
        <v>7.31</v>
      </c>
      <c r="C127" s="25">
        <v>38</v>
      </c>
      <c r="D127" s="25"/>
      <c r="E127" s="2">
        <v>1</v>
      </c>
      <c r="F127" s="25">
        <v>1471</v>
      </c>
      <c r="G127" s="25">
        <v>986</v>
      </c>
      <c r="H127" s="25">
        <v>445</v>
      </c>
      <c r="I127" s="25">
        <v>273</v>
      </c>
      <c r="J127" s="25">
        <f t="shared" si="3"/>
        <v>172</v>
      </c>
      <c r="K127" s="25">
        <v>167</v>
      </c>
      <c r="L127" s="59" t="s">
        <v>51</v>
      </c>
      <c r="M127" s="60" t="s">
        <v>51</v>
      </c>
      <c r="N127" s="59" t="s">
        <v>32</v>
      </c>
      <c r="O127" s="57" t="s">
        <v>51</v>
      </c>
      <c r="P127" s="17"/>
      <c r="Q127" s="60"/>
      <c r="R127" s="104" t="s">
        <v>51</v>
      </c>
      <c r="S127" s="102"/>
      <c r="AP127" s="103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</row>
    <row r="128" spans="1:53" ht="18" customHeight="1" x14ac:dyDescent="0.35">
      <c r="A128" s="70" t="s">
        <v>131</v>
      </c>
      <c r="B128" s="2">
        <v>7.98</v>
      </c>
      <c r="C128" s="25">
        <v>35</v>
      </c>
      <c r="D128" s="25"/>
      <c r="E128" s="2" t="s">
        <v>134</v>
      </c>
      <c r="F128" s="25">
        <v>1297</v>
      </c>
      <c r="G128" s="25">
        <v>869</v>
      </c>
      <c r="H128" s="25">
        <v>416</v>
      </c>
      <c r="I128" s="25">
        <v>253</v>
      </c>
      <c r="J128" s="25">
        <f t="shared" si="3"/>
        <v>163</v>
      </c>
      <c r="K128" s="25">
        <v>153</v>
      </c>
      <c r="L128" s="59" t="s">
        <v>51</v>
      </c>
      <c r="M128" s="60" t="s">
        <v>51</v>
      </c>
      <c r="N128" s="59" t="s">
        <v>32</v>
      </c>
      <c r="O128" s="57" t="s">
        <v>51</v>
      </c>
      <c r="P128" s="25"/>
      <c r="Q128" s="60"/>
      <c r="R128" s="90" t="s">
        <v>51</v>
      </c>
      <c r="S128" s="102"/>
      <c r="AP128" s="103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</row>
    <row r="129" spans="1:53" ht="18" customHeight="1" x14ac:dyDescent="0.35">
      <c r="A129" s="99" t="s">
        <v>132</v>
      </c>
      <c r="B129" s="2">
        <v>7.48</v>
      </c>
      <c r="C129" s="25">
        <v>26</v>
      </c>
      <c r="D129" s="25"/>
      <c r="E129" s="2" t="s">
        <v>134</v>
      </c>
      <c r="F129" s="25">
        <v>1452</v>
      </c>
      <c r="G129" s="25">
        <v>973</v>
      </c>
      <c r="H129" s="25">
        <v>469</v>
      </c>
      <c r="I129" s="25">
        <v>287</v>
      </c>
      <c r="J129" s="25">
        <f t="shared" si="3"/>
        <v>182</v>
      </c>
      <c r="K129" s="25">
        <v>146</v>
      </c>
      <c r="L129" s="59" t="s">
        <v>51</v>
      </c>
      <c r="M129" s="60" t="s">
        <v>51</v>
      </c>
      <c r="N129" s="59" t="s">
        <v>32</v>
      </c>
      <c r="O129" s="57" t="s">
        <v>51</v>
      </c>
      <c r="P129" s="25"/>
      <c r="Q129" s="60"/>
      <c r="R129" s="90" t="s">
        <v>51</v>
      </c>
      <c r="S129" s="102"/>
      <c r="AP129" s="103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</row>
    <row r="130" spans="1:53" ht="18" customHeight="1" thickBot="1" x14ac:dyDescent="0.4">
      <c r="A130" s="109" t="s">
        <v>133</v>
      </c>
      <c r="B130" s="2">
        <v>7.31</v>
      </c>
      <c r="C130" s="25">
        <v>16</v>
      </c>
      <c r="D130" s="25"/>
      <c r="E130" s="2" t="s">
        <v>134</v>
      </c>
      <c r="F130" s="25">
        <v>1429</v>
      </c>
      <c r="G130" s="25">
        <v>958</v>
      </c>
      <c r="H130" s="25">
        <v>445</v>
      </c>
      <c r="I130" s="25">
        <v>278</v>
      </c>
      <c r="J130" s="25">
        <f t="shared" si="3"/>
        <v>167</v>
      </c>
      <c r="K130" s="25">
        <v>153</v>
      </c>
      <c r="L130" s="59" t="s">
        <v>51</v>
      </c>
      <c r="M130" s="60" t="s">
        <v>51</v>
      </c>
      <c r="N130" s="59" t="s">
        <v>32</v>
      </c>
      <c r="O130" s="57" t="s">
        <v>51</v>
      </c>
      <c r="P130" s="25"/>
      <c r="Q130" s="60"/>
      <c r="R130" s="90" t="s">
        <v>51</v>
      </c>
      <c r="S130" s="102"/>
      <c r="AP130" s="103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</row>
    <row r="131" spans="1:53" ht="18" customHeight="1" x14ac:dyDescent="0.35">
      <c r="A131" s="108" t="s">
        <v>135</v>
      </c>
      <c r="B131" s="1">
        <v>8.1</v>
      </c>
      <c r="C131" s="12">
        <v>18</v>
      </c>
      <c r="D131" s="12"/>
      <c r="E131" s="1" t="s">
        <v>32</v>
      </c>
      <c r="F131" s="85">
        <v>1411</v>
      </c>
      <c r="G131" s="85">
        <v>946</v>
      </c>
      <c r="H131" s="76">
        <v>488</v>
      </c>
      <c r="I131" s="76">
        <v>298</v>
      </c>
      <c r="J131" s="25">
        <f t="shared" si="3"/>
        <v>190</v>
      </c>
      <c r="K131" s="76">
        <v>155</v>
      </c>
      <c r="L131" s="59" t="s">
        <v>51</v>
      </c>
      <c r="M131" s="60" t="s">
        <v>51</v>
      </c>
      <c r="N131" s="59" t="s">
        <v>32</v>
      </c>
      <c r="O131" s="57" t="s">
        <v>51</v>
      </c>
      <c r="P131" s="17"/>
      <c r="Q131" s="60"/>
      <c r="R131" s="104" t="s">
        <v>51</v>
      </c>
      <c r="S131" s="102"/>
      <c r="AP131" s="103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</row>
    <row r="132" spans="1:53" ht="18" customHeight="1" x14ac:dyDescent="0.35">
      <c r="A132" s="99" t="s">
        <v>136</v>
      </c>
      <c r="B132" s="2">
        <v>7.9</v>
      </c>
      <c r="C132" s="58" t="s">
        <v>51</v>
      </c>
      <c r="D132" s="58"/>
      <c r="E132" s="2" t="s">
        <v>32</v>
      </c>
      <c r="F132" s="50">
        <v>1425</v>
      </c>
      <c r="G132" s="25">
        <v>955</v>
      </c>
      <c r="H132" s="25">
        <v>493</v>
      </c>
      <c r="I132" s="25">
        <v>320</v>
      </c>
      <c r="J132" s="25">
        <f t="shared" si="3"/>
        <v>173</v>
      </c>
      <c r="K132" s="25">
        <v>182</v>
      </c>
      <c r="L132" s="59" t="s">
        <v>51</v>
      </c>
      <c r="M132" s="60" t="s">
        <v>51</v>
      </c>
      <c r="N132" s="59" t="s">
        <v>32</v>
      </c>
      <c r="O132" s="57" t="s">
        <v>51</v>
      </c>
      <c r="P132" s="17"/>
      <c r="Q132" s="60"/>
      <c r="R132" s="104" t="s">
        <v>51</v>
      </c>
      <c r="S132" s="102"/>
      <c r="AP132" s="103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</row>
    <row r="133" spans="1:53" ht="18" customHeight="1" x14ac:dyDescent="0.35">
      <c r="A133" s="99" t="s">
        <v>137</v>
      </c>
      <c r="B133" s="2">
        <v>7.9</v>
      </c>
      <c r="C133" s="58">
        <v>28</v>
      </c>
      <c r="D133" s="58"/>
      <c r="E133" s="2" t="s">
        <v>32</v>
      </c>
      <c r="F133" s="50">
        <v>1453</v>
      </c>
      <c r="G133" s="50">
        <v>974</v>
      </c>
      <c r="H133" s="25">
        <v>511</v>
      </c>
      <c r="I133" s="25">
        <v>329</v>
      </c>
      <c r="J133" s="25">
        <f t="shared" si="3"/>
        <v>182</v>
      </c>
      <c r="K133" s="25">
        <v>196</v>
      </c>
      <c r="L133" s="59" t="s">
        <v>51</v>
      </c>
      <c r="M133" s="60" t="s">
        <v>51</v>
      </c>
      <c r="N133" s="59" t="s">
        <v>32</v>
      </c>
      <c r="O133" s="57" t="s">
        <v>51</v>
      </c>
      <c r="P133" s="17"/>
      <c r="Q133" s="60"/>
      <c r="R133" s="104" t="s">
        <v>51</v>
      </c>
      <c r="S133" s="102"/>
      <c r="AP133" s="103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</row>
    <row r="134" spans="1:53" ht="18" customHeight="1" x14ac:dyDescent="0.35">
      <c r="A134" s="99" t="s">
        <v>138</v>
      </c>
      <c r="B134" s="2">
        <v>8.08</v>
      </c>
      <c r="C134" s="17">
        <v>42</v>
      </c>
      <c r="D134" s="17"/>
      <c r="E134" s="2">
        <v>0.2</v>
      </c>
      <c r="F134" s="50">
        <v>1408</v>
      </c>
      <c r="G134" s="50">
        <v>944</v>
      </c>
      <c r="H134" s="25">
        <v>502</v>
      </c>
      <c r="I134" s="25">
        <v>302</v>
      </c>
      <c r="J134" s="25">
        <f t="shared" si="3"/>
        <v>200</v>
      </c>
      <c r="K134" s="25">
        <v>187</v>
      </c>
      <c r="L134" s="59" t="s">
        <v>51</v>
      </c>
      <c r="M134" s="60" t="s">
        <v>51</v>
      </c>
      <c r="N134" s="59" t="s">
        <v>32</v>
      </c>
      <c r="O134" s="57" t="s">
        <v>51</v>
      </c>
      <c r="P134" s="17"/>
      <c r="Q134" s="60"/>
      <c r="R134" s="104" t="s">
        <v>51</v>
      </c>
      <c r="S134" s="102"/>
      <c r="AP134" s="103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</row>
    <row r="135" spans="1:53" ht="18" customHeight="1" x14ac:dyDescent="0.35">
      <c r="A135" s="99" t="s">
        <v>139</v>
      </c>
      <c r="B135" s="2">
        <v>7.88</v>
      </c>
      <c r="C135" s="17">
        <v>27</v>
      </c>
      <c r="D135" s="17"/>
      <c r="E135" s="2" t="s">
        <v>32</v>
      </c>
      <c r="F135" s="50"/>
      <c r="G135" s="50">
        <v>900</v>
      </c>
      <c r="H135" s="25">
        <v>506</v>
      </c>
      <c r="I135" s="25">
        <v>324</v>
      </c>
      <c r="J135" s="25">
        <f t="shared" si="3"/>
        <v>182</v>
      </c>
      <c r="K135" s="25">
        <v>179</v>
      </c>
      <c r="L135" s="59" t="s">
        <v>51</v>
      </c>
      <c r="M135" s="60" t="s">
        <v>51</v>
      </c>
      <c r="N135" s="59" t="s">
        <v>32</v>
      </c>
      <c r="O135" s="57" t="s">
        <v>51</v>
      </c>
      <c r="P135" s="17"/>
      <c r="Q135" s="60"/>
      <c r="R135" s="104" t="s">
        <v>51</v>
      </c>
      <c r="S135" s="102"/>
      <c r="AP135" s="103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</row>
    <row r="136" spans="1:53" ht="18" customHeight="1" x14ac:dyDescent="0.35">
      <c r="A136" s="99" t="s">
        <v>140</v>
      </c>
      <c r="B136" s="2">
        <v>7.97</v>
      </c>
      <c r="C136" s="58">
        <v>29</v>
      </c>
      <c r="D136" s="58"/>
      <c r="E136" s="2" t="s">
        <v>32</v>
      </c>
      <c r="F136" s="50">
        <v>1349</v>
      </c>
      <c r="G136" s="50">
        <v>904</v>
      </c>
      <c r="H136" s="25">
        <v>497</v>
      </c>
      <c r="I136" s="25">
        <v>311</v>
      </c>
      <c r="J136" s="25">
        <f t="shared" si="3"/>
        <v>186</v>
      </c>
      <c r="K136" s="25">
        <v>158</v>
      </c>
      <c r="L136" s="59" t="s">
        <v>51</v>
      </c>
      <c r="M136" s="60" t="s">
        <v>51</v>
      </c>
      <c r="N136" s="59" t="s">
        <v>32</v>
      </c>
      <c r="O136" s="57" t="s">
        <v>51</v>
      </c>
      <c r="P136" s="17"/>
      <c r="Q136" s="60"/>
      <c r="R136" s="104" t="s">
        <v>51</v>
      </c>
      <c r="S136" s="102"/>
      <c r="AP136" s="103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</row>
    <row r="137" spans="1:53" ht="18" customHeight="1" x14ac:dyDescent="0.35">
      <c r="A137" s="99" t="s">
        <v>141</v>
      </c>
      <c r="B137" s="2">
        <v>7.96</v>
      </c>
      <c r="C137" s="17">
        <v>17</v>
      </c>
      <c r="D137" s="17"/>
      <c r="E137" s="2" t="s">
        <v>32</v>
      </c>
      <c r="F137" s="50">
        <v>1353</v>
      </c>
      <c r="G137" s="50">
        <v>907</v>
      </c>
      <c r="H137" s="25">
        <v>511</v>
      </c>
      <c r="I137" s="25">
        <v>320</v>
      </c>
      <c r="J137" s="25">
        <f t="shared" si="3"/>
        <v>191</v>
      </c>
      <c r="K137" s="25">
        <v>144</v>
      </c>
      <c r="L137" s="59" t="s">
        <v>51</v>
      </c>
      <c r="M137" s="60" t="s">
        <v>51</v>
      </c>
      <c r="N137" s="59" t="s">
        <v>32</v>
      </c>
      <c r="O137" s="57" t="s">
        <v>51</v>
      </c>
      <c r="P137" s="17"/>
      <c r="Q137" s="60"/>
      <c r="R137" s="104" t="s">
        <v>51</v>
      </c>
      <c r="S137" s="102"/>
      <c r="AP137" s="103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</row>
    <row r="138" spans="1:53" ht="18" customHeight="1" x14ac:dyDescent="0.35">
      <c r="A138" s="99" t="s">
        <v>142</v>
      </c>
      <c r="B138" s="2">
        <v>7.98</v>
      </c>
      <c r="C138" s="58">
        <v>23</v>
      </c>
      <c r="D138" s="58"/>
      <c r="E138" s="2" t="s">
        <v>32</v>
      </c>
      <c r="F138" s="17">
        <v>1455</v>
      </c>
      <c r="G138" s="17">
        <v>975</v>
      </c>
      <c r="H138" s="17">
        <v>515</v>
      </c>
      <c r="I138" s="17">
        <v>315</v>
      </c>
      <c r="J138" s="25">
        <f t="shared" si="3"/>
        <v>200</v>
      </c>
      <c r="K138" s="17">
        <v>165</v>
      </c>
      <c r="L138" s="59" t="s">
        <v>51</v>
      </c>
      <c r="M138" s="60" t="s">
        <v>51</v>
      </c>
      <c r="N138" s="59" t="s">
        <v>32</v>
      </c>
      <c r="O138" s="57" t="s">
        <v>51</v>
      </c>
      <c r="P138" s="17"/>
      <c r="Q138" s="60"/>
      <c r="R138" s="104" t="s">
        <v>51</v>
      </c>
      <c r="S138" s="102"/>
      <c r="AP138" s="103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</row>
    <row r="139" spans="1:53" ht="18" customHeight="1" x14ac:dyDescent="0.35">
      <c r="A139" s="99" t="s">
        <v>143</v>
      </c>
      <c r="B139" s="2">
        <v>7.87</v>
      </c>
      <c r="C139" s="58">
        <v>21</v>
      </c>
      <c r="D139" s="58"/>
      <c r="E139" s="2">
        <v>0.8</v>
      </c>
      <c r="F139" s="50">
        <v>1501</v>
      </c>
      <c r="G139" s="50">
        <v>1006</v>
      </c>
      <c r="H139" s="25">
        <v>506</v>
      </c>
      <c r="I139" s="25">
        <v>324</v>
      </c>
      <c r="J139" s="25">
        <f t="shared" si="3"/>
        <v>182</v>
      </c>
      <c r="K139" s="25">
        <v>151</v>
      </c>
      <c r="L139" s="59" t="s">
        <v>51</v>
      </c>
      <c r="M139" s="60" t="s">
        <v>51</v>
      </c>
      <c r="N139" s="59" t="s">
        <v>32</v>
      </c>
      <c r="O139" s="57" t="s">
        <v>51</v>
      </c>
      <c r="P139" s="17"/>
      <c r="Q139" s="60"/>
      <c r="R139" s="104" t="s">
        <v>51</v>
      </c>
      <c r="S139" s="102"/>
      <c r="AP139" s="103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</row>
    <row r="140" spans="1:53" ht="18" customHeight="1" x14ac:dyDescent="0.35">
      <c r="A140" s="99" t="s">
        <v>144</v>
      </c>
      <c r="B140" s="2">
        <v>8.17</v>
      </c>
      <c r="C140" s="58">
        <v>29</v>
      </c>
      <c r="D140" s="58"/>
      <c r="E140" s="2" t="s">
        <v>32</v>
      </c>
      <c r="F140" s="50">
        <v>1539</v>
      </c>
      <c r="G140" s="50">
        <v>1031</v>
      </c>
      <c r="H140" s="25">
        <v>511</v>
      </c>
      <c r="I140" s="25">
        <v>320</v>
      </c>
      <c r="J140" s="25">
        <f t="shared" si="3"/>
        <v>191</v>
      </c>
      <c r="K140" s="25">
        <v>144</v>
      </c>
      <c r="L140" s="59" t="s">
        <v>51</v>
      </c>
      <c r="M140" s="60" t="s">
        <v>51</v>
      </c>
      <c r="N140" s="59" t="s">
        <v>32</v>
      </c>
      <c r="O140" s="57" t="s">
        <v>51</v>
      </c>
      <c r="P140" s="17"/>
      <c r="Q140" s="60"/>
      <c r="R140" s="104" t="s">
        <v>51</v>
      </c>
      <c r="S140" s="102"/>
      <c r="AP140" s="103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</row>
    <row r="141" spans="1:53" ht="18" customHeight="1" x14ac:dyDescent="0.35">
      <c r="A141" s="99" t="s">
        <v>145</v>
      </c>
      <c r="B141" s="2">
        <v>8.0299999999999994</v>
      </c>
      <c r="C141" s="58">
        <v>24</v>
      </c>
      <c r="D141" s="58"/>
      <c r="E141" s="2">
        <v>0.2</v>
      </c>
      <c r="F141" s="50">
        <v>1495</v>
      </c>
      <c r="G141" s="50">
        <v>1002</v>
      </c>
      <c r="H141" s="25">
        <v>502</v>
      </c>
      <c r="I141" s="25">
        <v>315</v>
      </c>
      <c r="J141" s="25">
        <f t="shared" si="3"/>
        <v>187</v>
      </c>
      <c r="K141" s="25">
        <v>158</v>
      </c>
      <c r="L141" s="59" t="s">
        <v>51</v>
      </c>
      <c r="M141" s="60" t="s">
        <v>51</v>
      </c>
      <c r="N141" s="59" t="s">
        <v>32</v>
      </c>
      <c r="O141" s="57" t="s">
        <v>51</v>
      </c>
      <c r="P141" s="17"/>
      <c r="Q141" s="60"/>
      <c r="R141" s="104" t="s">
        <v>51</v>
      </c>
      <c r="S141" s="102"/>
      <c r="AP141" s="103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</row>
    <row r="142" spans="1:53" ht="18" customHeight="1" x14ac:dyDescent="0.35">
      <c r="A142" s="99" t="s">
        <v>146</v>
      </c>
      <c r="B142" s="2">
        <v>8.0500000000000007</v>
      </c>
      <c r="C142" s="58">
        <v>22</v>
      </c>
      <c r="D142" s="58"/>
      <c r="E142" s="2">
        <v>0.5</v>
      </c>
      <c r="F142" s="50">
        <v>1501</v>
      </c>
      <c r="G142" s="50">
        <v>1006</v>
      </c>
      <c r="H142" s="25">
        <v>502</v>
      </c>
      <c r="I142" s="25">
        <v>315</v>
      </c>
      <c r="J142" s="25">
        <f t="shared" si="3"/>
        <v>187</v>
      </c>
      <c r="K142" s="25">
        <v>158</v>
      </c>
      <c r="L142" s="59" t="s">
        <v>51</v>
      </c>
      <c r="M142" s="60" t="s">
        <v>51</v>
      </c>
      <c r="N142" s="59" t="s">
        <v>32</v>
      </c>
      <c r="O142" s="57" t="s">
        <v>51</v>
      </c>
      <c r="P142" s="17"/>
      <c r="Q142" s="60"/>
      <c r="R142" s="104" t="s">
        <v>51</v>
      </c>
      <c r="S142" s="102"/>
      <c r="AP142" s="103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</row>
    <row r="143" spans="1:53" ht="18" customHeight="1" x14ac:dyDescent="0.35">
      <c r="A143" s="99" t="s">
        <v>147</v>
      </c>
      <c r="B143" s="2">
        <v>8.2799999999999994</v>
      </c>
      <c r="C143" s="58">
        <v>24</v>
      </c>
      <c r="D143" s="58"/>
      <c r="E143" s="2" t="s">
        <v>32</v>
      </c>
      <c r="F143" s="50">
        <v>1440</v>
      </c>
      <c r="G143" s="50">
        <v>965</v>
      </c>
      <c r="H143" s="25">
        <v>534</v>
      </c>
      <c r="I143" s="25">
        <v>325</v>
      </c>
      <c r="J143" s="25">
        <f t="shared" si="3"/>
        <v>209</v>
      </c>
      <c r="K143" s="25">
        <v>172</v>
      </c>
      <c r="L143" s="59" t="s">
        <v>51</v>
      </c>
      <c r="M143" s="60" t="s">
        <v>51</v>
      </c>
      <c r="N143" s="59" t="s">
        <v>32</v>
      </c>
      <c r="O143" s="57" t="s">
        <v>51</v>
      </c>
      <c r="P143" s="17"/>
      <c r="Q143" s="60"/>
      <c r="R143" s="104" t="s">
        <v>51</v>
      </c>
      <c r="S143" s="102"/>
      <c r="AP143" s="103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</row>
    <row r="144" spans="1:53" ht="18" customHeight="1" x14ac:dyDescent="0.35">
      <c r="A144" s="99" t="s">
        <v>148</v>
      </c>
      <c r="B144" s="2">
        <v>7.94</v>
      </c>
      <c r="C144" s="58">
        <v>14</v>
      </c>
      <c r="D144" s="58"/>
      <c r="E144" s="2">
        <v>0.6</v>
      </c>
      <c r="F144" s="50">
        <v>1404</v>
      </c>
      <c r="G144" s="50">
        <v>941</v>
      </c>
      <c r="H144" s="50">
        <v>524</v>
      </c>
      <c r="I144" s="25">
        <v>278</v>
      </c>
      <c r="J144" s="25">
        <f t="shared" si="3"/>
        <v>246</v>
      </c>
      <c r="K144" s="25">
        <v>165</v>
      </c>
      <c r="L144" s="59" t="s">
        <v>51</v>
      </c>
      <c r="M144" s="60" t="s">
        <v>51</v>
      </c>
      <c r="N144" s="59" t="s">
        <v>32</v>
      </c>
      <c r="O144" s="57" t="s">
        <v>51</v>
      </c>
      <c r="P144" s="17"/>
      <c r="Q144" s="60"/>
      <c r="R144" s="104" t="s">
        <v>51</v>
      </c>
      <c r="S144" s="102"/>
      <c r="AP144" s="103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</row>
    <row r="145" spans="1:53" ht="18" customHeight="1" x14ac:dyDescent="0.35">
      <c r="A145" s="99" t="s">
        <v>149</v>
      </c>
      <c r="B145" s="2">
        <v>8.35</v>
      </c>
      <c r="C145" s="58">
        <v>16</v>
      </c>
      <c r="D145" s="58"/>
      <c r="E145" s="2" t="s">
        <v>32</v>
      </c>
      <c r="F145" s="50">
        <v>1445</v>
      </c>
      <c r="G145" s="50">
        <v>968</v>
      </c>
      <c r="H145" s="25">
        <v>538</v>
      </c>
      <c r="I145" s="25">
        <v>278</v>
      </c>
      <c r="J145" s="25">
        <f t="shared" si="3"/>
        <v>260</v>
      </c>
      <c r="K145" s="25">
        <v>158</v>
      </c>
      <c r="L145" s="59" t="s">
        <v>51</v>
      </c>
      <c r="M145" s="60" t="s">
        <v>51</v>
      </c>
      <c r="N145" s="59" t="s">
        <v>32</v>
      </c>
      <c r="O145" s="57" t="s">
        <v>51</v>
      </c>
      <c r="P145" s="17"/>
      <c r="Q145" s="60"/>
      <c r="R145" s="104" t="s">
        <v>51</v>
      </c>
      <c r="S145" s="102"/>
      <c r="AP145" s="103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</row>
    <row r="146" spans="1:53" ht="18" customHeight="1" x14ac:dyDescent="0.35">
      <c r="A146" s="99" t="s">
        <v>150</v>
      </c>
      <c r="B146" s="2">
        <v>8.23</v>
      </c>
      <c r="C146" s="58">
        <v>20</v>
      </c>
      <c r="D146" s="58"/>
      <c r="E146" s="2">
        <v>1</v>
      </c>
      <c r="F146" s="50">
        <v>1528</v>
      </c>
      <c r="G146" s="50">
        <v>1024</v>
      </c>
      <c r="H146" s="25">
        <v>534</v>
      </c>
      <c r="I146" s="25">
        <v>283</v>
      </c>
      <c r="J146" s="25">
        <f t="shared" ref="J146:J179" si="4">H146-I146</f>
        <v>251</v>
      </c>
      <c r="K146" s="25">
        <v>158</v>
      </c>
      <c r="L146" s="59" t="s">
        <v>51</v>
      </c>
      <c r="M146" s="60" t="s">
        <v>51</v>
      </c>
      <c r="N146" s="59" t="s">
        <v>32</v>
      </c>
      <c r="O146" s="57" t="s">
        <v>51</v>
      </c>
      <c r="P146" s="17"/>
      <c r="Q146" s="60"/>
      <c r="R146" s="104" t="s">
        <v>51</v>
      </c>
      <c r="S146" s="102"/>
      <c r="AP146" s="103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</row>
    <row r="147" spans="1:53" ht="18" customHeight="1" x14ac:dyDescent="0.35">
      <c r="A147" s="99" t="s">
        <v>151</v>
      </c>
      <c r="B147" s="2">
        <v>7.85</v>
      </c>
      <c r="C147" s="58">
        <v>20</v>
      </c>
      <c r="D147" s="58"/>
      <c r="E147" s="2" t="s">
        <v>32</v>
      </c>
      <c r="F147" s="50">
        <v>1532</v>
      </c>
      <c r="G147" s="50">
        <v>1027</v>
      </c>
      <c r="H147" s="25">
        <v>538</v>
      </c>
      <c r="I147" s="25">
        <v>302</v>
      </c>
      <c r="J147" s="25">
        <f t="shared" si="4"/>
        <v>236</v>
      </c>
      <c r="K147" s="25">
        <v>165</v>
      </c>
      <c r="L147" s="59" t="s">
        <v>51</v>
      </c>
      <c r="M147" s="60" t="s">
        <v>51</v>
      </c>
      <c r="N147" s="59" t="s">
        <v>32</v>
      </c>
      <c r="O147" s="57" t="s">
        <v>51</v>
      </c>
      <c r="P147" s="17"/>
      <c r="Q147" s="60"/>
      <c r="R147" s="104" t="s">
        <v>51</v>
      </c>
      <c r="S147" s="102"/>
      <c r="AP147" s="103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</row>
    <row r="148" spans="1:53" ht="18" customHeight="1" x14ac:dyDescent="0.35">
      <c r="A148" s="99" t="s">
        <v>152</v>
      </c>
      <c r="B148" s="2">
        <v>7.88</v>
      </c>
      <c r="C148" s="58">
        <v>25</v>
      </c>
      <c r="D148" s="58"/>
      <c r="E148" s="2">
        <v>0.8</v>
      </c>
      <c r="F148" s="50">
        <v>1516</v>
      </c>
      <c r="G148" s="50">
        <v>1016</v>
      </c>
      <c r="H148" s="25">
        <v>548</v>
      </c>
      <c r="I148" s="25">
        <v>288</v>
      </c>
      <c r="J148" s="25">
        <f t="shared" si="4"/>
        <v>260</v>
      </c>
      <c r="K148" s="25">
        <v>187</v>
      </c>
      <c r="L148" s="59" t="s">
        <v>51</v>
      </c>
      <c r="M148" s="60" t="s">
        <v>51</v>
      </c>
      <c r="N148" s="59" t="s">
        <v>32</v>
      </c>
      <c r="O148" s="57" t="s">
        <v>51</v>
      </c>
      <c r="P148" s="17"/>
      <c r="Q148" s="60"/>
      <c r="R148" s="104" t="s">
        <v>51</v>
      </c>
      <c r="S148" s="102"/>
      <c r="AP148" s="103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</row>
    <row r="149" spans="1:53" ht="18" customHeight="1" x14ac:dyDescent="0.35">
      <c r="A149" s="99" t="s">
        <v>153</v>
      </c>
      <c r="B149" s="2">
        <v>7.95</v>
      </c>
      <c r="C149" s="25">
        <v>23</v>
      </c>
      <c r="D149" s="25"/>
      <c r="E149" s="2">
        <v>0.5</v>
      </c>
      <c r="F149" s="25">
        <v>1529</v>
      </c>
      <c r="G149" s="25">
        <v>1025</v>
      </c>
      <c r="H149" s="25">
        <v>552</v>
      </c>
      <c r="I149" s="25">
        <v>278</v>
      </c>
      <c r="J149" s="25">
        <f t="shared" si="4"/>
        <v>274</v>
      </c>
      <c r="K149" s="25">
        <v>172</v>
      </c>
      <c r="L149" s="59" t="s">
        <v>51</v>
      </c>
      <c r="M149" s="60" t="s">
        <v>51</v>
      </c>
      <c r="N149" s="59" t="s">
        <v>32</v>
      </c>
      <c r="O149" s="57" t="s">
        <v>51</v>
      </c>
      <c r="P149" s="17"/>
      <c r="Q149" s="60"/>
      <c r="R149" s="104" t="s">
        <v>51</v>
      </c>
      <c r="S149" s="102"/>
      <c r="AP149" s="103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</row>
    <row r="150" spans="1:53" ht="18" customHeight="1" x14ac:dyDescent="0.35">
      <c r="A150" s="99" t="s">
        <v>154</v>
      </c>
      <c r="B150" s="2">
        <v>8.1999999999999993</v>
      </c>
      <c r="C150" s="25">
        <v>29</v>
      </c>
      <c r="D150" s="25"/>
      <c r="E150" s="2" t="s">
        <v>32</v>
      </c>
      <c r="F150" s="25">
        <v>1435</v>
      </c>
      <c r="G150" s="25">
        <v>962</v>
      </c>
      <c r="H150" s="25">
        <v>543</v>
      </c>
      <c r="I150" s="25">
        <v>292</v>
      </c>
      <c r="J150" s="25">
        <f t="shared" si="4"/>
        <v>251</v>
      </c>
      <c r="K150" s="25">
        <v>172</v>
      </c>
      <c r="L150" s="59" t="s">
        <v>51</v>
      </c>
      <c r="M150" s="60" t="s">
        <v>51</v>
      </c>
      <c r="N150" s="59" t="s">
        <v>32</v>
      </c>
      <c r="O150" s="57" t="s">
        <v>51</v>
      </c>
      <c r="P150" s="17"/>
      <c r="Q150" s="60"/>
      <c r="R150" s="104" t="s">
        <v>51</v>
      </c>
      <c r="S150" s="102"/>
      <c r="AP150" s="103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</row>
    <row r="151" spans="1:53" ht="18" customHeight="1" x14ac:dyDescent="0.35">
      <c r="A151" s="99" t="s">
        <v>155</v>
      </c>
      <c r="B151" s="2">
        <v>8.14</v>
      </c>
      <c r="C151" s="25">
        <v>31</v>
      </c>
      <c r="D151" s="25"/>
      <c r="E151" s="2" t="s">
        <v>32</v>
      </c>
      <c r="F151" s="25">
        <v>1467</v>
      </c>
      <c r="G151" s="25">
        <v>983</v>
      </c>
      <c r="H151" s="25">
        <v>571</v>
      </c>
      <c r="I151" s="25">
        <v>298</v>
      </c>
      <c r="J151" s="25">
        <f t="shared" si="4"/>
        <v>273</v>
      </c>
      <c r="K151" s="25">
        <v>187</v>
      </c>
      <c r="L151" s="59" t="s">
        <v>51</v>
      </c>
      <c r="M151" s="60" t="s">
        <v>51</v>
      </c>
      <c r="N151" s="59" t="s">
        <v>32</v>
      </c>
      <c r="O151" s="57" t="s">
        <v>51</v>
      </c>
      <c r="P151" s="17"/>
      <c r="Q151" s="60"/>
      <c r="R151" s="104" t="s">
        <v>51</v>
      </c>
      <c r="S151" s="102"/>
      <c r="AP151" s="103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</row>
    <row r="152" spans="1:53" ht="18" customHeight="1" x14ac:dyDescent="0.35">
      <c r="A152" s="99" t="s">
        <v>156</v>
      </c>
      <c r="B152" s="2">
        <v>7.86</v>
      </c>
      <c r="C152" s="25">
        <v>17</v>
      </c>
      <c r="D152" s="25"/>
      <c r="E152" s="2" t="s">
        <v>32</v>
      </c>
      <c r="F152" s="25">
        <v>1494</v>
      </c>
      <c r="G152" s="25">
        <v>1001</v>
      </c>
      <c r="H152" s="25">
        <v>552</v>
      </c>
      <c r="I152" s="25">
        <v>300</v>
      </c>
      <c r="J152" s="25">
        <f t="shared" si="4"/>
        <v>252</v>
      </c>
      <c r="K152" s="25">
        <v>165</v>
      </c>
      <c r="L152" s="59" t="s">
        <v>51</v>
      </c>
      <c r="M152" s="60" t="s">
        <v>51</v>
      </c>
      <c r="N152" s="59" t="s">
        <v>32</v>
      </c>
      <c r="O152" s="57" t="s">
        <v>51</v>
      </c>
      <c r="P152" s="17"/>
      <c r="Q152" s="60"/>
      <c r="R152" s="104" t="s">
        <v>51</v>
      </c>
      <c r="S152" s="102"/>
      <c r="AP152" s="103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</row>
    <row r="153" spans="1:53" ht="18" customHeight="1" x14ac:dyDescent="0.35">
      <c r="A153" s="99" t="s">
        <v>157</v>
      </c>
      <c r="B153" s="2">
        <v>7.77</v>
      </c>
      <c r="C153" s="25">
        <v>21</v>
      </c>
      <c r="D153" s="25"/>
      <c r="E153" s="2" t="s">
        <v>32</v>
      </c>
      <c r="F153" s="25">
        <v>1553</v>
      </c>
      <c r="G153" s="25">
        <v>1041</v>
      </c>
      <c r="H153" s="25">
        <v>547</v>
      </c>
      <c r="I153" s="25">
        <v>293</v>
      </c>
      <c r="J153" s="25">
        <f t="shared" si="4"/>
        <v>254</v>
      </c>
      <c r="K153" s="25">
        <v>158</v>
      </c>
      <c r="L153" s="59" t="s">
        <v>51</v>
      </c>
      <c r="M153" s="60" t="s">
        <v>51</v>
      </c>
      <c r="N153" s="59" t="s">
        <v>32</v>
      </c>
      <c r="O153" s="57" t="s">
        <v>51</v>
      </c>
      <c r="P153" s="17"/>
      <c r="Q153" s="60"/>
      <c r="R153" s="104" t="s">
        <v>51</v>
      </c>
      <c r="S153" s="102"/>
      <c r="AP153" s="103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</row>
    <row r="154" spans="1:53" ht="18" customHeight="1" x14ac:dyDescent="0.35">
      <c r="A154" s="70" t="s">
        <v>158</v>
      </c>
      <c r="B154" s="2">
        <v>8.15</v>
      </c>
      <c r="C154" s="25">
        <v>24</v>
      </c>
      <c r="D154" s="25"/>
      <c r="E154" s="2">
        <v>0.5</v>
      </c>
      <c r="F154" s="25">
        <v>1626</v>
      </c>
      <c r="G154" s="25">
        <v>1090</v>
      </c>
      <c r="H154" s="25">
        <v>571</v>
      </c>
      <c r="I154" s="25">
        <v>302</v>
      </c>
      <c r="J154" s="25">
        <f t="shared" si="4"/>
        <v>269</v>
      </c>
      <c r="K154" s="25">
        <v>172</v>
      </c>
      <c r="L154" s="59" t="s">
        <v>51</v>
      </c>
      <c r="M154" s="60" t="s">
        <v>51</v>
      </c>
      <c r="N154" s="59" t="s">
        <v>32</v>
      </c>
      <c r="O154" s="57" t="s">
        <v>51</v>
      </c>
      <c r="P154" s="25"/>
      <c r="Q154" s="60"/>
      <c r="R154" s="90" t="s">
        <v>51</v>
      </c>
      <c r="S154" s="102"/>
      <c r="AP154" s="103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</row>
    <row r="155" spans="1:53" ht="18" customHeight="1" x14ac:dyDescent="0.35">
      <c r="A155" s="99" t="s">
        <v>159</v>
      </c>
      <c r="B155" s="2">
        <v>8.6999999999999993</v>
      </c>
      <c r="C155" s="25">
        <v>18</v>
      </c>
      <c r="D155" s="25"/>
      <c r="E155" s="2" t="s">
        <v>32</v>
      </c>
      <c r="F155" s="25">
        <v>1702</v>
      </c>
      <c r="G155" s="25">
        <v>1141</v>
      </c>
      <c r="H155" s="25">
        <v>576</v>
      </c>
      <c r="I155" s="25">
        <v>312</v>
      </c>
      <c r="J155" s="25">
        <f t="shared" si="4"/>
        <v>264</v>
      </c>
      <c r="K155" s="25">
        <v>187</v>
      </c>
      <c r="L155" s="59" t="s">
        <v>51</v>
      </c>
      <c r="M155" s="60" t="s">
        <v>51</v>
      </c>
      <c r="N155" s="59" t="s">
        <v>32</v>
      </c>
      <c r="O155" s="57" t="s">
        <v>51</v>
      </c>
      <c r="P155" s="25"/>
      <c r="Q155" s="60"/>
      <c r="R155" s="90" t="s">
        <v>51</v>
      </c>
      <c r="S155" s="102"/>
      <c r="AP155" s="103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</row>
    <row r="156" spans="1:53" ht="18" customHeight="1" thickBot="1" x14ac:dyDescent="0.4">
      <c r="A156" s="109" t="s">
        <v>160</v>
      </c>
      <c r="B156" s="2">
        <v>8.1300000000000008</v>
      </c>
      <c r="C156" s="25">
        <v>16</v>
      </c>
      <c r="D156" s="25"/>
      <c r="E156" s="2" t="s">
        <v>32</v>
      </c>
      <c r="F156" s="25">
        <v>1561</v>
      </c>
      <c r="G156" s="25">
        <v>1046</v>
      </c>
      <c r="H156" s="25">
        <v>566</v>
      </c>
      <c r="I156" s="25">
        <v>307</v>
      </c>
      <c r="J156" s="25">
        <f t="shared" si="4"/>
        <v>259</v>
      </c>
      <c r="K156" s="25">
        <v>165</v>
      </c>
      <c r="L156" s="59" t="s">
        <v>51</v>
      </c>
      <c r="M156" s="60" t="s">
        <v>51</v>
      </c>
      <c r="N156" s="59" t="s">
        <v>32</v>
      </c>
      <c r="O156" s="57" t="s">
        <v>51</v>
      </c>
      <c r="P156" s="25"/>
      <c r="Q156" s="60"/>
      <c r="R156" s="90" t="s">
        <v>51</v>
      </c>
      <c r="S156" s="102"/>
      <c r="AP156" s="103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</row>
    <row r="157" spans="1:53" ht="18" customHeight="1" x14ac:dyDescent="0.35">
      <c r="A157" s="108" t="s">
        <v>161</v>
      </c>
      <c r="B157" s="1">
        <v>8.0500000000000007</v>
      </c>
      <c r="C157" s="12">
        <v>19</v>
      </c>
      <c r="D157" s="12"/>
      <c r="E157" s="1">
        <v>1</v>
      </c>
      <c r="F157" s="85">
        <v>1594</v>
      </c>
      <c r="G157" s="85">
        <v>1068</v>
      </c>
      <c r="H157" s="76">
        <v>534</v>
      </c>
      <c r="I157" s="76">
        <v>304</v>
      </c>
      <c r="J157" s="25">
        <f t="shared" si="4"/>
        <v>230</v>
      </c>
      <c r="K157" s="76">
        <v>194</v>
      </c>
      <c r="L157" s="59" t="s">
        <v>51</v>
      </c>
      <c r="M157" s="60" t="s">
        <v>51</v>
      </c>
      <c r="N157" s="59" t="s">
        <v>32</v>
      </c>
      <c r="O157" s="57" t="s">
        <v>51</v>
      </c>
      <c r="P157" s="17"/>
      <c r="Q157" s="60"/>
      <c r="R157" s="104" t="s">
        <v>51</v>
      </c>
      <c r="S157" s="102"/>
      <c r="AP157" s="103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</row>
    <row r="158" spans="1:53" ht="18" customHeight="1" x14ac:dyDescent="0.35">
      <c r="A158" s="99" t="s">
        <v>162</v>
      </c>
      <c r="B158" s="2">
        <v>8.2799999999999994</v>
      </c>
      <c r="C158" s="58">
        <v>22</v>
      </c>
      <c r="D158" s="58"/>
      <c r="E158" s="2">
        <v>0.5</v>
      </c>
      <c r="F158" s="50">
        <v>1567</v>
      </c>
      <c r="G158" s="25">
        <v>1050</v>
      </c>
      <c r="H158" s="25">
        <v>713</v>
      </c>
      <c r="I158" s="25">
        <v>396</v>
      </c>
      <c r="J158" s="25">
        <f t="shared" si="4"/>
        <v>317</v>
      </c>
      <c r="K158" s="25">
        <v>178</v>
      </c>
      <c r="L158" s="59">
        <v>6.7</v>
      </c>
      <c r="M158" s="60" t="s">
        <v>51</v>
      </c>
      <c r="N158" s="59" t="s">
        <v>32</v>
      </c>
      <c r="O158" s="57" t="s">
        <v>51</v>
      </c>
      <c r="P158" s="17"/>
      <c r="Q158" s="60"/>
      <c r="R158" s="104" t="s">
        <v>51</v>
      </c>
      <c r="S158" s="102"/>
      <c r="AP158" s="103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</row>
    <row r="159" spans="1:53" ht="18" customHeight="1" x14ac:dyDescent="0.35">
      <c r="A159" s="99" t="s">
        <v>163</v>
      </c>
      <c r="B159" s="2">
        <v>7.94</v>
      </c>
      <c r="C159" s="58">
        <v>26</v>
      </c>
      <c r="D159" s="58"/>
      <c r="E159" s="2">
        <v>0.5</v>
      </c>
      <c r="F159" s="50">
        <v>1600</v>
      </c>
      <c r="G159" s="50">
        <v>1072</v>
      </c>
      <c r="H159" s="25">
        <v>722</v>
      </c>
      <c r="I159" s="25">
        <v>400</v>
      </c>
      <c r="J159" s="25">
        <f t="shared" si="4"/>
        <v>322</v>
      </c>
      <c r="K159" s="25">
        <v>194</v>
      </c>
      <c r="L159" s="59">
        <v>6.7</v>
      </c>
      <c r="M159" s="60" t="s">
        <v>51</v>
      </c>
      <c r="N159" s="59" t="s">
        <v>32</v>
      </c>
      <c r="O159" s="57" t="s">
        <v>51</v>
      </c>
      <c r="P159" s="17"/>
      <c r="Q159" s="60"/>
      <c r="R159" s="104" t="s">
        <v>51</v>
      </c>
      <c r="S159" s="102"/>
      <c r="AP159" s="103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</row>
    <row r="160" spans="1:53" ht="18" customHeight="1" x14ac:dyDescent="0.35">
      <c r="A160" s="99" t="s">
        <v>164</v>
      </c>
      <c r="B160" s="2">
        <v>7.88</v>
      </c>
      <c r="C160" s="17">
        <v>27</v>
      </c>
      <c r="D160" s="17"/>
      <c r="E160" s="2">
        <v>0.9</v>
      </c>
      <c r="F160" s="50">
        <v>1593</v>
      </c>
      <c r="G160" s="50">
        <v>1067</v>
      </c>
      <c r="H160" s="25">
        <v>713</v>
      </c>
      <c r="I160" s="25">
        <v>396</v>
      </c>
      <c r="J160" s="25">
        <f t="shared" si="4"/>
        <v>317</v>
      </c>
      <c r="K160" s="25">
        <v>178</v>
      </c>
      <c r="L160" s="59">
        <v>6.2</v>
      </c>
      <c r="M160" s="60" t="s">
        <v>51</v>
      </c>
      <c r="N160" s="59" t="s">
        <v>32</v>
      </c>
      <c r="O160" s="57" t="s">
        <v>51</v>
      </c>
      <c r="P160" s="17"/>
      <c r="Q160" s="60"/>
      <c r="R160" s="104" t="s">
        <v>51</v>
      </c>
      <c r="S160" s="102"/>
      <c r="AP160" s="103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</row>
    <row r="161" spans="1:53" ht="18" customHeight="1" x14ac:dyDescent="0.35">
      <c r="A161" s="99" t="s">
        <v>165</v>
      </c>
      <c r="B161" s="2">
        <v>8.07</v>
      </c>
      <c r="C161" s="17">
        <v>21</v>
      </c>
      <c r="D161" s="17"/>
      <c r="E161" s="2">
        <v>0.5</v>
      </c>
      <c r="F161" s="50">
        <v>1790</v>
      </c>
      <c r="G161" s="50">
        <v>1199</v>
      </c>
      <c r="H161" s="25">
        <v>727</v>
      </c>
      <c r="I161" s="25">
        <v>391</v>
      </c>
      <c r="J161" s="25">
        <f t="shared" si="4"/>
        <v>336</v>
      </c>
      <c r="K161" s="25">
        <v>203</v>
      </c>
      <c r="L161" s="59">
        <v>6</v>
      </c>
      <c r="M161" s="60" t="s">
        <v>51</v>
      </c>
      <c r="N161" s="59" t="s">
        <v>32</v>
      </c>
      <c r="O161" s="57" t="s">
        <v>51</v>
      </c>
      <c r="P161" s="17"/>
      <c r="Q161" s="60"/>
      <c r="R161" s="104" t="s">
        <v>51</v>
      </c>
      <c r="S161" s="102"/>
      <c r="AP161" s="103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</row>
    <row r="162" spans="1:53" ht="18" customHeight="1" x14ac:dyDescent="0.35">
      <c r="A162" s="99" t="s">
        <v>166</v>
      </c>
      <c r="B162" s="2">
        <v>7.35</v>
      </c>
      <c r="C162" s="58">
        <v>21</v>
      </c>
      <c r="D162" s="58"/>
      <c r="E162" s="2">
        <v>1</v>
      </c>
      <c r="F162" s="50">
        <v>1737</v>
      </c>
      <c r="G162" s="50">
        <v>1164</v>
      </c>
      <c r="H162" s="25">
        <v>702</v>
      </c>
      <c r="I162" s="25">
        <v>369</v>
      </c>
      <c r="J162" s="25">
        <f t="shared" si="4"/>
        <v>333</v>
      </c>
      <c r="K162" s="25">
        <v>179</v>
      </c>
      <c r="L162" s="59">
        <v>6.2</v>
      </c>
      <c r="M162" s="60" t="s">
        <v>51</v>
      </c>
      <c r="N162" s="59" t="s">
        <v>32</v>
      </c>
      <c r="O162" s="57" t="s">
        <v>51</v>
      </c>
      <c r="P162" s="17"/>
      <c r="Q162" s="60"/>
      <c r="R162" s="104" t="s">
        <v>51</v>
      </c>
      <c r="S162" s="102"/>
      <c r="AP162" s="103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</row>
    <row r="163" spans="1:53" ht="18" customHeight="1" x14ac:dyDescent="0.35">
      <c r="A163" s="99" t="s">
        <v>167</v>
      </c>
      <c r="B163" s="2">
        <v>8.2899999999999991</v>
      </c>
      <c r="C163" s="17">
        <v>22</v>
      </c>
      <c r="D163" s="17"/>
      <c r="E163" s="2" t="s">
        <v>32</v>
      </c>
      <c r="F163" s="50">
        <v>1685</v>
      </c>
      <c r="G163" s="50">
        <v>1129</v>
      </c>
      <c r="H163" s="25">
        <v>706</v>
      </c>
      <c r="I163" s="25">
        <v>377</v>
      </c>
      <c r="J163" s="25">
        <f t="shared" si="4"/>
        <v>329</v>
      </c>
      <c r="K163" s="25">
        <v>165</v>
      </c>
      <c r="L163" s="59">
        <v>6.4</v>
      </c>
      <c r="M163" s="60" t="s">
        <v>51</v>
      </c>
      <c r="N163" s="59" t="s">
        <v>32</v>
      </c>
      <c r="O163" s="57" t="s">
        <v>51</v>
      </c>
      <c r="P163" s="17"/>
      <c r="Q163" s="60"/>
      <c r="R163" s="104" t="s">
        <v>51</v>
      </c>
      <c r="S163" s="102"/>
      <c r="AP163" s="103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</row>
    <row r="164" spans="1:53" ht="18" customHeight="1" x14ac:dyDescent="0.35">
      <c r="A164" s="99" t="s">
        <v>168</v>
      </c>
      <c r="B164" s="2">
        <v>7.77</v>
      </c>
      <c r="C164" s="58">
        <v>18</v>
      </c>
      <c r="D164" s="58"/>
      <c r="E164" s="2" t="s">
        <v>32</v>
      </c>
      <c r="F164" s="17">
        <v>1620</v>
      </c>
      <c r="G164" s="17">
        <v>1086</v>
      </c>
      <c r="H164" s="17">
        <v>733</v>
      </c>
      <c r="I164" s="17">
        <v>383</v>
      </c>
      <c r="J164" s="25">
        <f t="shared" si="4"/>
        <v>350</v>
      </c>
      <c r="K164" s="17">
        <v>172</v>
      </c>
      <c r="L164" s="59">
        <v>6.1</v>
      </c>
      <c r="M164" s="60" t="s">
        <v>51</v>
      </c>
      <c r="N164" s="59" t="s">
        <v>32</v>
      </c>
      <c r="O164" s="57" t="s">
        <v>51</v>
      </c>
      <c r="P164" s="17"/>
      <c r="Q164" s="60"/>
      <c r="R164" s="104" t="s">
        <v>51</v>
      </c>
      <c r="S164" s="102"/>
      <c r="AP164" s="103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</row>
    <row r="165" spans="1:53" ht="18" customHeight="1" x14ac:dyDescent="0.35">
      <c r="A165" s="99" t="s">
        <v>169</v>
      </c>
      <c r="B165" s="2">
        <v>7.86</v>
      </c>
      <c r="C165" s="58">
        <v>20</v>
      </c>
      <c r="D165" s="58"/>
      <c r="E165" s="2">
        <v>0.1</v>
      </c>
      <c r="F165" s="50">
        <v>1711</v>
      </c>
      <c r="G165" s="50">
        <v>1147</v>
      </c>
      <c r="H165" s="25">
        <v>857</v>
      </c>
      <c r="I165" s="25">
        <v>377</v>
      </c>
      <c r="J165" s="25">
        <f t="shared" si="4"/>
        <v>480</v>
      </c>
      <c r="K165" s="25">
        <v>158</v>
      </c>
      <c r="L165" s="59" t="s">
        <v>51</v>
      </c>
      <c r="M165" s="60" t="s">
        <v>51</v>
      </c>
      <c r="N165" s="59" t="s">
        <v>32</v>
      </c>
      <c r="O165" s="57" t="s">
        <v>51</v>
      </c>
      <c r="P165" s="17"/>
      <c r="Q165" s="60"/>
      <c r="R165" s="104" t="s">
        <v>51</v>
      </c>
      <c r="S165" s="102"/>
      <c r="AP165" s="103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</row>
    <row r="166" spans="1:53" ht="18" customHeight="1" x14ac:dyDescent="0.35">
      <c r="A166" s="99" t="s">
        <v>170</v>
      </c>
      <c r="B166" s="2">
        <v>7.76</v>
      </c>
      <c r="C166" s="58">
        <v>21</v>
      </c>
      <c r="D166" s="58"/>
      <c r="E166" s="2">
        <v>0.4</v>
      </c>
      <c r="F166" s="50">
        <v>1690</v>
      </c>
      <c r="G166" s="50">
        <v>1132</v>
      </c>
      <c r="H166" s="25">
        <v>848</v>
      </c>
      <c r="I166" s="25">
        <v>382</v>
      </c>
      <c r="J166" s="25">
        <f t="shared" si="4"/>
        <v>466</v>
      </c>
      <c r="K166" s="25">
        <v>165</v>
      </c>
      <c r="L166" s="59">
        <v>6.4</v>
      </c>
      <c r="M166" s="60" t="s">
        <v>51</v>
      </c>
      <c r="N166" s="59" t="s">
        <v>32</v>
      </c>
      <c r="O166" s="57" t="s">
        <v>51</v>
      </c>
      <c r="P166" s="17"/>
      <c r="Q166" s="60"/>
      <c r="R166" s="104" t="s">
        <v>51</v>
      </c>
      <c r="S166" s="102"/>
      <c r="AP166" s="103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</row>
    <row r="167" spans="1:53" ht="18" customHeight="1" x14ac:dyDescent="0.35">
      <c r="A167" s="99" t="s">
        <v>171</v>
      </c>
      <c r="B167" s="2">
        <v>8</v>
      </c>
      <c r="C167" s="58">
        <v>18</v>
      </c>
      <c r="D167" s="58"/>
      <c r="E167" s="2">
        <v>0.5</v>
      </c>
      <c r="F167" s="50">
        <v>1840</v>
      </c>
      <c r="G167" s="50">
        <v>1233</v>
      </c>
      <c r="H167" s="25">
        <v>846</v>
      </c>
      <c r="I167" s="25">
        <v>422</v>
      </c>
      <c r="J167" s="25">
        <f t="shared" si="4"/>
        <v>424</v>
      </c>
      <c r="K167" s="25">
        <v>179</v>
      </c>
      <c r="L167" s="59" t="s">
        <v>51</v>
      </c>
      <c r="M167" s="60" t="s">
        <v>51</v>
      </c>
      <c r="N167" s="59" t="s">
        <v>32</v>
      </c>
      <c r="O167" s="57" t="s">
        <v>51</v>
      </c>
      <c r="P167" s="17"/>
      <c r="Q167" s="60"/>
      <c r="R167" s="104" t="s">
        <v>51</v>
      </c>
      <c r="S167" s="102"/>
      <c r="AP167" s="103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</row>
    <row r="168" spans="1:53" ht="18" customHeight="1" x14ac:dyDescent="0.35">
      <c r="A168" s="99" t="s">
        <v>172</v>
      </c>
      <c r="B168" s="2">
        <v>8.1199999999999992</v>
      </c>
      <c r="C168" s="58">
        <v>11</v>
      </c>
      <c r="D168" s="58"/>
      <c r="E168" s="2" t="s">
        <v>32</v>
      </c>
      <c r="F168" s="50">
        <v>1648</v>
      </c>
      <c r="G168" s="50">
        <v>1104</v>
      </c>
      <c r="H168" s="25">
        <v>839</v>
      </c>
      <c r="I168" s="25">
        <v>391</v>
      </c>
      <c r="J168" s="25">
        <f t="shared" si="4"/>
        <v>448</v>
      </c>
      <c r="K168" s="25">
        <v>179</v>
      </c>
      <c r="L168" s="59">
        <v>6</v>
      </c>
      <c r="M168" s="60" t="s">
        <v>51</v>
      </c>
      <c r="N168" s="59" t="s">
        <v>32</v>
      </c>
      <c r="O168" s="57" t="s">
        <v>51</v>
      </c>
      <c r="P168" s="17"/>
      <c r="Q168" s="60"/>
      <c r="R168" s="104" t="s">
        <v>51</v>
      </c>
      <c r="S168" s="102"/>
      <c r="AP168" s="103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</row>
    <row r="169" spans="1:53" ht="18" customHeight="1" x14ac:dyDescent="0.35">
      <c r="A169" s="99" t="s">
        <v>173</v>
      </c>
      <c r="B169" s="2">
        <v>7.8</v>
      </c>
      <c r="C169" s="58">
        <v>12</v>
      </c>
      <c r="D169" s="58"/>
      <c r="E169" s="2" t="s">
        <v>32</v>
      </c>
      <c r="F169" s="50">
        <v>1695</v>
      </c>
      <c r="G169" s="50">
        <v>1136</v>
      </c>
      <c r="H169" s="25">
        <v>826</v>
      </c>
      <c r="I169" s="25">
        <v>382</v>
      </c>
      <c r="J169" s="25">
        <f t="shared" si="4"/>
        <v>444</v>
      </c>
      <c r="K169" s="25">
        <v>165</v>
      </c>
      <c r="L169" s="59">
        <v>6.2</v>
      </c>
      <c r="M169" s="60" t="s">
        <v>51</v>
      </c>
      <c r="N169" s="59" t="s">
        <v>32</v>
      </c>
      <c r="O169" s="57" t="s">
        <v>51</v>
      </c>
      <c r="P169" s="17"/>
      <c r="Q169" s="60"/>
      <c r="R169" s="104" t="s">
        <v>51</v>
      </c>
      <c r="S169" s="102"/>
      <c r="AP169" s="103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</row>
    <row r="170" spans="1:53" ht="18" customHeight="1" x14ac:dyDescent="0.35">
      <c r="A170" s="99" t="s">
        <v>174</v>
      </c>
      <c r="B170" s="2">
        <v>7.8</v>
      </c>
      <c r="C170" s="58">
        <v>13</v>
      </c>
      <c r="D170" s="58"/>
      <c r="E170" s="2">
        <v>1</v>
      </c>
      <c r="F170" s="50">
        <v>1755</v>
      </c>
      <c r="G170" s="50">
        <v>1176</v>
      </c>
      <c r="H170" s="50">
        <v>821</v>
      </c>
      <c r="I170" s="25">
        <v>361</v>
      </c>
      <c r="J170" s="25">
        <f t="shared" si="4"/>
        <v>460</v>
      </c>
      <c r="K170" s="25">
        <v>172</v>
      </c>
      <c r="L170" s="59">
        <v>6.2</v>
      </c>
      <c r="M170" s="60" t="s">
        <v>51</v>
      </c>
      <c r="N170" s="59" t="s">
        <v>32</v>
      </c>
      <c r="O170" s="57" t="s">
        <v>51</v>
      </c>
      <c r="P170" s="17"/>
      <c r="Q170" s="60"/>
      <c r="R170" s="104" t="s">
        <v>51</v>
      </c>
      <c r="S170" s="102"/>
      <c r="AP170" s="103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</row>
    <row r="171" spans="1:53" ht="18" customHeight="1" x14ac:dyDescent="0.35">
      <c r="A171" s="99" t="s">
        <v>175</v>
      </c>
      <c r="B171" s="2">
        <v>8.1199999999999992</v>
      </c>
      <c r="C171" s="58">
        <v>20</v>
      </c>
      <c r="D171" s="58"/>
      <c r="E171" s="2">
        <v>0.2</v>
      </c>
      <c r="F171" s="50">
        <v>1780</v>
      </c>
      <c r="G171" s="50">
        <v>1193</v>
      </c>
      <c r="H171" s="25">
        <v>826</v>
      </c>
      <c r="I171" s="25">
        <v>364</v>
      </c>
      <c r="J171" s="25">
        <f t="shared" si="4"/>
        <v>462</v>
      </c>
      <c r="K171" s="25">
        <v>158</v>
      </c>
      <c r="L171" s="59" t="s">
        <v>51</v>
      </c>
      <c r="M171" s="60" t="s">
        <v>51</v>
      </c>
      <c r="N171" s="59" t="s">
        <v>32</v>
      </c>
      <c r="O171" s="57" t="s">
        <v>51</v>
      </c>
      <c r="P171" s="17"/>
      <c r="Q171" s="60"/>
      <c r="R171" s="104" t="s">
        <v>51</v>
      </c>
      <c r="S171" s="102"/>
      <c r="AP171" s="103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</row>
    <row r="172" spans="1:53" ht="18" customHeight="1" x14ac:dyDescent="0.35">
      <c r="A172" s="99" t="s">
        <v>176</v>
      </c>
      <c r="B172" s="2">
        <v>8.16</v>
      </c>
      <c r="C172" s="58">
        <v>20</v>
      </c>
      <c r="D172" s="58"/>
      <c r="E172" s="2">
        <v>0.2</v>
      </c>
      <c r="F172" s="50">
        <v>1628</v>
      </c>
      <c r="G172" s="50">
        <v>1091</v>
      </c>
      <c r="H172" s="25">
        <v>809</v>
      </c>
      <c r="I172" s="25">
        <v>438</v>
      </c>
      <c r="J172" s="25">
        <f t="shared" si="4"/>
        <v>371</v>
      </c>
      <c r="K172" s="25">
        <v>143</v>
      </c>
      <c r="L172" s="59" t="s">
        <v>51</v>
      </c>
      <c r="M172" s="60" t="s">
        <v>51</v>
      </c>
      <c r="N172" s="59" t="s">
        <v>32</v>
      </c>
      <c r="O172" s="57" t="s">
        <v>51</v>
      </c>
      <c r="P172" s="17"/>
      <c r="Q172" s="60"/>
      <c r="R172" s="104" t="s">
        <v>51</v>
      </c>
      <c r="S172" s="102"/>
      <c r="AP172" s="103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</row>
    <row r="173" spans="1:53" ht="18" customHeight="1" x14ac:dyDescent="0.35">
      <c r="A173" s="99" t="s">
        <v>177</v>
      </c>
      <c r="B173" s="2">
        <v>8.02</v>
      </c>
      <c r="C173" s="58">
        <v>20</v>
      </c>
      <c r="D173" s="58"/>
      <c r="E173" s="2" t="s">
        <v>32</v>
      </c>
      <c r="F173" s="50">
        <v>1676</v>
      </c>
      <c r="G173" s="50">
        <v>1123</v>
      </c>
      <c r="H173" s="25">
        <v>833</v>
      </c>
      <c r="I173" s="25">
        <v>452</v>
      </c>
      <c r="J173" s="25">
        <f t="shared" si="4"/>
        <v>381</v>
      </c>
      <c r="K173" s="25">
        <v>179</v>
      </c>
      <c r="L173" s="59" t="s">
        <v>51</v>
      </c>
      <c r="M173" s="60" t="s">
        <v>51</v>
      </c>
      <c r="N173" s="59" t="s">
        <v>32</v>
      </c>
      <c r="O173" s="57" t="s">
        <v>51</v>
      </c>
      <c r="P173" s="17"/>
      <c r="Q173" s="60"/>
      <c r="R173" s="104" t="s">
        <v>51</v>
      </c>
      <c r="S173" s="102"/>
      <c r="AP173" s="103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</row>
    <row r="174" spans="1:53" ht="18" customHeight="1" x14ac:dyDescent="0.35">
      <c r="A174" s="99" t="s">
        <v>178</v>
      </c>
      <c r="B174" s="2">
        <v>8.2200000000000006</v>
      </c>
      <c r="C174" s="58">
        <v>25</v>
      </c>
      <c r="D174" s="58"/>
      <c r="E174" s="2" t="s">
        <v>32</v>
      </c>
      <c r="F174" s="50">
        <v>1653</v>
      </c>
      <c r="G174" s="50">
        <v>1108</v>
      </c>
      <c r="H174" s="25">
        <v>823</v>
      </c>
      <c r="I174" s="25">
        <v>443</v>
      </c>
      <c r="J174" s="25">
        <f t="shared" si="4"/>
        <v>380</v>
      </c>
      <c r="K174" s="25">
        <v>165</v>
      </c>
      <c r="L174" s="59" t="s">
        <v>51</v>
      </c>
      <c r="M174" s="60" t="s">
        <v>51</v>
      </c>
      <c r="N174" s="59" t="s">
        <v>32</v>
      </c>
      <c r="O174" s="57" t="s">
        <v>51</v>
      </c>
      <c r="P174" s="17"/>
      <c r="Q174" s="60"/>
      <c r="R174" s="104" t="s">
        <v>51</v>
      </c>
      <c r="S174" s="102"/>
      <c r="AP174" s="103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</row>
    <row r="175" spans="1:53" ht="18" customHeight="1" x14ac:dyDescent="0.35">
      <c r="A175" s="99" t="s">
        <v>179</v>
      </c>
      <c r="B175" s="2">
        <v>8.17</v>
      </c>
      <c r="C175" s="25">
        <v>20</v>
      </c>
      <c r="D175" s="25"/>
      <c r="E175" s="2">
        <v>0.6</v>
      </c>
      <c r="F175" s="25">
        <v>1556</v>
      </c>
      <c r="G175" s="25">
        <v>1043</v>
      </c>
      <c r="H175" s="25">
        <v>833</v>
      </c>
      <c r="I175" s="25">
        <v>442</v>
      </c>
      <c r="J175" s="25">
        <f t="shared" si="4"/>
        <v>391</v>
      </c>
      <c r="K175" s="25">
        <v>172</v>
      </c>
      <c r="L175" s="59" t="s">
        <v>51</v>
      </c>
      <c r="M175" s="60" t="s">
        <v>51</v>
      </c>
      <c r="N175" s="59" t="s">
        <v>32</v>
      </c>
      <c r="O175" s="57" t="s">
        <v>51</v>
      </c>
      <c r="P175" s="17"/>
      <c r="Q175" s="60"/>
      <c r="R175" s="104" t="s">
        <v>51</v>
      </c>
      <c r="S175" s="102"/>
      <c r="AP175" s="103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</row>
    <row r="176" spans="1:53" ht="18" customHeight="1" x14ac:dyDescent="0.35">
      <c r="A176" s="99" t="s">
        <v>180</v>
      </c>
      <c r="B176" s="2">
        <v>8.36</v>
      </c>
      <c r="C176" s="25">
        <v>18</v>
      </c>
      <c r="D176" s="25"/>
      <c r="E176" s="2" t="s">
        <v>32</v>
      </c>
      <c r="F176" s="25">
        <v>1568</v>
      </c>
      <c r="G176" s="25">
        <v>1051</v>
      </c>
      <c r="H176" s="25">
        <v>830</v>
      </c>
      <c r="I176" s="25">
        <v>435</v>
      </c>
      <c r="J176" s="25">
        <f t="shared" si="4"/>
        <v>395</v>
      </c>
      <c r="K176" s="25">
        <v>161</v>
      </c>
      <c r="L176" s="59" t="s">
        <v>51</v>
      </c>
      <c r="M176" s="60" t="s">
        <v>51</v>
      </c>
      <c r="N176" s="59" t="s">
        <v>32</v>
      </c>
      <c r="O176" s="57" t="s">
        <v>51</v>
      </c>
      <c r="P176" s="17"/>
      <c r="Q176" s="60"/>
      <c r="R176" s="104" t="s">
        <v>51</v>
      </c>
      <c r="S176" s="102"/>
      <c r="AP176" s="103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</row>
    <row r="177" spans="1:53" ht="18" customHeight="1" x14ac:dyDescent="0.35">
      <c r="A177" s="99" t="s">
        <v>181</v>
      </c>
      <c r="B177" s="2">
        <v>8.3800000000000008</v>
      </c>
      <c r="C177" s="25">
        <v>20</v>
      </c>
      <c r="D177" s="25"/>
      <c r="E177" s="2">
        <v>0.5</v>
      </c>
      <c r="F177" s="25">
        <v>1625</v>
      </c>
      <c r="G177" s="25">
        <v>1089</v>
      </c>
      <c r="H177" s="25">
        <v>805</v>
      </c>
      <c r="I177" s="25">
        <v>451</v>
      </c>
      <c r="J177" s="25">
        <f t="shared" si="4"/>
        <v>354</v>
      </c>
      <c r="K177" s="25">
        <v>194</v>
      </c>
      <c r="L177" s="59" t="s">
        <v>51</v>
      </c>
      <c r="M177" s="60" t="s">
        <v>51</v>
      </c>
      <c r="N177" s="59" t="s">
        <v>32</v>
      </c>
      <c r="O177" s="57" t="s">
        <v>51</v>
      </c>
      <c r="P177" s="17"/>
      <c r="Q177" s="60"/>
      <c r="R177" s="104" t="s">
        <v>51</v>
      </c>
      <c r="S177" s="102"/>
      <c r="AP177" s="103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</row>
    <row r="178" spans="1:53" ht="18" customHeight="1" x14ac:dyDescent="0.35">
      <c r="A178" s="99" t="s">
        <v>182</v>
      </c>
      <c r="B178" s="2">
        <v>8.4600000000000009</v>
      </c>
      <c r="C178" s="25">
        <v>22</v>
      </c>
      <c r="D178" s="25"/>
      <c r="E178" s="2" t="s">
        <v>32</v>
      </c>
      <c r="F178" s="25">
        <v>1594</v>
      </c>
      <c r="G178" s="25">
        <v>1068</v>
      </c>
      <c r="H178" s="25">
        <v>804</v>
      </c>
      <c r="I178" s="25">
        <v>454</v>
      </c>
      <c r="J178" s="25">
        <f t="shared" si="4"/>
        <v>350</v>
      </c>
      <c r="K178" s="25">
        <v>151</v>
      </c>
      <c r="L178" s="59" t="s">
        <v>51</v>
      </c>
      <c r="M178" s="60" t="s">
        <v>51</v>
      </c>
      <c r="N178" s="59" t="s">
        <v>32</v>
      </c>
      <c r="O178" s="57" t="s">
        <v>51</v>
      </c>
      <c r="P178" s="17"/>
      <c r="Q178" s="60"/>
      <c r="R178" s="104" t="s">
        <v>51</v>
      </c>
      <c r="S178" s="102"/>
      <c r="AP178" s="103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</row>
    <row r="179" spans="1:53" ht="18" customHeight="1" thickBot="1" x14ac:dyDescent="0.4">
      <c r="A179" s="109" t="s">
        <v>183</v>
      </c>
      <c r="B179" s="2">
        <v>8.15</v>
      </c>
      <c r="C179" s="25">
        <v>17</v>
      </c>
      <c r="D179" s="25"/>
      <c r="E179" s="2">
        <v>0.2</v>
      </c>
      <c r="F179" s="25">
        <v>1635</v>
      </c>
      <c r="G179" s="25">
        <v>1096</v>
      </c>
      <c r="H179" s="25">
        <v>799</v>
      </c>
      <c r="I179" s="25">
        <v>445</v>
      </c>
      <c r="J179" s="25">
        <f t="shared" si="4"/>
        <v>354</v>
      </c>
      <c r="K179" s="25">
        <v>158</v>
      </c>
      <c r="L179" s="59" t="s">
        <v>51</v>
      </c>
      <c r="M179" s="60" t="s">
        <v>51</v>
      </c>
      <c r="N179" s="59" t="s">
        <v>32</v>
      </c>
      <c r="O179" s="57" t="s">
        <v>51</v>
      </c>
      <c r="P179" s="17"/>
      <c r="Q179" s="60"/>
      <c r="R179" s="104" t="s">
        <v>51</v>
      </c>
      <c r="S179" s="102"/>
      <c r="AP179" s="103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</row>
    <row r="180" spans="1:53" ht="18" customHeight="1" x14ac:dyDescent="0.35">
      <c r="A180" s="108" t="s">
        <v>184</v>
      </c>
      <c r="B180" s="1">
        <v>8.33</v>
      </c>
      <c r="C180" s="12">
        <v>18</v>
      </c>
      <c r="D180" s="12"/>
      <c r="E180" s="1">
        <v>0.5</v>
      </c>
      <c r="F180" s="85">
        <v>1614</v>
      </c>
      <c r="G180" s="85">
        <v>1082</v>
      </c>
      <c r="H180" s="76">
        <v>795</v>
      </c>
      <c r="I180" s="76">
        <v>449</v>
      </c>
      <c r="J180" s="25">
        <f>H180-I180</f>
        <v>346</v>
      </c>
      <c r="K180" s="76">
        <v>172</v>
      </c>
      <c r="L180" s="59" t="s">
        <v>51</v>
      </c>
      <c r="M180" s="60" t="s">
        <v>51</v>
      </c>
      <c r="N180" s="59" t="s">
        <v>32</v>
      </c>
      <c r="O180" s="57" t="s">
        <v>51</v>
      </c>
      <c r="P180" s="17"/>
      <c r="Q180" s="60"/>
      <c r="R180" s="104" t="s">
        <v>51</v>
      </c>
      <c r="S180" s="102"/>
      <c r="AP180" s="103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</row>
    <row r="181" spans="1:53" ht="18" customHeight="1" x14ac:dyDescent="0.35">
      <c r="A181" s="99" t="s">
        <v>185</v>
      </c>
      <c r="B181" s="2">
        <v>8.31</v>
      </c>
      <c r="C181" s="58">
        <v>30</v>
      </c>
      <c r="D181" s="58"/>
      <c r="E181" s="2">
        <v>0.5</v>
      </c>
      <c r="F181" s="50">
        <v>1576</v>
      </c>
      <c r="G181" s="25">
        <v>1056</v>
      </c>
      <c r="H181" s="25">
        <v>648</v>
      </c>
      <c r="I181" s="25">
        <v>389</v>
      </c>
      <c r="J181" s="25">
        <f>H181-I181</f>
        <v>259</v>
      </c>
      <c r="K181" s="25">
        <v>178</v>
      </c>
      <c r="L181" s="59" t="s">
        <v>51</v>
      </c>
      <c r="M181" s="60" t="s">
        <v>51</v>
      </c>
      <c r="N181" s="59" t="s">
        <v>32</v>
      </c>
      <c r="O181" s="57" t="s">
        <v>51</v>
      </c>
      <c r="P181" s="17"/>
      <c r="Q181" s="60"/>
      <c r="R181" s="104" t="s">
        <v>51</v>
      </c>
      <c r="S181" s="102"/>
      <c r="AP181" s="103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</row>
    <row r="182" spans="1:53" ht="18" customHeight="1" x14ac:dyDescent="0.35">
      <c r="A182" s="99" t="s">
        <v>186</v>
      </c>
      <c r="B182" s="2">
        <v>8.0399999999999991</v>
      </c>
      <c r="C182" s="58">
        <v>23</v>
      </c>
      <c r="D182" s="58"/>
      <c r="E182" s="2">
        <v>0.1</v>
      </c>
      <c r="F182" s="50">
        <v>1514</v>
      </c>
      <c r="G182" s="50">
        <v>1015</v>
      </c>
      <c r="H182" s="25">
        <v>702</v>
      </c>
      <c r="I182" s="25">
        <v>402</v>
      </c>
      <c r="J182" s="25">
        <f>H182-I182</f>
        <v>300</v>
      </c>
      <c r="K182" s="25">
        <v>187</v>
      </c>
      <c r="L182" s="59" t="s">
        <v>51</v>
      </c>
      <c r="M182" s="60" t="s">
        <v>51</v>
      </c>
      <c r="N182" s="59" t="s">
        <v>32</v>
      </c>
      <c r="O182" s="57" t="s">
        <v>51</v>
      </c>
      <c r="P182" s="17"/>
      <c r="Q182" s="60"/>
      <c r="R182" s="104" t="s">
        <v>51</v>
      </c>
      <c r="S182" s="102"/>
      <c r="AP182" s="103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</row>
    <row r="183" spans="1:53" ht="18" customHeight="1" x14ac:dyDescent="0.35">
      <c r="A183" s="99" t="s">
        <v>187</v>
      </c>
      <c r="B183" s="2">
        <v>8.14</v>
      </c>
      <c r="C183" s="17">
        <v>26</v>
      </c>
      <c r="D183" s="17"/>
      <c r="E183" s="2" t="s">
        <v>32</v>
      </c>
      <c r="F183" s="50">
        <v>1405</v>
      </c>
      <c r="G183" s="50">
        <v>942</v>
      </c>
      <c r="H183" s="25">
        <v>734</v>
      </c>
      <c r="I183" s="25">
        <v>410</v>
      </c>
      <c r="J183" s="25">
        <f>H183-I183</f>
        <v>324</v>
      </c>
      <c r="K183" s="25">
        <v>195</v>
      </c>
      <c r="L183" s="59" t="s">
        <v>51</v>
      </c>
      <c r="M183" s="60" t="s">
        <v>51</v>
      </c>
      <c r="N183" s="59" t="s">
        <v>32</v>
      </c>
      <c r="O183" s="57" t="s">
        <v>51</v>
      </c>
      <c r="P183" s="17"/>
      <c r="Q183" s="60"/>
      <c r="R183" s="104" t="s">
        <v>51</v>
      </c>
      <c r="S183" s="102"/>
      <c r="AP183" s="103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</row>
    <row r="184" spans="1:53" ht="18" customHeight="1" x14ac:dyDescent="0.35">
      <c r="A184" s="99" t="s">
        <v>188</v>
      </c>
      <c r="B184" s="2">
        <v>8.1300000000000008</v>
      </c>
      <c r="C184" s="17">
        <v>22</v>
      </c>
      <c r="D184" s="17"/>
      <c r="E184" s="2" t="s">
        <v>32</v>
      </c>
      <c r="F184" s="50">
        <v>1416</v>
      </c>
      <c r="G184" s="50">
        <v>949</v>
      </c>
      <c r="H184" s="25">
        <v>756</v>
      </c>
      <c r="I184" s="25">
        <v>428</v>
      </c>
      <c r="J184" s="25">
        <f>H184-I184</f>
        <v>328</v>
      </c>
      <c r="K184" s="25">
        <v>178</v>
      </c>
      <c r="L184" s="59" t="s">
        <v>51</v>
      </c>
      <c r="M184" s="60" t="s">
        <v>51</v>
      </c>
      <c r="N184" s="59" t="s">
        <v>32</v>
      </c>
      <c r="O184" s="57" t="s">
        <v>51</v>
      </c>
      <c r="P184" s="17"/>
      <c r="Q184" s="60"/>
      <c r="R184" s="104" t="s">
        <v>51</v>
      </c>
      <c r="S184" s="102"/>
      <c r="AP184" s="103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</row>
    <row r="185" spans="1:53" ht="18" customHeight="1" x14ac:dyDescent="0.35">
      <c r="A185" s="99" t="s">
        <v>189</v>
      </c>
      <c r="B185" s="118" t="s">
        <v>190</v>
      </c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21"/>
      <c r="S185" s="102"/>
      <c r="AP185" s="103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</row>
    <row r="186" spans="1:53" ht="18" customHeight="1" x14ac:dyDescent="0.35">
      <c r="A186" s="99" t="s">
        <v>191</v>
      </c>
      <c r="B186" s="118" t="s">
        <v>190</v>
      </c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21"/>
      <c r="S186" s="102"/>
      <c r="AP186" s="103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</row>
    <row r="187" spans="1:53" ht="18" customHeight="1" x14ac:dyDescent="0.35">
      <c r="A187" s="99" t="s">
        <v>192</v>
      </c>
      <c r="B187" s="2">
        <v>7.61</v>
      </c>
      <c r="C187" s="58">
        <v>26</v>
      </c>
      <c r="D187" s="58"/>
      <c r="E187" s="2">
        <v>0.6</v>
      </c>
      <c r="F187" s="17">
        <v>1426</v>
      </c>
      <c r="G187" s="17">
        <v>956</v>
      </c>
      <c r="H187" s="17">
        <v>729</v>
      </c>
      <c r="I187" s="17">
        <v>399</v>
      </c>
      <c r="J187" s="17">
        <f t="shared" ref="J187:J250" si="5">H187-I187</f>
        <v>330</v>
      </c>
      <c r="K187" s="17">
        <v>195</v>
      </c>
      <c r="L187" s="59">
        <v>3.1</v>
      </c>
      <c r="M187" s="60" t="s">
        <v>51</v>
      </c>
      <c r="N187" s="59" t="s">
        <v>32</v>
      </c>
      <c r="O187" s="57" t="s">
        <v>51</v>
      </c>
      <c r="P187" s="17"/>
      <c r="Q187" s="60"/>
      <c r="R187" s="104">
        <v>28</v>
      </c>
      <c r="S187" s="102"/>
      <c r="AP187" s="103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</row>
    <row r="188" spans="1:53" ht="18" customHeight="1" x14ac:dyDescent="0.35">
      <c r="A188" s="99" t="s">
        <v>193</v>
      </c>
      <c r="B188" s="2">
        <v>7.96</v>
      </c>
      <c r="C188" s="58">
        <v>16</v>
      </c>
      <c r="D188" s="58"/>
      <c r="E188" s="2">
        <v>0.1</v>
      </c>
      <c r="F188" s="50">
        <v>1515</v>
      </c>
      <c r="G188" s="50">
        <v>1015</v>
      </c>
      <c r="H188" s="25">
        <v>739</v>
      </c>
      <c r="I188" s="25">
        <v>418</v>
      </c>
      <c r="J188" s="17">
        <f t="shared" si="5"/>
        <v>321</v>
      </c>
      <c r="K188" s="25">
        <v>178</v>
      </c>
      <c r="L188" s="59">
        <v>3.4</v>
      </c>
      <c r="M188" s="60" t="s">
        <v>51</v>
      </c>
      <c r="N188" s="59" t="s">
        <v>32</v>
      </c>
      <c r="O188" s="57" t="s">
        <v>51</v>
      </c>
      <c r="P188" s="17"/>
      <c r="Q188" s="60"/>
      <c r="R188" s="104">
        <v>24</v>
      </c>
      <c r="S188" s="102"/>
      <c r="AP188" s="103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</row>
    <row r="189" spans="1:53" ht="18" customHeight="1" x14ac:dyDescent="0.35">
      <c r="A189" s="99" t="s">
        <v>194</v>
      </c>
      <c r="B189" s="2">
        <v>7.91</v>
      </c>
      <c r="C189" s="58">
        <v>23</v>
      </c>
      <c r="D189" s="58"/>
      <c r="E189" s="2" t="s">
        <v>32</v>
      </c>
      <c r="F189" s="50">
        <v>1444</v>
      </c>
      <c r="G189" s="50">
        <v>968</v>
      </c>
      <c r="H189" s="25">
        <v>748</v>
      </c>
      <c r="I189" s="25">
        <v>422</v>
      </c>
      <c r="J189" s="17">
        <f t="shared" si="5"/>
        <v>326</v>
      </c>
      <c r="K189" s="25">
        <v>204</v>
      </c>
      <c r="L189" s="59">
        <v>3.2</v>
      </c>
      <c r="M189" s="60" t="s">
        <v>51</v>
      </c>
      <c r="N189" s="59" t="s">
        <v>32</v>
      </c>
      <c r="O189" s="57" t="s">
        <v>51</v>
      </c>
      <c r="P189" s="17"/>
      <c r="Q189" s="60"/>
      <c r="R189" s="104">
        <v>27</v>
      </c>
      <c r="S189" s="102"/>
      <c r="AP189" s="103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</row>
    <row r="190" spans="1:53" ht="18" customHeight="1" x14ac:dyDescent="0.35">
      <c r="A190" s="99" t="s">
        <v>195</v>
      </c>
      <c r="B190" s="2">
        <v>7.45</v>
      </c>
      <c r="C190" s="58">
        <v>28</v>
      </c>
      <c r="D190" s="58"/>
      <c r="E190" s="2" t="s">
        <v>32</v>
      </c>
      <c r="F190" s="50">
        <v>1549</v>
      </c>
      <c r="G190" s="50">
        <v>1038</v>
      </c>
      <c r="H190" s="25">
        <v>712</v>
      </c>
      <c r="I190" s="25">
        <v>405</v>
      </c>
      <c r="J190" s="17">
        <f t="shared" si="5"/>
        <v>307</v>
      </c>
      <c r="K190" s="25">
        <v>213</v>
      </c>
      <c r="L190" s="59">
        <v>3.1</v>
      </c>
      <c r="M190" s="60" t="s">
        <v>51</v>
      </c>
      <c r="N190" s="59" t="s">
        <v>32</v>
      </c>
      <c r="O190" s="57" t="s">
        <v>51</v>
      </c>
      <c r="P190" s="17"/>
      <c r="Q190" s="60"/>
      <c r="R190" s="104">
        <v>22</v>
      </c>
      <c r="S190" s="102"/>
      <c r="AP190" s="103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</row>
    <row r="191" spans="1:53" ht="18" customHeight="1" x14ac:dyDescent="0.35">
      <c r="A191" s="99" t="s">
        <v>196</v>
      </c>
      <c r="B191" s="2">
        <v>8.2200000000000006</v>
      </c>
      <c r="C191" s="58">
        <v>20</v>
      </c>
      <c r="D191" s="58"/>
      <c r="E191" s="2" t="s">
        <v>32</v>
      </c>
      <c r="F191" s="50">
        <v>1450</v>
      </c>
      <c r="G191" s="50">
        <v>972</v>
      </c>
      <c r="H191" s="25">
        <v>728</v>
      </c>
      <c r="I191" s="25">
        <v>392</v>
      </c>
      <c r="J191" s="25">
        <f t="shared" si="5"/>
        <v>336</v>
      </c>
      <c r="K191" s="25">
        <v>195</v>
      </c>
      <c r="L191" s="59">
        <v>3.2</v>
      </c>
      <c r="M191" s="60" t="s">
        <v>51</v>
      </c>
      <c r="N191" s="59" t="s">
        <v>32</v>
      </c>
      <c r="O191" s="57" t="s">
        <v>51</v>
      </c>
      <c r="P191" s="17"/>
      <c r="Q191" s="60"/>
      <c r="R191" s="104">
        <v>25</v>
      </c>
      <c r="S191" s="102"/>
      <c r="AP191" s="103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</row>
    <row r="192" spans="1:53" ht="18" customHeight="1" x14ac:dyDescent="0.35">
      <c r="A192" s="99" t="s">
        <v>197</v>
      </c>
      <c r="B192" s="2">
        <v>8.39</v>
      </c>
      <c r="C192" s="58">
        <v>23</v>
      </c>
      <c r="D192" s="58"/>
      <c r="E192" s="2" t="s">
        <v>32</v>
      </c>
      <c r="F192" s="50">
        <v>1574</v>
      </c>
      <c r="G192" s="50">
        <v>1055</v>
      </c>
      <c r="H192" s="25">
        <v>651</v>
      </c>
      <c r="I192" s="25">
        <v>374</v>
      </c>
      <c r="J192" s="25">
        <f t="shared" si="5"/>
        <v>277</v>
      </c>
      <c r="K192" s="25">
        <v>204</v>
      </c>
      <c r="L192" s="59">
        <v>3</v>
      </c>
      <c r="M192" s="60" t="s">
        <v>51</v>
      </c>
      <c r="N192" s="59" t="s">
        <v>32</v>
      </c>
      <c r="O192" s="57" t="s">
        <v>51</v>
      </c>
      <c r="P192" s="17"/>
      <c r="Q192" s="60"/>
      <c r="R192" s="104">
        <v>27</v>
      </c>
      <c r="S192" s="102"/>
      <c r="AP192" s="103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</row>
    <row r="193" spans="1:53" ht="18" customHeight="1" x14ac:dyDescent="0.35">
      <c r="A193" s="99" t="s">
        <v>198</v>
      </c>
      <c r="B193" s="2">
        <v>8.0500000000000007</v>
      </c>
      <c r="C193" s="58">
        <v>21</v>
      </c>
      <c r="D193" s="58"/>
      <c r="E193" s="2">
        <v>0.1</v>
      </c>
      <c r="F193" s="50">
        <v>1541</v>
      </c>
      <c r="G193" s="50">
        <v>1033</v>
      </c>
      <c r="H193" s="50">
        <v>673</v>
      </c>
      <c r="I193" s="25">
        <v>387</v>
      </c>
      <c r="J193" s="25">
        <f t="shared" si="5"/>
        <v>286</v>
      </c>
      <c r="K193" s="25">
        <v>187</v>
      </c>
      <c r="L193" s="59">
        <v>3.3</v>
      </c>
      <c r="M193" s="60" t="s">
        <v>51</v>
      </c>
      <c r="N193" s="59" t="s">
        <v>32</v>
      </c>
      <c r="O193" s="57" t="s">
        <v>51</v>
      </c>
      <c r="P193" s="17"/>
      <c r="Q193" s="60"/>
      <c r="R193" s="104">
        <v>29</v>
      </c>
      <c r="S193" s="102"/>
      <c r="AP193" s="103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</row>
    <row r="194" spans="1:53" ht="18" customHeight="1" x14ac:dyDescent="0.35">
      <c r="A194" s="99" t="s">
        <v>199</v>
      </c>
      <c r="B194" s="2">
        <v>8.23</v>
      </c>
      <c r="C194" s="58">
        <v>29</v>
      </c>
      <c r="D194" s="58"/>
      <c r="E194" s="2">
        <v>0.3</v>
      </c>
      <c r="F194" s="50">
        <v>1626</v>
      </c>
      <c r="G194" s="50">
        <v>1090</v>
      </c>
      <c r="H194" s="25">
        <v>704</v>
      </c>
      <c r="I194" s="25">
        <v>396</v>
      </c>
      <c r="J194" s="25">
        <f t="shared" si="5"/>
        <v>308</v>
      </c>
      <c r="K194" s="25">
        <v>204</v>
      </c>
      <c r="L194" s="59">
        <v>3.6</v>
      </c>
      <c r="M194" s="60"/>
      <c r="N194" s="59" t="s">
        <v>32</v>
      </c>
      <c r="O194" s="57"/>
      <c r="P194" s="17"/>
      <c r="Q194" s="60"/>
      <c r="R194" s="104">
        <v>32</v>
      </c>
      <c r="S194" s="102"/>
      <c r="AP194" s="103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</row>
    <row r="195" spans="1:53" ht="18" customHeight="1" x14ac:dyDescent="0.35">
      <c r="A195" s="99" t="s">
        <v>200</v>
      </c>
      <c r="B195" s="2">
        <v>8.16</v>
      </c>
      <c r="C195" s="58">
        <v>27</v>
      </c>
      <c r="D195" s="58"/>
      <c r="E195" s="2" t="s">
        <v>32</v>
      </c>
      <c r="F195" s="50">
        <v>1710</v>
      </c>
      <c r="G195" s="50">
        <v>1146</v>
      </c>
      <c r="H195" s="25">
        <v>717</v>
      </c>
      <c r="I195" s="25">
        <v>405</v>
      </c>
      <c r="J195" s="25">
        <f t="shared" si="5"/>
        <v>312</v>
      </c>
      <c r="K195" s="25">
        <v>213</v>
      </c>
      <c r="L195" s="59">
        <v>3.8</v>
      </c>
      <c r="M195" s="60" t="s">
        <v>51</v>
      </c>
      <c r="N195" s="59" t="s">
        <v>32</v>
      </c>
      <c r="O195" s="57"/>
      <c r="P195" s="17"/>
      <c r="Q195" s="60"/>
      <c r="R195" s="104">
        <v>30</v>
      </c>
      <c r="S195" s="102"/>
      <c r="AP195" s="103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</row>
    <row r="196" spans="1:53" ht="18" customHeight="1" x14ac:dyDescent="0.35">
      <c r="A196" s="99" t="s">
        <v>201</v>
      </c>
      <c r="B196" s="2">
        <v>7.88</v>
      </c>
      <c r="C196" s="58">
        <v>20</v>
      </c>
      <c r="D196" s="58"/>
      <c r="E196" s="2" t="s">
        <v>32</v>
      </c>
      <c r="F196" s="50">
        <v>1759</v>
      </c>
      <c r="G196" s="50">
        <v>1179</v>
      </c>
      <c r="H196" s="25">
        <v>708</v>
      </c>
      <c r="I196" s="25">
        <v>392</v>
      </c>
      <c r="J196" s="25">
        <f t="shared" si="5"/>
        <v>316</v>
      </c>
      <c r="K196" s="25">
        <v>195</v>
      </c>
      <c r="L196" s="59">
        <v>3.2</v>
      </c>
      <c r="M196" s="60" t="s">
        <v>51</v>
      </c>
      <c r="N196" s="59" t="s">
        <v>32</v>
      </c>
      <c r="O196" s="57"/>
      <c r="P196" s="17"/>
      <c r="Q196" s="60"/>
      <c r="R196" s="104">
        <v>28</v>
      </c>
      <c r="S196" s="102"/>
      <c r="AP196" s="103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</row>
    <row r="197" spans="1:53" ht="18" customHeight="1" x14ac:dyDescent="0.35">
      <c r="A197" s="99" t="s">
        <v>202</v>
      </c>
      <c r="B197" s="2">
        <v>8.23</v>
      </c>
      <c r="C197" s="58">
        <v>33</v>
      </c>
      <c r="D197" s="58"/>
      <c r="E197" s="2" t="s">
        <v>32</v>
      </c>
      <c r="F197" s="50">
        <v>1665</v>
      </c>
      <c r="G197" s="50">
        <v>1116</v>
      </c>
      <c r="H197" s="25">
        <v>704</v>
      </c>
      <c r="I197" s="25">
        <v>387</v>
      </c>
      <c r="J197" s="25">
        <f t="shared" si="5"/>
        <v>317</v>
      </c>
      <c r="K197" s="25">
        <v>187</v>
      </c>
      <c r="L197" s="59">
        <v>3</v>
      </c>
      <c r="M197" s="60" t="s">
        <v>51</v>
      </c>
      <c r="N197" s="59" t="s">
        <v>32</v>
      </c>
      <c r="O197" s="57"/>
      <c r="P197" s="17"/>
      <c r="Q197" s="60"/>
      <c r="R197" s="104">
        <v>25</v>
      </c>
      <c r="S197" s="102"/>
      <c r="AP197" s="103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</row>
    <row r="198" spans="1:53" ht="18" customHeight="1" x14ac:dyDescent="0.35">
      <c r="A198" s="99" t="s">
        <v>203</v>
      </c>
      <c r="B198" s="2">
        <v>7.95</v>
      </c>
      <c r="C198" s="25">
        <v>22</v>
      </c>
      <c r="D198" s="25"/>
      <c r="E198" s="2" t="s">
        <v>32</v>
      </c>
      <c r="F198" s="25">
        <v>1759</v>
      </c>
      <c r="G198" s="25">
        <v>1179</v>
      </c>
      <c r="H198" s="25">
        <v>708</v>
      </c>
      <c r="I198" s="25">
        <v>374</v>
      </c>
      <c r="J198" s="25">
        <f t="shared" si="5"/>
        <v>334</v>
      </c>
      <c r="K198" s="25">
        <v>187</v>
      </c>
      <c r="L198" s="59">
        <v>3.1</v>
      </c>
      <c r="M198" s="60" t="s">
        <v>51</v>
      </c>
      <c r="N198" s="59" t="s">
        <v>32</v>
      </c>
      <c r="O198" s="57"/>
      <c r="P198" s="17"/>
      <c r="Q198" s="60"/>
      <c r="R198" s="104">
        <v>26</v>
      </c>
      <c r="S198" s="102"/>
      <c r="AP198" s="103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</row>
    <row r="199" spans="1:53" ht="18" customHeight="1" x14ac:dyDescent="0.35">
      <c r="A199" s="99" t="s">
        <v>204</v>
      </c>
      <c r="B199" s="2">
        <v>7.81</v>
      </c>
      <c r="C199" s="25">
        <v>22</v>
      </c>
      <c r="D199" s="25"/>
      <c r="E199" s="2" t="s">
        <v>32</v>
      </c>
      <c r="F199" s="25">
        <v>1781</v>
      </c>
      <c r="G199" s="25">
        <v>1193</v>
      </c>
      <c r="H199" s="25">
        <v>874</v>
      </c>
      <c r="I199" s="25">
        <v>506</v>
      </c>
      <c r="J199" s="25">
        <f t="shared" si="5"/>
        <v>368</v>
      </c>
      <c r="K199" s="25">
        <v>204</v>
      </c>
      <c r="L199" s="59">
        <v>3.3</v>
      </c>
      <c r="M199" s="60" t="s">
        <v>51</v>
      </c>
      <c r="N199" s="59" t="s">
        <v>32</v>
      </c>
      <c r="O199" s="57"/>
      <c r="P199" s="17"/>
      <c r="Q199" s="60"/>
      <c r="R199" s="104">
        <v>23</v>
      </c>
      <c r="S199" s="102"/>
      <c r="AP199" s="103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</row>
    <row r="200" spans="1:53" ht="18" customHeight="1" x14ac:dyDescent="0.35">
      <c r="A200" s="99" t="s">
        <v>205</v>
      </c>
      <c r="B200" s="2">
        <v>7.79</v>
      </c>
      <c r="C200" s="25">
        <v>18</v>
      </c>
      <c r="D200" s="25"/>
      <c r="E200" s="2" t="s">
        <v>32</v>
      </c>
      <c r="F200" s="25">
        <v>1876</v>
      </c>
      <c r="G200" s="25">
        <v>1258</v>
      </c>
      <c r="H200" s="25">
        <v>897</v>
      </c>
      <c r="I200" s="25">
        <v>515</v>
      </c>
      <c r="J200" s="25">
        <f t="shared" si="5"/>
        <v>382</v>
      </c>
      <c r="K200" s="25">
        <v>192</v>
      </c>
      <c r="L200" s="59">
        <v>3.2</v>
      </c>
      <c r="M200" s="60" t="s">
        <v>51</v>
      </c>
      <c r="N200" s="59" t="s">
        <v>32</v>
      </c>
      <c r="O200" s="57"/>
      <c r="P200" s="17"/>
      <c r="Q200" s="60"/>
      <c r="R200" s="104">
        <v>19</v>
      </c>
      <c r="S200" s="102"/>
      <c r="AP200" s="103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</row>
    <row r="201" spans="1:53" ht="18" customHeight="1" x14ac:dyDescent="0.35">
      <c r="A201" s="99" t="s">
        <v>206</v>
      </c>
      <c r="B201" s="2">
        <v>8.0399999999999991</v>
      </c>
      <c r="C201" s="25">
        <v>21</v>
      </c>
      <c r="D201" s="25"/>
      <c r="E201" s="2" t="s">
        <v>32</v>
      </c>
      <c r="F201" s="25">
        <v>1826</v>
      </c>
      <c r="G201" s="25">
        <v>1224</v>
      </c>
      <c r="H201" s="25">
        <v>920</v>
      </c>
      <c r="I201" s="25">
        <v>524</v>
      </c>
      <c r="J201" s="25">
        <f t="shared" si="5"/>
        <v>396</v>
      </c>
      <c r="K201" s="25">
        <v>199</v>
      </c>
      <c r="L201" s="59">
        <v>3.4</v>
      </c>
      <c r="M201" s="60" t="s">
        <v>51</v>
      </c>
      <c r="N201" s="59" t="s">
        <v>32</v>
      </c>
      <c r="O201" s="57"/>
      <c r="P201" s="17"/>
      <c r="Q201" s="60"/>
      <c r="R201" s="104">
        <v>21</v>
      </c>
      <c r="S201" s="102"/>
      <c r="AP201" s="103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</row>
    <row r="202" spans="1:53" ht="18" customHeight="1" x14ac:dyDescent="0.35">
      <c r="A202" s="99" t="s">
        <v>207</v>
      </c>
      <c r="B202" s="2">
        <v>8.1</v>
      </c>
      <c r="C202" s="25">
        <v>19</v>
      </c>
      <c r="D202" s="25"/>
      <c r="E202" s="2" t="s">
        <v>32</v>
      </c>
      <c r="F202" s="25">
        <v>1776</v>
      </c>
      <c r="G202" s="25">
        <v>1190</v>
      </c>
      <c r="H202" s="25">
        <v>911</v>
      </c>
      <c r="I202" s="25">
        <v>511</v>
      </c>
      <c r="J202" s="25">
        <f t="shared" si="5"/>
        <v>400</v>
      </c>
      <c r="K202" s="25">
        <v>185</v>
      </c>
      <c r="L202" s="59">
        <v>3.2</v>
      </c>
      <c r="M202" s="60" t="s">
        <v>51</v>
      </c>
      <c r="N202" s="59" t="s">
        <v>32</v>
      </c>
      <c r="O202" s="57"/>
      <c r="P202" s="17"/>
      <c r="Q202" s="60"/>
      <c r="R202" s="104">
        <v>18</v>
      </c>
      <c r="S202" s="102"/>
      <c r="AP202" s="103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</row>
    <row r="203" spans="1:53" ht="18" customHeight="1" x14ac:dyDescent="0.35">
      <c r="A203" s="70" t="s">
        <v>208</v>
      </c>
      <c r="B203" s="2">
        <v>8.39</v>
      </c>
      <c r="C203" s="25">
        <v>22</v>
      </c>
      <c r="D203" s="25"/>
      <c r="E203" s="2">
        <v>0.5</v>
      </c>
      <c r="F203" s="25">
        <v>1832</v>
      </c>
      <c r="G203" s="25">
        <v>1228</v>
      </c>
      <c r="H203" s="25">
        <v>925</v>
      </c>
      <c r="I203" s="25">
        <v>520</v>
      </c>
      <c r="J203" s="25">
        <f t="shared" si="5"/>
        <v>405</v>
      </c>
      <c r="K203" s="25">
        <v>178</v>
      </c>
      <c r="L203" s="59">
        <v>3.4</v>
      </c>
      <c r="M203" s="60" t="s">
        <v>51</v>
      </c>
      <c r="N203" s="59" t="s">
        <v>32</v>
      </c>
      <c r="O203" s="57"/>
      <c r="P203" s="25"/>
      <c r="Q203" s="60"/>
      <c r="R203" s="90">
        <v>20</v>
      </c>
      <c r="S203" s="102"/>
      <c r="AP203" s="103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</row>
    <row r="204" spans="1:53" ht="18" customHeight="1" thickBot="1" x14ac:dyDescent="0.4">
      <c r="A204" s="109" t="s">
        <v>209</v>
      </c>
      <c r="B204" s="2">
        <v>8.1999999999999993</v>
      </c>
      <c r="C204" s="25">
        <v>23</v>
      </c>
      <c r="D204" s="25"/>
      <c r="E204" s="2">
        <v>0.3</v>
      </c>
      <c r="F204" s="25">
        <v>1916</v>
      </c>
      <c r="G204" s="25">
        <v>1284</v>
      </c>
      <c r="H204" s="25">
        <v>879</v>
      </c>
      <c r="I204" s="25">
        <v>460</v>
      </c>
      <c r="J204" s="25">
        <f t="shared" si="5"/>
        <v>419</v>
      </c>
      <c r="K204" s="25">
        <v>151</v>
      </c>
      <c r="L204" s="59">
        <v>3.1</v>
      </c>
      <c r="M204" s="60" t="s">
        <v>51</v>
      </c>
      <c r="N204" s="59" t="s">
        <v>32</v>
      </c>
      <c r="O204" s="57"/>
      <c r="P204" s="25"/>
      <c r="Q204" s="60"/>
      <c r="R204" s="90">
        <v>21</v>
      </c>
      <c r="S204" s="102"/>
      <c r="AP204" s="103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</row>
    <row r="205" spans="1:53" ht="18" customHeight="1" x14ac:dyDescent="0.35">
      <c r="A205" s="108" t="s">
        <v>236</v>
      </c>
      <c r="B205" s="1">
        <v>8.2100000000000009</v>
      </c>
      <c r="C205" s="12">
        <v>15</v>
      </c>
      <c r="D205" s="12"/>
      <c r="E205" s="1">
        <v>0.2</v>
      </c>
      <c r="F205" s="85">
        <v>1992</v>
      </c>
      <c r="G205" s="85">
        <v>1335</v>
      </c>
      <c r="H205" s="76">
        <v>630</v>
      </c>
      <c r="I205" s="76">
        <v>331</v>
      </c>
      <c r="J205" s="25">
        <f t="shared" si="5"/>
        <v>299</v>
      </c>
      <c r="K205" s="76">
        <v>197</v>
      </c>
      <c r="L205" s="59">
        <v>4.2</v>
      </c>
      <c r="M205" s="60" t="s">
        <v>51</v>
      </c>
      <c r="N205" s="59" t="s">
        <v>32</v>
      </c>
      <c r="O205" s="57" t="s">
        <v>51</v>
      </c>
      <c r="P205" s="17"/>
      <c r="Q205" s="60"/>
      <c r="R205" s="104" t="s">
        <v>51</v>
      </c>
      <c r="S205" s="102"/>
      <c r="AP205" s="103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</row>
    <row r="206" spans="1:53" ht="18" customHeight="1" x14ac:dyDescent="0.35">
      <c r="A206" s="99" t="s">
        <v>237</v>
      </c>
      <c r="B206" s="2">
        <v>8.2100000000000009</v>
      </c>
      <c r="C206" s="58">
        <v>19</v>
      </c>
      <c r="D206" s="58"/>
      <c r="E206" s="2">
        <v>0.3</v>
      </c>
      <c r="F206" s="50">
        <v>1867</v>
      </c>
      <c r="G206" s="25">
        <v>1252</v>
      </c>
      <c r="H206" s="25">
        <v>607</v>
      </c>
      <c r="I206" s="25">
        <v>322</v>
      </c>
      <c r="J206" s="25">
        <f t="shared" si="5"/>
        <v>285</v>
      </c>
      <c r="K206" s="25">
        <v>181</v>
      </c>
      <c r="L206" s="59">
        <v>4.3</v>
      </c>
      <c r="M206" s="60" t="s">
        <v>51</v>
      </c>
      <c r="N206" s="59" t="s">
        <v>51</v>
      </c>
      <c r="O206" s="57"/>
      <c r="P206" s="17"/>
      <c r="Q206" s="60"/>
      <c r="R206" s="104">
        <v>28</v>
      </c>
      <c r="S206" s="102"/>
      <c r="AP206" s="103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</row>
    <row r="207" spans="1:53" ht="18" customHeight="1" x14ac:dyDescent="0.35">
      <c r="A207" s="99" t="s">
        <v>238</v>
      </c>
      <c r="B207" s="2">
        <v>7.29</v>
      </c>
      <c r="C207" s="58">
        <v>16</v>
      </c>
      <c r="D207" s="58"/>
      <c r="E207" s="2" t="s">
        <v>32</v>
      </c>
      <c r="F207" s="50">
        <v>1956</v>
      </c>
      <c r="G207" s="50">
        <v>1311</v>
      </c>
      <c r="H207" s="25">
        <v>639</v>
      </c>
      <c r="I207" s="25">
        <v>363</v>
      </c>
      <c r="J207" s="25">
        <f t="shared" si="5"/>
        <v>276</v>
      </c>
      <c r="K207" s="25">
        <v>187</v>
      </c>
      <c r="L207" s="59">
        <v>4.0999999999999996</v>
      </c>
      <c r="M207" s="60" t="s">
        <v>51</v>
      </c>
      <c r="N207" s="59" t="s">
        <v>51</v>
      </c>
      <c r="O207" s="57" t="s">
        <v>51</v>
      </c>
      <c r="P207" s="17"/>
      <c r="Q207" s="60"/>
      <c r="R207" s="104">
        <v>24</v>
      </c>
      <c r="S207" s="102"/>
      <c r="AP207" s="103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</row>
    <row r="208" spans="1:53" ht="18" customHeight="1" x14ac:dyDescent="0.35">
      <c r="A208" s="99" t="s">
        <v>239</v>
      </c>
      <c r="B208" s="2">
        <v>8.5299999999999994</v>
      </c>
      <c r="C208" s="17">
        <v>26</v>
      </c>
      <c r="D208" s="17"/>
      <c r="E208" s="2" t="s">
        <v>32</v>
      </c>
      <c r="F208" s="50">
        <v>1988</v>
      </c>
      <c r="G208" s="50">
        <v>1332</v>
      </c>
      <c r="H208" s="25">
        <v>653</v>
      </c>
      <c r="I208" s="25">
        <v>368</v>
      </c>
      <c r="J208" s="25">
        <f t="shared" si="5"/>
        <v>285</v>
      </c>
      <c r="K208" s="25">
        <v>181</v>
      </c>
      <c r="L208" s="59">
        <v>4.0999999999999996</v>
      </c>
      <c r="M208" s="60" t="s">
        <v>51</v>
      </c>
      <c r="N208" s="59" t="s">
        <v>51</v>
      </c>
      <c r="O208" s="57" t="s">
        <v>51</v>
      </c>
      <c r="P208" s="17"/>
      <c r="Q208" s="60"/>
      <c r="R208" s="104">
        <v>22</v>
      </c>
      <c r="S208" s="102"/>
      <c r="AP208" s="103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</row>
    <row r="209" spans="1:53" ht="18" customHeight="1" x14ac:dyDescent="0.35">
      <c r="A209" s="99" t="s">
        <v>240</v>
      </c>
      <c r="B209" s="2">
        <v>8.3800000000000008</v>
      </c>
      <c r="C209" s="17">
        <v>18</v>
      </c>
      <c r="D209" s="17"/>
      <c r="E209" s="2" t="s">
        <v>32</v>
      </c>
      <c r="F209" s="50">
        <v>2027</v>
      </c>
      <c r="G209" s="50">
        <v>1358</v>
      </c>
      <c r="H209" s="25">
        <v>644</v>
      </c>
      <c r="I209" s="25">
        <v>377</v>
      </c>
      <c r="J209" s="25">
        <f t="shared" si="5"/>
        <v>267</v>
      </c>
      <c r="K209" s="25">
        <v>197</v>
      </c>
      <c r="L209" s="59">
        <v>4.4000000000000004</v>
      </c>
      <c r="M209" s="60" t="s">
        <v>51</v>
      </c>
      <c r="N209" s="59" t="s">
        <v>51</v>
      </c>
      <c r="O209" s="57" t="s">
        <v>51</v>
      </c>
      <c r="P209" s="17"/>
      <c r="Q209" s="60"/>
      <c r="R209" s="104">
        <v>24</v>
      </c>
      <c r="S209" s="102"/>
      <c r="AP209" s="103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</row>
    <row r="210" spans="1:53" ht="18" customHeight="1" x14ac:dyDescent="0.35">
      <c r="A210" s="99" t="s">
        <v>241</v>
      </c>
      <c r="B210" s="2">
        <v>8.4600000000000009</v>
      </c>
      <c r="C210" s="17">
        <v>20</v>
      </c>
      <c r="D210" s="17"/>
      <c r="E210" s="2" t="s">
        <v>32</v>
      </c>
      <c r="F210" s="50">
        <v>2070</v>
      </c>
      <c r="G210" s="50">
        <v>1387</v>
      </c>
      <c r="H210" s="25">
        <v>704</v>
      </c>
      <c r="I210" s="25">
        <v>382</v>
      </c>
      <c r="J210" s="25">
        <f t="shared" si="5"/>
        <v>322</v>
      </c>
      <c r="K210" s="25">
        <v>197</v>
      </c>
      <c r="L210" s="59">
        <v>4.3</v>
      </c>
      <c r="M210" s="60" t="s">
        <v>51</v>
      </c>
      <c r="N210" s="59" t="s">
        <v>51</v>
      </c>
      <c r="O210" s="57" t="s">
        <v>51</v>
      </c>
      <c r="P210" s="17"/>
      <c r="Q210" s="60"/>
      <c r="R210" s="104">
        <v>26</v>
      </c>
      <c r="S210" s="102"/>
      <c r="AP210" s="103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</row>
    <row r="211" spans="1:53" ht="18" customHeight="1" x14ac:dyDescent="0.35">
      <c r="A211" s="99" t="s">
        <v>242</v>
      </c>
      <c r="B211" s="2">
        <v>8.41</v>
      </c>
      <c r="C211" s="17">
        <v>25</v>
      </c>
      <c r="D211" s="17"/>
      <c r="E211" s="2">
        <v>0.1</v>
      </c>
      <c r="F211" s="50">
        <v>2140</v>
      </c>
      <c r="G211" s="50">
        <v>1434</v>
      </c>
      <c r="H211" s="25">
        <v>736</v>
      </c>
      <c r="I211" s="25">
        <v>432</v>
      </c>
      <c r="J211" s="25">
        <f t="shared" si="5"/>
        <v>304</v>
      </c>
      <c r="K211" s="25">
        <v>205</v>
      </c>
      <c r="L211" s="59">
        <v>4.2</v>
      </c>
      <c r="M211" s="60" t="s">
        <v>51</v>
      </c>
      <c r="N211" s="59" t="s">
        <v>51</v>
      </c>
      <c r="O211" s="57" t="s">
        <v>51</v>
      </c>
      <c r="P211" s="17"/>
      <c r="Q211" s="60"/>
      <c r="R211" s="104">
        <v>22</v>
      </c>
      <c r="S211" s="102"/>
      <c r="AP211" s="103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</row>
    <row r="212" spans="1:53" ht="18" customHeight="1" x14ac:dyDescent="0.35">
      <c r="A212" s="99" t="s">
        <v>243</v>
      </c>
      <c r="B212" s="2">
        <v>8.65</v>
      </c>
      <c r="C212" s="17">
        <v>21</v>
      </c>
      <c r="D212" s="17"/>
      <c r="E212" s="2">
        <v>0.4</v>
      </c>
      <c r="F212" s="50">
        <v>2124</v>
      </c>
      <c r="G212" s="50">
        <v>1422</v>
      </c>
      <c r="H212" s="25">
        <v>782</v>
      </c>
      <c r="I212" s="25">
        <v>423</v>
      </c>
      <c r="J212" s="25">
        <f t="shared" si="5"/>
        <v>359</v>
      </c>
      <c r="K212" s="25">
        <v>197</v>
      </c>
      <c r="L212" s="59">
        <v>4.5</v>
      </c>
      <c r="M212" s="60" t="s">
        <v>51</v>
      </c>
      <c r="N212" s="59" t="s">
        <v>51</v>
      </c>
      <c r="O212" s="57" t="s">
        <v>51</v>
      </c>
      <c r="P212" s="17"/>
      <c r="Q212" s="60"/>
      <c r="R212" s="104">
        <v>20</v>
      </c>
      <c r="S212" s="102"/>
      <c r="AP212" s="103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</row>
    <row r="213" spans="1:53" ht="18" customHeight="1" x14ac:dyDescent="0.35">
      <c r="A213" s="99" t="s">
        <v>244</v>
      </c>
      <c r="B213" s="2">
        <v>8.08</v>
      </c>
      <c r="C213" s="58">
        <v>21</v>
      </c>
      <c r="D213" s="58"/>
      <c r="E213" s="2" t="s">
        <v>32</v>
      </c>
      <c r="F213" s="50">
        <v>1896</v>
      </c>
      <c r="G213" s="50">
        <v>1270</v>
      </c>
      <c r="H213" s="25">
        <v>787</v>
      </c>
      <c r="I213" s="25">
        <v>428</v>
      </c>
      <c r="J213" s="25">
        <f t="shared" si="5"/>
        <v>359</v>
      </c>
      <c r="K213" s="25">
        <v>205</v>
      </c>
      <c r="L213" s="59">
        <v>4.3</v>
      </c>
      <c r="M213" s="60" t="s">
        <v>51</v>
      </c>
      <c r="N213" s="59" t="s">
        <v>51</v>
      </c>
      <c r="O213" s="57" t="s">
        <v>51</v>
      </c>
      <c r="P213" s="17"/>
      <c r="Q213" s="60"/>
      <c r="R213" s="104">
        <v>21</v>
      </c>
      <c r="S213" s="102"/>
      <c r="AP213" s="103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</row>
    <row r="214" spans="1:53" ht="18" customHeight="1" x14ac:dyDescent="0.35">
      <c r="A214" s="99" t="s">
        <v>245</v>
      </c>
      <c r="B214" s="2">
        <v>7.26</v>
      </c>
      <c r="C214" s="58">
        <v>18</v>
      </c>
      <c r="D214" s="58"/>
      <c r="E214" s="2" t="s">
        <v>32</v>
      </c>
      <c r="F214" s="50">
        <v>2046</v>
      </c>
      <c r="G214" s="50">
        <v>1371</v>
      </c>
      <c r="H214" s="25">
        <v>796</v>
      </c>
      <c r="I214" s="25">
        <v>419</v>
      </c>
      <c r="J214" s="25">
        <f t="shared" si="5"/>
        <v>377</v>
      </c>
      <c r="K214" s="25">
        <v>173</v>
      </c>
      <c r="L214" s="59">
        <v>4.5</v>
      </c>
      <c r="M214" s="60" t="s">
        <v>51</v>
      </c>
      <c r="N214" s="59" t="s">
        <v>51</v>
      </c>
      <c r="O214" s="57" t="s">
        <v>51</v>
      </c>
      <c r="P214" s="17"/>
      <c r="Q214" s="60"/>
      <c r="R214" s="104">
        <v>19</v>
      </c>
      <c r="S214" s="102"/>
      <c r="AP214" s="103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</row>
    <row r="215" spans="1:53" ht="18" customHeight="1" x14ac:dyDescent="0.35">
      <c r="A215" s="99" t="s">
        <v>246</v>
      </c>
      <c r="B215" s="2">
        <v>8.1199999999999992</v>
      </c>
      <c r="C215" s="58">
        <v>20</v>
      </c>
      <c r="D215" s="58"/>
      <c r="E215" s="2">
        <v>0.2</v>
      </c>
      <c r="F215" s="50">
        <v>2141</v>
      </c>
      <c r="G215" s="50">
        <v>1435</v>
      </c>
      <c r="H215" s="25">
        <v>805</v>
      </c>
      <c r="I215" s="25">
        <v>428</v>
      </c>
      <c r="J215" s="17">
        <f t="shared" si="5"/>
        <v>377</v>
      </c>
      <c r="K215" s="25">
        <v>189</v>
      </c>
      <c r="L215" s="59">
        <v>4.4000000000000004</v>
      </c>
      <c r="M215" s="60" t="s">
        <v>51</v>
      </c>
      <c r="N215" s="59" t="s">
        <v>51</v>
      </c>
      <c r="O215" s="57" t="s">
        <v>51</v>
      </c>
      <c r="P215" s="17"/>
      <c r="Q215" s="60"/>
      <c r="R215" s="104">
        <v>18</v>
      </c>
      <c r="S215" s="102"/>
      <c r="AP215" s="103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</row>
    <row r="216" spans="1:53" ht="18" customHeight="1" x14ac:dyDescent="0.35">
      <c r="A216" s="99" t="s">
        <v>247</v>
      </c>
      <c r="B216" s="2">
        <v>8.15</v>
      </c>
      <c r="C216" s="58">
        <v>19</v>
      </c>
      <c r="D216" s="58"/>
      <c r="E216" s="2">
        <v>0.1</v>
      </c>
      <c r="F216" s="50">
        <v>1611</v>
      </c>
      <c r="G216" s="50">
        <v>1080</v>
      </c>
      <c r="H216" s="25">
        <v>791</v>
      </c>
      <c r="I216" s="25">
        <v>428</v>
      </c>
      <c r="J216" s="25">
        <f t="shared" si="5"/>
        <v>363</v>
      </c>
      <c r="K216" s="25">
        <v>173</v>
      </c>
      <c r="L216" s="59">
        <v>4.5</v>
      </c>
      <c r="M216" s="60" t="s">
        <v>51</v>
      </c>
      <c r="N216" s="59" t="s">
        <v>51</v>
      </c>
      <c r="O216" s="57" t="s">
        <v>51</v>
      </c>
      <c r="P216" s="17"/>
      <c r="Q216" s="60"/>
      <c r="R216" s="104">
        <v>22</v>
      </c>
      <c r="S216" s="102"/>
      <c r="AP216" s="103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</row>
    <row r="217" spans="1:53" ht="18" customHeight="1" x14ac:dyDescent="0.35">
      <c r="A217" s="99" t="s">
        <v>248</v>
      </c>
      <c r="B217" s="2">
        <v>8.56</v>
      </c>
      <c r="C217" s="58">
        <v>19</v>
      </c>
      <c r="D217" s="58"/>
      <c r="E217" s="2">
        <v>0.1</v>
      </c>
      <c r="F217" s="50">
        <v>1765</v>
      </c>
      <c r="G217" s="50">
        <v>1183</v>
      </c>
      <c r="H217" s="25">
        <v>805</v>
      </c>
      <c r="I217" s="25">
        <v>428</v>
      </c>
      <c r="J217" s="25">
        <f t="shared" si="5"/>
        <v>377</v>
      </c>
      <c r="K217" s="25">
        <v>189</v>
      </c>
      <c r="L217" s="59">
        <v>4.5999999999999996</v>
      </c>
      <c r="M217" s="60" t="s">
        <v>51</v>
      </c>
      <c r="N217" s="59" t="s">
        <v>51</v>
      </c>
      <c r="O217" s="57" t="s">
        <v>51</v>
      </c>
      <c r="P217" s="17"/>
      <c r="Q217" s="60"/>
      <c r="R217" s="104">
        <v>25</v>
      </c>
      <c r="S217" s="102"/>
      <c r="AP217" s="103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</row>
    <row r="218" spans="1:53" ht="18" customHeight="1" x14ac:dyDescent="0.35">
      <c r="A218" s="99" t="s">
        <v>249</v>
      </c>
      <c r="B218" s="2">
        <v>8.1</v>
      </c>
      <c r="C218" s="58">
        <v>22</v>
      </c>
      <c r="D218" s="58"/>
      <c r="E218" s="2" t="s">
        <v>32</v>
      </c>
      <c r="F218" s="50">
        <v>1901</v>
      </c>
      <c r="G218" s="50">
        <v>1274</v>
      </c>
      <c r="H218" s="50">
        <v>800</v>
      </c>
      <c r="I218" s="25">
        <v>414</v>
      </c>
      <c r="J218" s="25">
        <f t="shared" si="5"/>
        <v>386</v>
      </c>
      <c r="K218" s="25">
        <v>205</v>
      </c>
      <c r="L218" s="59">
        <v>4.3</v>
      </c>
      <c r="M218" s="60" t="s">
        <v>51</v>
      </c>
      <c r="N218" s="59" t="s">
        <v>51</v>
      </c>
      <c r="O218" s="57" t="s">
        <v>51</v>
      </c>
      <c r="P218" s="17"/>
      <c r="Q218" s="60"/>
      <c r="R218" s="104">
        <v>23</v>
      </c>
      <c r="S218" s="102"/>
      <c r="AP218" s="103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</row>
    <row r="219" spans="1:53" ht="18" customHeight="1" x14ac:dyDescent="0.35">
      <c r="A219" s="99" t="s">
        <v>250</v>
      </c>
      <c r="B219" s="2">
        <v>7.68</v>
      </c>
      <c r="C219" s="58">
        <v>25</v>
      </c>
      <c r="D219" s="58"/>
      <c r="E219" s="2">
        <v>0.4</v>
      </c>
      <c r="F219" s="50">
        <v>1835</v>
      </c>
      <c r="G219" s="50">
        <v>1230</v>
      </c>
      <c r="H219" s="25">
        <v>819</v>
      </c>
      <c r="I219" s="25">
        <v>428</v>
      </c>
      <c r="J219" s="25">
        <f t="shared" si="5"/>
        <v>391</v>
      </c>
      <c r="K219" s="25">
        <v>205</v>
      </c>
      <c r="L219" s="59">
        <v>4.5999999999999996</v>
      </c>
      <c r="M219" s="60" t="s">
        <v>51</v>
      </c>
      <c r="N219" s="59" t="s">
        <v>51</v>
      </c>
      <c r="O219" s="57" t="s">
        <v>51</v>
      </c>
      <c r="P219" s="17"/>
      <c r="Q219" s="60"/>
      <c r="R219" s="104">
        <v>21</v>
      </c>
      <c r="S219" s="102"/>
      <c r="AP219" s="103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</row>
    <row r="220" spans="1:53" ht="18" customHeight="1" x14ac:dyDescent="0.35">
      <c r="A220" s="99" t="s">
        <v>251</v>
      </c>
      <c r="B220" s="2">
        <v>7.98</v>
      </c>
      <c r="C220" s="58">
        <v>24</v>
      </c>
      <c r="D220" s="58"/>
      <c r="E220" s="2">
        <v>0.1</v>
      </c>
      <c r="F220" s="50">
        <v>1870</v>
      </c>
      <c r="G220" s="50">
        <v>1253</v>
      </c>
      <c r="H220" s="25">
        <v>810</v>
      </c>
      <c r="I220" s="25">
        <v>432</v>
      </c>
      <c r="J220" s="25">
        <f t="shared" si="5"/>
        <v>378</v>
      </c>
      <c r="K220" s="25">
        <v>197</v>
      </c>
      <c r="L220" s="59">
        <v>4.3</v>
      </c>
      <c r="M220" s="60" t="s">
        <v>51</v>
      </c>
      <c r="N220" s="59" t="s">
        <v>51</v>
      </c>
      <c r="O220" s="57" t="s">
        <v>51</v>
      </c>
      <c r="P220" s="17"/>
      <c r="Q220" s="60"/>
      <c r="R220" s="104">
        <v>22</v>
      </c>
      <c r="S220" s="102"/>
      <c r="AP220" s="103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</row>
    <row r="221" spans="1:53" ht="18" customHeight="1" x14ac:dyDescent="0.35">
      <c r="A221" s="99" t="s">
        <v>252</v>
      </c>
      <c r="B221" s="2">
        <v>6.96</v>
      </c>
      <c r="C221" s="58">
        <v>24</v>
      </c>
      <c r="D221" s="58"/>
      <c r="E221" s="2" t="s">
        <v>32</v>
      </c>
      <c r="F221" s="50">
        <v>2007</v>
      </c>
      <c r="G221" s="50">
        <v>1345</v>
      </c>
      <c r="H221" s="25">
        <v>828</v>
      </c>
      <c r="I221" s="25">
        <v>428</v>
      </c>
      <c r="J221" s="25">
        <f t="shared" si="5"/>
        <v>400</v>
      </c>
      <c r="K221" s="25">
        <v>181</v>
      </c>
      <c r="L221" s="59">
        <v>4.5</v>
      </c>
      <c r="M221" s="60" t="s">
        <v>51</v>
      </c>
      <c r="N221" s="59" t="s">
        <v>51</v>
      </c>
      <c r="O221" s="57" t="s">
        <v>51</v>
      </c>
      <c r="P221" s="17"/>
      <c r="Q221" s="60"/>
      <c r="R221" s="104">
        <v>19</v>
      </c>
      <c r="S221" s="102"/>
      <c r="AP221" s="103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</row>
    <row r="222" spans="1:53" ht="18" customHeight="1" x14ac:dyDescent="0.35">
      <c r="A222" s="99" t="s">
        <v>253</v>
      </c>
      <c r="B222" s="2">
        <v>8.14</v>
      </c>
      <c r="C222" s="58">
        <v>19</v>
      </c>
      <c r="D222" s="58"/>
      <c r="E222" s="2">
        <v>0.1</v>
      </c>
      <c r="F222" s="50">
        <v>1820</v>
      </c>
      <c r="G222" s="50">
        <v>1220</v>
      </c>
      <c r="H222" s="25">
        <v>809</v>
      </c>
      <c r="I222" s="25">
        <v>424</v>
      </c>
      <c r="J222" s="25">
        <f t="shared" si="5"/>
        <v>385</v>
      </c>
      <c r="K222" s="25">
        <v>157</v>
      </c>
      <c r="L222" s="59">
        <v>4.7</v>
      </c>
      <c r="M222" s="60" t="s">
        <v>51</v>
      </c>
      <c r="N222" s="59" t="s">
        <v>51</v>
      </c>
      <c r="O222" s="57" t="s">
        <v>51</v>
      </c>
      <c r="P222" s="17"/>
      <c r="Q222" s="60"/>
      <c r="R222" s="104">
        <v>18</v>
      </c>
      <c r="S222" s="102"/>
      <c r="AP222" s="103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</row>
    <row r="223" spans="1:53" ht="18" customHeight="1" x14ac:dyDescent="0.35">
      <c r="A223" s="99" t="s">
        <v>254</v>
      </c>
      <c r="B223" s="2">
        <v>8.18</v>
      </c>
      <c r="C223" s="25">
        <v>18</v>
      </c>
      <c r="D223" s="25"/>
      <c r="E223" s="2">
        <v>0.3</v>
      </c>
      <c r="F223" s="25">
        <v>1497</v>
      </c>
      <c r="G223" s="25">
        <v>1003</v>
      </c>
      <c r="H223" s="25">
        <v>862</v>
      </c>
      <c r="I223" s="25">
        <v>405</v>
      </c>
      <c r="J223" s="25">
        <f t="shared" si="5"/>
        <v>457</v>
      </c>
      <c r="K223" s="25">
        <v>165</v>
      </c>
      <c r="L223" s="59">
        <v>4.5</v>
      </c>
      <c r="M223" s="60" t="s">
        <v>51</v>
      </c>
      <c r="N223" s="59" t="s">
        <v>51</v>
      </c>
      <c r="O223" s="57" t="s">
        <v>51</v>
      </c>
      <c r="P223" s="17"/>
      <c r="Q223" s="60"/>
      <c r="R223" s="104">
        <v>20</v>
      </c>
      <c r="S223" s="102"/>
      <c r="AP223" s="103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</row>
    <row r="224" spans="1:53" ht="18" customHeight="1" x14ac:dyDescent="0.35">
      <c r="A224" s="99" t="s">
        <v>255</v>
      </c>
      <c r="B224" s="2">
        <v>8.02</v>
      </c>
      <c r="C224" s="25">
        <v>21</v>
      </c>
      <c r="D224" s="25"/>
      <c r="E224" s="2">
        <v>0.3</v>
      </c>
      <c r="F224" s="25">
        <v>1431</v>
      </c>
      <c r="G224" s="25">
        <v>959</v>
      </c>
      <c r="H224" s="25">
        <v>785</v>
      </c>
      <c r="I224" s="25">
        <v>414</v>
      </c>
      <c r="J224" s="25">
        <f t="shared" si="5"/>
        <v>371</v>
      </c>
      <c r="K224" s="25">
        <v>181</v>
      </c>
      <c r="L224" s="59">
        <v>4.5999999999999996</v>
      </c>
      <c r="M224" s="60" t="s">
        <v>51</v>
      </c>
      <c r="N224" s="59" t="s">
        <v>51</v>
      </c>
      <c r="O224" s="57" t="s">
        <v>51</v>
      </c>
      <c r="P224" s="17"/>
      <c r="Q224" s="60"/>
      <c r="R224" s="104">
        <v>21</v>
      </c>
      <c r="S224" s="102"/>
      <c r="AP224" s="103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</row>
    <row r="225" spans="1:53" ht="18" customHeight="1" x14ac:dyDescent="0.35">
      <c r="A225" s="99" t="s">
        <v>256</v>
      </c>
      <c r="B225" s="2">
        <v>7.34</v>
      </c>
      <c r="C225" s="25">
        <v>21</v>
      </c>
      <c r="D225" s="25"/>
      <c r="E225" s="2">
        <v>0.2</v>
      </c>
      <c r="F225" s="25">
        <v>1391</v>
      </c>
      <c r="G225" s="25">
        <v>932</v>
      </c>
      <c r="H225" s="25">
        <v>800</v>
      </c>
      <c r="I225" s="25">
        <v>409</v>
      </c>
      <c r="J225" s="25">
        <f t="shared" si="5"/>
        <v>391</v>
      </c>
      <c r="K225" s="25">
        <v>197</v>
      </c>
      <c r="L225" s="59">
        <v>4.4000000000000004</v>
      </c>
      <c r="M225" s="60" t="s">
        <v>51</v>
      </c>
      <c r="N225" s="59" t="s">
        <v>51</v>
      </c>
      <c r="O225" s="57" t="s">
        <v>51</v>
      </c>
      <c r="P225" s="17"/>
      <c r="Q225" s="60"/>
      <c r="R225" s="104">
        <v>20</v>
      </c>
      <c r="S225" s="102"/>
      <c r="AP225" s="103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</row>
    <row r="226" spans="1:53" ht="18" customHeight="1" x14ac:dyDescent="0.35">
      <c r="A226" s="99" t="s">
        <v>257</v>
      </c>
      <c r="B226" s="2">
        <v>7.87</v>
      </c>
      <c r="C226" s="25">
        <v>20</v>
      </c>
      <c r="D226" s="25"/>
      <c r="E226" s="2" t="s">
        <v>32</v>
      </c>
      <c r="F226" s="25">
        <v>1746</v>
      </c>
      <c r="G226" s="25">
        <v>1170</v>
      </c>
      <c r="H226" s="25">
        <v>785</v>
      </c>
      <c r="I226" s="25">
        <v>390</v>
      </c>
      <c r="J226" s="25">
        <f t="shared" si="5"/>
        <v>395</v>
      </c>
      <c r="K226" s="25">
        <v>176</v>
      </c>
      <c r="L226" s="59">
        <v>4.5999999999999996</v>
      </c>
      <c r="M226" s="60" t="s">
        <v>51</v>
      </c>
      <c r="N226" s="59" t="s">
        <v>51</v>
      </c>
      <c r="O226" s="57" t="s">
        <v>51</v>
      </c>
      <c r="P226" s="17"/>
      <c r="Q226" s="60"/>
      <c r="R226" s="104">
        <v>17</v>
      </c>
      <c r="S226" s="102"/>
      <c r="AP226" s="103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</row>
    <row r="227" spans="1:53" ht="18" customHeight="1" x14ac:dyDescent="0.35">
      <c r="A227" s="99" t="s">
        <v>258</v>
      </c>
      <c r="B227" s="2">
        <v>8.19</v>
      </c>
      <c r="C227" s="25">
        <v>18</v>
      </c>
      <c r="D227" s="25"/>
      <c r="E227" s="2" t="s">
        <v>32</v>
      </c>
      <c r="F227" s="25">
        <v>1528</v>
      </c>
      <c r="G227" s="25">
        <v>1024</v>
      </c>
      <c r="H227" s="25">
        <v>781</v>
      </c>
      <c r="I227" s="25">
        <v>386</v>
      </c>
      <c r="J227" s="25">
        <f t="shared" si="5"/>
        <v>395</v>
      </c>
      <c r="K227" s="25">
        <v>165</v>
      </c>
      <c r="L227" s="59">
        <v>4.4000000000000004</v>
      </c>
      <c r="M227" s="60" t="s">
        <v>51</v>
      </c>
      <c r="N227" s="59" t="s">
        <v>51</v>
      </c>
      <c r="O227" s="57" t="s">
        <v>51</v>
      </c>
      <c r="P227" s="17"/>
      <c r="Q227" s="60"/>
      <c r="R227" s="104">
        <v>19</v>
      </c>
      <c r="S227" s="102"/>
      <c r="AP227" s="103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</row>
    <row r="228" spans="1:53" ht="18" customHeight="1" x14ac:dyDescent="0.35">
      <c r="A228" s="70" t="s">
        <v>259</v>
      </c>
      <c r="B228" s="2">
        <v>7.95</v>
      </c>
      <c r="C228" s="25">
        <v>21</v>
      </c>
      <c r="D228" s="25"/>
      <c r="E228" s="2">
        <v>0.3</v>
      </c>
      <c r="F228" s="25"/>
      <c r="G228" s="25">
        <v>935</v>
      </c>
      <c r="H228" s="25">
        <v>790</v>
      </c>
      <c r="I228" s="25">
        <v>388</v>
      </c>
      <c r="J228" s="25">
        <f t="shared" si="5"/>
        <v>402</v>
      </c>
      <c r="K228" s="25">
        <v>161</v>
      </c>
      <c r="L228" s="59">
        <v>4.5999999999999996</v>
      </c>
      <c r="M228" s="60" t="s">
        <v>51</v>
      </c>
      <c r="N228" s="59" t="s">
        <v>51</v>
      </c>
      <c r="O228" s="57" t="s">
        <v>51</v>
      </c>
      <c r="P228" s="25"/>
      <c r="Q228" s="60"/>
      <c r="R228" s="25">
        <v>17</v>
      </c>
      <c r="S228" s="102"/>
      <c r="AP228" s="103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</row>
    <row r="229" spans="1:53" ht="18" customHeight="1" x14ac:dyDescent="0.35">
      <c r="A229" s="99" t="s">
        <v>260</v>
      </c>
      <c r="B229" s="2">
        <v>7.89</v>
      </c>
      <c r="C229" s="25">
        <v>21</v>
      </c>
      <c r="D229" s="25"/>
      <c r="E229" s="2">
        <v>0.2</v>
      </c>
      <c r="F229" s="25">
        <v>1450</v>
      </c>
      <c r="G229" s="25">
        <v>972</v>
      </c>
      <c r="H229" s="25">
        <v>818</v>
      </c>
      <c r="I229" s="25">
        <v>347</v>
      </c>
      <c r="J229" s="25">
        <f t="shared" si="5"/>
        <v>471</v>
      </c>
      <c r="K229" s="25">
        <v>188</v>
      </c>
      <c r="L229" s="59">
        <v>4.8</v>
      </c>
      <c r="M229" s="60" t="s">
        <v>51</v>
      </c>
      <c r="N229" s="59" t="s">
        <v>51</v>
      </c>
      <c r="O229" s="57" t="s">
        <v>51</v>
      </c>
      <c r="P229" s="25"/>
      <c r="Q229" s="60"/>
      <c r="R229" s="25">
        <v>18</v>
      </c>
      <c r="S229" s="102"/>
      <c r="AP229" s="103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</row>
    <row r="230" spans="1:53" ht="18" customHeight="1" thickBot="1" x14ac:dyDescent="0.4">
      <c r="A230" s="109" t="s">
        <v>261</v>
      </c>
      <c r="B230" s="2">
        <v>7.84</v>
      </c>
      <c r="C230" s="25">
        <v>22</v>
      </c>
      <c r="D230" s="25"/>
      <c r="E230" s="2">
        <v>0.6</v>
      </c>
      <c r="F230" s="25">
        <v>1395</v>
      </c>
      <c r="G230" s="25">
        <v>935</v>
      </c>
      <c r="H230" s="25">
        <v>734</v>
      </c>
      <c r="I230" s="25">
        <v>360</v>
      </c>
      <c r="J230" s="25">
        <f t="shared" si="5"/>
        <v>374</v>
      </c>
      <c r="K230" s="25">
        <v>157</v>
      </c>
      <c r="L230" s="59">
        <v>4.5</v>
      </c>
      <c r="M230" s="60" t="s">
        <v>51</v>
      </c>
      <c r="N230" s="59" t="s">
        <v>51</v>
      </c>
      <c r="O230" s="57" t="s">
        <v>51</v>
      </c>
      <c r="P230" s="25"/>
      <c r="Q230" s="60"/>
      <c r="R230" s="90">
        <v>16</v>
      </c>
      <c r="S230" s="102"/>
      <c r="AP230" s="103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</row>
    <row r="231" spans="1:53" ht="18" customHeight="1" x14ac:dyDescent="0.35">
      <c r="A231" s="108" t="s">
        <v>210</v>
      </c>
      <c r="B231" s="1">
        <v>8.1</v>
      </c>
      <c r="C231" s="12">
        <v>19</v>
      </c>
      <c r="D231" s="12"/>
      <c r="E231" s="1">
        <v>0.1</v>
      </c>
      <c r="F231" s="85">
        <v>1356</v>
      </c>
      <c r="G231" s="85">
        <v>909</v>
      </c>
      <c r="H231" s="76">
        <v>714</v>
      </c>
      <c r="I231" s="76">
        <v>306</v>
      </c>
      <c r="J231" s="25">
        <f t="shared" si="5"/>
        <v>408</v>
      </c>
      <c r="K231" s="76">
        <v>142</v>
      </c>
      <c r="L231" s="59">
        <v>4</v>
      </c>
      <c r="M231" s="60" t="s">
        <v>51</v>
      </c>
      <c r="N231" s="59" t="s">
        <v>51</v>
      </c>
      <c r="O231" s="57" t="s">
        <v>51</v>
      </c>
      <c r="P231" s="17"/>
      <c r="Q231" s="60"/>
      <c r="R231" s="104">
        <v>24</v>
      </c>
      <c r="S231" s="102"/>
      <c r="AP231" s="103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</row>
    <row r="232" spans="1:53" ht="18" customHeight="1" x14ac:dyDescent="0.35">
      <c r="A232" s="99" t="s">
        <v>211</v>
      </c>
      <c r="B232" s="2">
        <v>8.06</v>
      </c>
      <c r="C232" s="58">
        <v>18</v>
      </c>
      <c r="D232" s="58"/>
      <c r="E232" s="2">
        <v>0.1</v>
      </c>
      <c r="F232" s="50">
        <v>1361</v>
      </c>
      <c r="G232" s="25">
        <v>912</v>
      </c>
      <c r="H232" s="25">
        <v>694</v>
      </c>
      <c r="I232" s="25">
        <v>394</v>
      </c>
      <c r="J232" s="25">
        <f t="shared" si="5"/>
        <v>300</v>
      </c>
      <c r="K232" s="25">
        <v>157</v>
      </c>
      <c r="L232" s="59">
        <v>4.2</v>
      </c>
      <c r="M232" s="60" t="s">
        <v>51</v>
      </c>
      <c r="N232" s="59" t="s">
        <v>51</v>
      </c>
      <c r="O232" s="57" t="s">
        <v>51</v>
      </c>
      <c r="P232" s="17"/>
      <c r="Q232" s="60"/>
      <c r="R232" s="104">
        <v>18</v>
      </c>
      <c r="S232" s="102"/>
      <c r="AP232" s="103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</row>
    <row r="233" spans="1:53" ht="18" customHeight="1" x14ac:dyDescent="0.35">
      <c r="A233" s="99" t="s">
        <v>212</v>
      </c>
      <c r="B233" s="2">
        <v>8.01</v>
      </c>
      <c r="C233" s="58">
        <v>21</v>
      </c>
      <c r="D233" s="58"/>
      <c r="E233" s="2">
        <v>0.5</v>
      </c>
      <c r="F233" s="50">
        <v>1325</v>
      </c>
      <c r="G233" s="50">
        <v>888</v>
      </c>
      <c r="H233" s="25">
        <v>698</v>
      </c>
      <c r="I233" s="25">
        <v>398</v>
      </c>
      <c r="J233" s="25">
        <f t="shared" si="5"/>
        <v>300</v>
      </c>
      <c r="K233" s="25">
        <v>165</v>
      </c>
      <c r="L233" s="59">
        <v>4</v>
      </c>
      <c r="M233" s="60" t="s">
        <v>51</v>
      </c>
      <c r="N233" s="59" t="s">
        <v>51</v>
      </c>
      <c r="O233" s="57" t="s">
        <v>51</v>
      </c>
      <c r="P233" s="17"/>
      <c r="Q233" s="60"/>
      <c r="R233" s="104">
        <v>20</v>
      </c>
      <c r="S233" s="102"/>
      <c r="AP233" s="103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</row>
    <row r="234" spans="1:53" ht="18" customHeight="1" x14ac:dyDescent="0.35">
      <c r="A234" s="99" t="s">
        <v>213</v>
      </c>
      <c r="B234" s="2">
        <v>7.83</v>
      </c>
      <c r="C234" s="17">
        <v>20</v>
      </c>
      <c r="D234" s="17"/>
      <c r="E234" s="2">
        <v>0.2</v>
      </c>
      <c r="F234" s="50">
        <v>1371</v>
      </c>
      <c r="G234" s="50">
        <v>919</v>
      </c>
      <c r="H234" s="25">
        <v>694</v>
      </c>
      <c r="I234" s="25">
        <v>388</v>
      </c>
      <c r="J234" s="25">
        <f t="shared" si="5"/>
        <v>306</v>
      </c>
      <c r="K234" s="25">
        <v>165</v>
      </c>
      <c r="L234" s="59">
        <v>4.5</v>
      </c>
      <c r="M234" s="60" t="s">
        <v>51</v>
      </c>
      <c r="N234" s="59" t="s">
        <v>51</v>
      </c>
      <c r="O234" s="57" t="s">
        <v>51</v>
      </c>
      <c r="P234" s="17"/>
      <c r="Q234" s="60"/>
      <c r="R234" s="104">
        <v>15</v>
      </c>
      <c r="S234" s="102"/>
      <c r="AP234" s="103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</row>
    <row r="235" spans="1:53" ht="18" customHeight="1" x14ac:dyDescent="0.35">
      <c r="A235" s="99" t="s">
        <v>214</v>
      </c>
      <c r="B235" s="2">
        <v>7.71</v>
      </c>
      <c r="C235" s="17">
        <v>23</v>
      </c>
      <c r="D235" s="17"/>
      <c r="E235" s="2">
        <v>0.5</v>
      </c>
      <c r="F235" s="50">
        <v>1323</v>
      </c>
      <c r="G235" s="50">
        <v>887</v>
      </c>
      <c r="H235" s="25">
        <v>673</v>
      </c>
      <c r="I235" s="25">
        <v>371</v>
      </c>
      <c r="J235" s="25">
        <f t="shared" si="5"/>
        <v>302</v>
      </c>
      <c r="K235" s="25">
        <v>154</v>
      </c>
      <c r="L235" s="59">
        <v>4.3</v>
      </c>
      <c r="M235" s="60" t="s">
        <v>51</v>
      </c>
      <c r="N235" s="59" t="s">
        <v>51</v>
      </c>
      <c r="O235" s="57" t="s">
        <v>51</v>
      </c>
      <c r="P235" s="17"/>
      <c r="Q235" s="60"/>
      <c r="R235" s="104">
        <v>16</v>
      </c>
      <c r="S235" s="102"/>
      <c r="AP235" s="103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</row>
    <row r="236" spans="1:53" ht="18" customHeight="1" x14ac:dyDescent="0.35">
      <c r="A236" s="99" t="s">
        <v>215</v>
      </c>
      <c r="B236" s="2">
        <v>7.7</v>
      </c>
      <c r="C236" s="17">
        <v>20</v>
      </c>
      <c r="D236" s="17"/>
      <c r="E236" s="2">
        <v>0.4</v>
      </c>
      <c r="F236" s="50">
        <v>1174</v>
      </c>
      <c r="G236" s="50">
        <v>787</v>
      </c>
      <c r="H236" s="25">
        <v>694</v>
      </c>
      <c r="I236" s="25">
        <v>384</v>
      </c>
      <c r="J236" s="25">
        <f t="shared" si="5"/>
        <v>310</v>
      </c>
      <c r="K236" s="25">
        <v>181</v>
      </c>
      <c r="L236" s="59">
        <v>4.5999999999999996</v>
      </c>
      <c r="M236" s="60" t="s">
        <v>51</v>
      </c>
      <c r="N236" s="59" t="s">
        <v>51</v>
      </c>
      <c r="O236" s="57" t="s">
        <v>51</v>
      </c>
      <c r="P236" s="17"/>
      <c r="Q236" s="60"/>
      <c r="R236" s="104">
        <v>18</v>
      </c>
      <c r="S236" s="102"/>
      <c r="AP236" s="103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</row>
    <row r="237" spans="1:53" ht="18" customHeight="1" x14ac:dyDescent="0.35">
      <c r="A237" s="99" t="s">
        <v>216</v>
      </c>
      <c r="B237" s="2">
        <v>7.58</v>
      </c>
      <c r="C237" s="17">
        <v>19</v>
      </c>
      <c r="D237" s="17"/>
      <c r="E237" s="2">
        <v>0.2</v>
      </c>
      <c r="F237" s="50">
        <v>1451</v>
      </c>
      <c r="G237" s="50">
        <v>972</v>
      </c>
      <c r="H237" s="25">
        <v>602</v>
      </c>
      <c r="I237" s="25">
        <v>521</v>
      </c>
      <c r="J237" s="25">
        <f t="shared" si="5"/>
        <v>81</v>
      </c>
      <c r="K237" s="25">
        <v>197</v>
      </c>
      <c r="L237" s="59">
        <v>4.5</v>
      </c>
      <c r="M237" s="60" t="s">
        <v>51</v>
      </c>
      <c r="N237" s="59" t="s">
        <v>51</v>
      </c>
      <c r="O237" s="57" t="s">
        <v>51</v>
      </c>
      <c r="P237" s="17"/>
      <c r="Q237" s="60"/>
      <c r="R237" s="104">
        <v>16</v>
      </c>
      <c r="S237" s="102"/>
      <c r="AP237" s="103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</row>
    <row r="238" spans="1:53" ht="18" customHeight="1" x14ac:dyDescent="0.35">
      <c r="A238" s="99" t="s">
        <v>217</v>
      </c>
      <c r="B238" s="2">
        <v>7.71</v>
      </c>
      <c r="C238" s="17">
        <v>18</v>
      </c>
      <c r="D238" s="17"/>
      <c r="E238" s="2">
        <v>0.5</v>
      </c>
      <c r="F238" s="50">
        <v>1252</v>
      </c>
      <c r="G238" s="50">
        <v>839</v>
      </c>
      <c r="H238" s="25">
        <v>595</v>
      </c>
      <c r="I238" s="25">
        <v>317</v>
      </c>
      <c r="J238" s="25">
        <f t="shared" si="5"/>
        <v>278</v>
      </c>
      <c r="K238" s="25">
        <v>181</v>
      </c>
      <c r="L238" s="59">
        <v>4.2</v>
      </c>
      <c r="M238" s="60" t="s">
        <v>51</v>
      </c>
      <c r="N238" s="59" t="s">
        <v>51</v>
      </c>
      <c r="O238" s="57" t="s">
        <v>51</v>
      </c>
      <c r="P238" s="17"/>
      <c r="Q238" s="60"/>
      <c r="R238" s="104">
        <v>15</v>
      </c>
      <c r="S238" s="102"/>
      <c r="AP238" s="103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</row>
    <row r="239" spans="1:53" ht="18" customHeight="1" x14ac:dyDescent="0.35">
      <c r="A239" s="99" t="s">
        <v>218</v>
      </c>
      <c r="B239" s="2">
        <v>7.92</v>
      </c>
      <c r="C239" s="58">
        <v>22</v>
      </c>
      <c r="D239" s="58"/>
      <c r="E239" s="2" t="s">
        <v>134</v>
      </c>
      <c r="F239" s="50">
        <v>1309</v>
      </c>
      <c r="G239" s="50">
        <v>877</v>
      </c>
      <c r="H239" s="25">
        <v>598</v>
      </c>
      <c r="I239" s="25">
        <v>321</v>
      </c>
      <c r="J239" s="25">
        <f t="shared" si="5"/>
        <v>277</v>
      </c>
      <c r="K239" s="25">
        <v>189</v>
      </c>
      <c r="L239" s="59">
        <v>4.0999999999999996</v>
      </c>
      <c r="M239" s="60" t="s">
        <v>51</v>
      </c>
      <c r="N239" s="59" t="s">
        <v>51</v>
      </c>
      <c r="O239" s="57" t="s">
        <v>51</v>
      </c>
      <c r="P239" s="17"/>
      <c r="Q239" s="60"/>
      <c r="R239" s="104">
        <v>14</v>
      </c>
      <c r="S239" s="102"/>
      <c r="AP239" s="103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</row>
    <row r="240" spans="1:53" ht="18" customHeight="1" x14ac:dyDescent="0.35">
      <c r="A240" s="99" t="s">
        <v>219</v>
      </c>
      <c r="B240" s="2">
        <v>7.95</v>
      </c>
      <c r="C240" s="58">
        <v>20</v>
      </c>
      <c r="D240" s="58"/>
      <c r="E240" s="2">
        <v>0.2</v>
      </c>
      <c r="F240" s="50">
        <v>1208</v>
      </c>
      <c r="G240" s="50">
        <v>810</v>
      </c>
      <c r="H240" s="25">
        <v>598</v>
      </c>
      <c r="I240" s="25">
        <v>329</v>
      </c>
      <c r="J240" s="25">
        <f t="shared" si="5"/>
        <v>269</v>
      </c>
      <c r="K240" s="25">
        <v>160</v>
      </c>
      <c r="L240" s="59">
        <v>4.4000000000000004</v>
      </c>
      <c r="M240" s="60" t="s">
        <v>51</v>
      </c>
      <c r="N240" s="59" t="s">
        <v>51</v>
      </c>
      <c r="O240" s="57" t="s">
        <v>51</v>
      </c>
      <c r="P240" s="17"/>
      <c r="Q240" s="60"/>
      <c r="R240" s="104">
        <v>15</v>
      </c>
      <c r="S240" s="102"/>
      <c r="AP240" s="103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</row>
    <row r="241" spans="1:53" ht="18" customHeight="1" x14ac:dyDescent="0.35">
      <c r="A241" s="99" t="s">
        <v>220</v>
      </c>
      <c r="B241" s="2">
        <v>7.8</v>
      </c>
      <c r="C241" s="58">
        <v>20</v>
      </c>
      <c r="D241" s="58"/>
      <c r="E241" s="2">
        <v>0.2</v>
      </c>
      <c r="F241" s="50">
        <v>1179</v>
      </c>
      <c r="G241" s="50">
        <v>790</v>
      </c>
      <c r="H241" s="25">
        <v>574</v>
      </c>
      <c r="I241" s="25">
        <v>356</v>
      </c>
      <c r="J241" s="17">
        <f t="shared" si="5"/>
        <v>218</v>
      </c>
      <c r="K241" s="25">
        <v>173</v>
      </c>
      <c r="L241" s="59">
        <v>4</v>
      </c>
      <c r="M241" s="60" t="s">
        <v>51</v>
      </c>
      <c r="N241" s="59" t="s">
        <v>51</v>
      </c>
      <c r="O241" s="57" t="s">
        <v>51</v>
      </c>
      <c r="P241" s="17"/>
      <c r="Q241" s="60"/>
      <c r="R241" s="104">
        <v>17</v>
      </c>
      <c r="S241" s="102"/>
      <c r="AP241" s="103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</row>
    <row r="242" spans="1:53" ht="18" customHeight="1" x14ac:dyDescent="0.35">
      <c r="A242" s="99" t="s">
        <v>221</v>
      </c>
      <c r="B242" s="2">
        <v>7.77</v>
      </c>
      <c r="C242" s="58">
        <v>25</v>
      </c>
      <c r="D242" s="58"/>
      <c r="E242" s="2">
        <v>0.4</v>
      </c>
      <c r="F242" s="50">
        <v>1114</v>
      </c>
      <c r="G242" s="50">
        <v>747</v>
      </c>
      <c r="H242" s="25">
        <v>594</v>
      </c>
      <c r="I242" s="25">
        <v>329</v>
      </c>
      <c r="J242" s="25">
        <f t="shared" si="5"/>
        <v>265</v>
      </c>
      <c r="K242" s="25">
        <v>197</v>
      </c>
      <c r="L242" s="59">
        <v>4.3</v>
      </c>
      <c r="M242" s="60" t="s">
        <v>51</v>
      </c>
      <c r="N242" s="59" t="s">
        <v>51</v>
      </c>
      <c r="O242" s="57" t="s">
        <v>51</v>
      </c>
      <c r="P242" s="17"/>
      <c r="Q242" s="60"/>
      <c r="R242" s="104">
        <v>18</v>
      </c>
      <c r="S242" s="102"/>
      <c r="AP242" s="103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</row>
    <row r="243" spans="1:53" ht="18" customHeight="1" x14ac:dyDescent="0.35">
      <c r="A243" s="99" t="s">
        <v>222</v>
      </c>
      <c r="B243" s="2">
        <v>8.16</v>
      </c>
      <c r="C243" s="58">
        <v>18</v>
      </c>
      <c r="D243" s="58"/>
      <c r="E243" s="2">
        <v>0.5</v>
      </c>
      <c r="F243" s="50">
        <v>1095</v>
      </c>
      <c r="G243" s="50">
        <v>734</v>
      </c>
      <c r="H243" s="25">
        <v>586</v>
      </c>
      <c r="I243" s="25">
        <v>325</v>
      </c>
      <c r="J243" s="25">
        <f t="shared" si="5"/>
        <v>261</v>
      </c>
      <c r="K243" s="25">
        <v>181</v>
      </c>
      <c r="L243" s="59">
        <v>4.0999999999999996</v>
      </c>
      <c r="M243" s="60" t="s">
        <v>51</v>
      </c>
      <c r="N243" s="59" t="s">
        <v>51</v>
      </c>
      <c r="O243" s="57" t="s">
        <v>51</v>
      </c>
      <c r="P243" s="17"/>
      <c r="Q243" s="60"/>
      <c r="R243" s="104">
        <v>26</v>
      </c>
      <c r="S243" s="102"/>
      <c r="AP243" s="103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</row>
    <row r="244" spans="1:53" ht="18" customHeight="1" x14ac:dyDescent="0.35">
      <c r="A244" s="99" t="s">
        <v>223</v>
      </c>
      <c r="B244" s="2">
        <v>8.0500000000000007</v>
      </c>
      <c r="C244" s="58">
        <v>22</v>
      </c>
      <c r="D244" s="58"/>
      <c r="E244" s="2">
        <v>0.1</v>
      </c>
      <c r="F244" s="50">
        <v>1095</v>
      </c>
      <c r="G244" s="50">
        <v>734</v>
      </c>
      <c r="H244" s="50">
        <v>578</v>
      </c>
      <c r="I244" s="25">
        <v>321</v>
      </c>
      <c r="J244" s="25">
        <f t="shared" si="5"/>
        <v>257</v>
      </c>
      <c r="K244" s="25">
        <v>173</v>
      </c>
      <c r="L244" s="59">
        <v>4.2</v>
      </c>
      <c r="M244" s="60" t="s">
        <v>51</v>
      </c>
      <c r="N244" s="59" t="s">
        <v>51</v>
      </c>
      <c r="O244" s="57" t="s">
        <v>51</v>
      </c>
      <c r="P244" s="17"/>
      <c r="Q244" s="60"/>
      <c r="R244" s="104">
        <v>16</v>
      </c>
      <c r="S244" s="102"/>
      <c r="AP244" s="103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</row>
    <row r="245" spans="1:53" ht="18" customHeight="1" x14ac:dyDescent="0.35">
      <c r="A245" s="99" t="s">
        <v>224</v>
      </c>
      <c r="B245" s="2">
        <v>7.73</v>
      </c>
      <c r="C245" s="58">
        <v>21</v>
      </c>
      <c r="D245" s="58"/>
      <c r="E245" s="2" t="s">
        <v>134</v>
      </c>
      <c r="F245" s="50">
        <v>1414</v>
      </c>
      <c r="G245" s="50">
        <v>948</v>
      </c>
      <c r="H245" s="25">
        <v>572</v>
      </c>
      <c r="I245" s="25">
        <v>317</v>
      </c>
      <c r="J245" s="25">
        <f t="shared" si="5"/>
        <v>255</v>
      </c>
      <c r="K245" s="25">
        <v>169</v>
      </c>
      <c r="L245" s="59">
        <v>4.3</v>
      </c>
      <c r="M245" s="60" t="s">
        <v>51</v>
      </c>
      <c r="N245" s="59" t="s">
        <v>51</v>
      </c>
      <c r="O245" s="57" t="s">
        <v>51</v>
      </c>
      <c r="P245" s="17"/>
      <c r="Q245" s="60"/>
      <c r="R245" s="104">
        <v>18</v>
      </c>
      <c r="S245" s="102"/>
      <c r="AP245" s="103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</row>
    <row r="246" spans="1:53" ht="18" customHeight="1" x14ac:dyDescent="0.35">
      <c r="A246" s="99" t="s">
        <v>225</v>
      </c>
      <c r="B246" s="2">
        <v>7.66</v>
      </c>
      <c r="C246" s="58">
        <v>19</v>
      </c>
      <c r="D246" s="58"/>
      <c r="E246" s="2" t="s">
        <v>134</v>
      </c>
      <c r="F246" s="50">
        <v>1182</v>
      </c>
      <c r="G246" s="50">
        <v>792</v>
      </c>
      <c r="H246" s="25">
        <v>572</v>
      </c>
      <c r="I246" s="25">
        <v>317</v>
      </c>
      <c r="J246" s="25">
        <f t="shared" si="5"/>
        <v>255</v>
      </c>
      <c r="K246" s="25">
        <v>165</v>
      </c>
      <c r="L246" s="59">
        <v>4.3</v>
      </c>
      <c r="M246" s="60" t="s">
        <v>51</v>
      </c>
      <c r="N246" s="59" t="s">
        <v>51</v>
      </c>
      <c r="O246" s="57" t="s">
        <v>51</v>
      </c>
      <c r="P246" s="17"/>
      <c r="Q246" s="60"/>
      <c r="R246" s="104">
        <v>16</v>
      </c>
      <c r="S246" s="102"/>
      <c r="AP246" s="103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</row>
    <row r="247" spans="1:53" ht="18" customHeight="1" x14ac:dyDescent="0.35">
      <c r="A247" s="99" t="s">
        <v>226</v>
      </c>
      <c r="B247" s="2">
        <v>7.93</v>
      </c>
      <c r="C247" s="58">
        <v>21</v>
      </c>
      <c r="D247" s="58"/>
      <c r="E247" s="2">
        <v>0.4</v>
      </c>
      <c r="F247" s="50">
        <v>1188</v>
      </c>
      <c r="G247" s="50">
        <v>796</v>
      </c>
      <c r="H247" s="25">
        <v>554</v>
      </c>
      <c r="I247" s="25">
        <v>326</v>
      </c>
      <c r="J247" s="25">
        <f t="shared" si="5"/>
        <v>228</v>
      </c>
      <c r="K247" s="25">
        <v>181</v>
      </c>
      <c r="L247" s="59">
        <v>4.0999999999999996</v>
      </c>
      <c r="M247" s="60" t="s">
        <v>51</v>
      </c>
      <c r="N247" s="59" t="s">
        <v>51</v>
      </c>
      <c r="O247" s="57" t="s">
        <v>51</v>
      </c>
      <c r="P247" s="17"/>
      <c r="Q247" s="60"/>
      <c r="R247" s="104">
        <v>15</v>
      </c>
      <c r="S247" s="102"/>
      <c r="AP247" s="103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</row>
    <row r="248" spans="1:53" ht="18" customHeight="1" x14ac:dyDescent="0.35">
      <c r="A248" s="99" t="s">
        <v>227</v>
      </c>
      <c r="B248" s="2">
        <v>7.51</v>
      </c>
      <c r="C248" s="58">
        <v>21</v>
      </c>
      <c r="D248" s="58"/>
      <c r="E248" s="2">
        <v>0.4</v>
      </c>
      <c r="F248" s="50">
        <v>1389</v>
      </c>
      <c r="G248" s="50">
        <v>931</v>
      </c>
      <c r="H248" s="25">
        <v>541</v>
      </c>
      <c r="I248" s="25">
        <v>330</v>
      </c>
      <c r="J248" s="25">
        <f t="shared" si="5"/>
        <v>211</v>
      </c>
      <c r="K248" s="25">
        <v>173</v>
      </c>
      <c r="L248" s="59">
        <v>4.2</v>
      </c>
      <c r="M248" s="60" t="s">
        <v>51</v>
      </c>
      <c r="N248" s="59" t="s">
        <v>51</v>
      </c>
      <c r="O248" s="57" t="s">
        <v>51</v>
      </c>
      <c r="P248" s="17"/>
      <c r="Q248" s="60"/>
      <c r="R248" s="104">
        <v>15</v>
      </c>
      <c r="S248" s="102"/>
      <c r="AP248" s="103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</row>
    <row r="249" spans="1:53" ht="18" customHeight="1" x14ac:dyDescent="0.35">
      <c r="A249" s="99" t="s">
        <v>228</v>
      </c>
      <c r="B249" s="2">
        <v>7.81</v>
      </c>
      <c r="C249" s="25">
        <v>21</v>
      </c>
      <c r="D249" s="25"/>
      <c r="E249" s="2">
        <v>0.5</v>
      </c>
      <c r="F249" s="25">
        <v>1294</v>
      </c>
      <c r="G249" s="25">
        <v>867</v>
      </c>
      <c r="H249" s="25">
        <v>515</v>
      </c>
      <c r="I249" s="25">
        <v>312</v>
      </c>
      <c r="J249" s="25">
        <f t="shared" si="5"/>
        <v>203</v>
      </c>
      <c r="K249" s="25">
        <v>165</v>
      </c>
      <c r="L249" s="59">
        <v>4</v>
      </c>
      <c r="M249" s="60" t="s">
        <v>51</v>
      </c>
      <c r="N249" s="59" t="s">
        <v>51</v>
      </c>
      <c r="O249" s="57" t="s">
        <v>51</v>
      </c>
      <c r="P249" s="17"/>
      <c r="Q249" s="60"/>
      <c r="R249" s="104">
        <v>17</v>
      </c>
      <c r="S249" s="102"/>
      <c r="AP249" s="103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</row>
    <row r="250" spans="1:53" ht="18" customHeight="1" x14ac:dyDescent="0.35">
      <c r="A250" s="99" t="s">
        <v>229</v>
      </c>
      <c r="B250" s="2">
        <v>7.64</v>
      </c>
      <c r="C250" s="25">
        <v>19</v>
      </c>
      <c r="D250" s="25"/>
      <c r="E250" s="2">
        <v>0.6</v>
      </c>
      <c r="F250" s="25">
        <v>1474</v>
      </c>
      <c r="G250" s="25">
        <v>988</v>
      </c>
      <c r="H250" s="25">
        <v>524</v>
      </c>
      <c r="I250" s="25">
        <v>317</v>
      </c>
      <c r="J250" s="25">
        <f t="shared" si="5"/>
        <v>207</v>
      </c>
      <c r="K250" s="25">
        <v>170</v>
      </c>
      <c r="L250" s="59">
        <v>4.5</v>
      </c>
      <c r="M250" s="60" t="s">
        <v>51</v>
      </c>
      <c r="N250" s="59" t="s">
        <v>51</v>
      </c>
      <c r="O250" s="57" t="s">
        <v>51</v>
      </c>
      <c r="P250" s="17"/>
      <c r="Q250" s="60"/>
      <c r="R250" s="104">
        <v>19</v>
      </c>
      <c r="S250" s="102"/>
      <c r="AP250" s="103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</row>
    <row r="251" spans="1:53" ht="18" customHeight="1" x14ac:dyDescent="0.35">
      <c r="A251" s="99" t="s">
        <v>230</v>
      </c>
      <c r="B251" s="2">
        <v>7.84</v>
      </c>
      <c r="C251" s="25">
        <v>20</v>
      </c>
      <c r="D251" s="25"/>
      <c r="E251" s="2">
        <v>0.5</v>
      </c>
      <c r="F251" s="25">
        <v>1540</v>
      </c>
      <c r="G251" s="25">
        <v>1032</v>
      </c>
      <c r="H251" s="25">
        <v>546</v>
      </c>
      <c r="I251" s="25">
        <v>326</v>
      </c>
      <c r="J251" s="25">
        <f t="shared" ref="J251:J256" si="6">H251-I251</f>
        <v>220</v>
      </c>
      <c r="K251" s="25">
        <v>162</v>
      </c>
      <c r="L251" s="59">
        <v>4.4000000000000004</v>
      </c>
      <c r="M251" s="60" t="s">
        <v>51</v>
      </c>
      <c r="N251" s="59" t="s">
        <v>51</v>
      </c>
      <c r="O251" s="57" t="s">
        <v>51</v>
      </c>
      <c r="P251" s="17"/>
      <c r="Q251" s="60"/>
      <c r="R251" s="104">
        <v>18</v>
      </c>
      <c r="S251" s="102"/>
      <c r="AP251" s="103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</row>
    <row r="252" spans="1:53" ht="18" customHeight="1" x14ac:dyDescent="0.35">
      <c r="A252" s="99" t="s">
        <v>231</v>
      </c>
      <c r="B252" s="2">
        <v>7.4</v>
      </c>
      <c r="C252" s="25">
        <v>22</v>
      </c>
      <c r="D252" s="25"/>
      <c r="E252" s="2">
        <v>0.2</v>
      </c>
      <c r="F252" s="25">
        <v>1555</v>
      </c>
      <c r="G252" s="25">
        <v>1042</v>
      </c>
      <c r="H252" s="25">
        <v>532</v>
      </c>
      <c r="I252" s="25">
        <v>307</v>
      </c>
      <c r="J252" s="25">
        <f t="shared" si="6"/>
        <v>225</v>
      </c>
      <c r="K252" s="25">
        <v>155</v>
      </c>
      <c r="L252" s="59">
        <v>4.0999999999999996</v>
      </c>
      <c r="M252" s="60" t="s">
        <v>51</v>
      </c>
      <c r="N252" s="59" t="s">
        <v>51</v>
      </c>
      <c r="O252" s="57" t="s">
        <v>51</v>
      </c>
      <c r="P252" s="17"/>
      <c r="Q252" s="60"/>
      <c r="R252" s="104">
        <v>17</v>
      </c>
      <c r="S252" s="102"/>
      <c r="AP252" s="103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</row>
    <row r="253" spans="1:53" ht="18" customHeight="1" x14ac:dyDescent="0.35">
      <c r="A253" s="99" t="s">
        <v>232</v>
      </c>
      <c r="B253" s="2">
        <v>7.36</v>
      </c>
      <c r="C253" s="25">
        <v>21</v>
      </c>
      <c r="D253" s="25"/>
      <c r="E253" s="2">
        <v>0.3</v>
      </c>
      <c r="F253" s="25">
        <v>1231</v>
      </c>
      <c r="G253" s="25">
        <v>825</v>
      </c>
      <c r="H253" s="25">
        <v>546</v>
      </c>
      <c r="I253" s="25">
        <v>321</v>
      </c>
      <c r="J253" s="25">
        <f t="shared" si="6"/>
        <v>225</v>
      </c>
      <c r="K253" s="25">
        <v>170</v>
      </c>
      <c r="L253" s="59">
        <v>4.2</v>
      </c>
      <c r="M253" s="60" t="s">
        <v>51</v>
      </c>
      <c r="N253" s="59" t="s">
        <v>51</v>
      </c>
      <c r="O253" s="57" t="s">
        <v>51</v>
      </c>
      <c r="P253" s="17"/>
      <c r="Q253" s="60"/>
      <c r="R253" s="104">
        <v>16</v>
      </c>
      <c r="S253" s="102"/>
      <c r="AP253" s="103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</row>
    <row r="254" spans="1:53" ht="18" customHeight="1" x14ac:dyDescent="0.35">
      <c r="A254" s="70" t="s">
        <v>233</v>
      </c>
      <c r="B254" s="2">
        <v>7.22</v>
      </c>
      <c r="C254" s="25">
        <v>18</v>
      </c>
      <c r="D254" s="25"/>
      <c r="E254" s="2">
        <v>0.1</v>
      </c>
      <c r="F254" s="25">
        <v>1422</v>
      </c>
      <c r="G254" s="25">
        <v>953</v>
      </c>
      <c r="H254" s="25">
        <v>581</v>
      </c>
      <c r="I254" s="25">
        <v>308</v>
      </c>
      <c r="J254" s="25">
        <f t="shared" si="6"/>
        <v>273</v>
      </c>
      <c r="K254" s="25">
        <v>151</v>
      </c>
      <c r="L254" s="59">
        <v>4.5</v>
      </c>
      <c r="M254" s="60" t="s">
        <v>51</v>
      </c>
      <c r="N254" s="59" t="s">
        <v>51</v>
      </c>
      <c r="O254" s="57" t="s">
        <v>51</v>
      </c>
      <c r="P254" s="25"/>
      <c r="Q254" s="60"/>
      <c r="R254" s="25">
        <v>19</v>
      </c>
      <c r="S254" s="102"/>
      <c r="AP254" s="103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</row>
    <row r="255" spans="1:53" ht="18" customHeight="1" x14ac:dyDescent="0.35">
      <c r="A255" s="99" t="s">
        <v>234</v>
      </c>
      <c r="B255" s="2">
        <v>7.52</v>
      </c>
      <c r="C255" s="25">
        <v>20</v>
      </c>
      <c r="D255" s="25"/>
      <c r="E255" s="2" t="s">
        <v>134</v>
      </c>
      <c r="F255" s="25">
        <v>1386</v>
      </c>
      <c r="G255" s="25">
        <v>929</v>
      </c>
      <c r="H255" s="25">
        <v>585</v>
      </c>
      <c r="I255" s="25">
        <v>312</v>
      </c>
      <c r="J255" s="25">
        <f t="shared" si="6"/>
        <v>273</v>
      </c>
      <c r="K255" s="25">
        <v>158</v>
      </c>
      <c r="L255" s="59">
        <v>4.5999999999999996</v>
      </c>
      <c r="M255" s="60" t="s">
        <v>51</v>
      </c>
      <c r="N255" s="59" t="s">
        <v>51</v>
      </c>
      <c r="O255" s="57" t="s">
        <v>51</v>
      </c>
      <c r="P255" s="25"/>
      <c r="Q255" s="60"/>
      <c r="R255" s="25">
        <v>20</v>
      </c>
      <c r="S255" s="102"/>
      <c r="AP255" s="103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</row>
    <row r="256" spans="1:53" ht="18" customHeight="1" thickBot="1" x14ac:dyDescent="0.4">
      <c r="A256" s="109" t="s">
        <v>235</v>
      </c>
      <c r="B256" s="2">
        <v>7.26</v>
      </c>
      <c r="C256" s="25">
        <v>23</v>
      </c>
      <c r="D256" s="25"/>
      <c r="E256" s="2">
        <v>0.2</v>
      </c>
      <c r="F256" s="25">
        <v>1485</v>
      </c>
      <c r="G256" s="25">
        <v>995</v>
      </c>
      <c r="H256" s="25">
        <v>616</v>
      </c>
      <c r="I256" s="25">
        <v>321</v>
      </c>
      <c r="J256" s="25">
        <f t="shared" si="6"/>
        <v>295</v>
      </c>
      <c r="K256" s="25">
        <v>165</v>
      </c>
      <c r="L256" s="59">
        <v>4.5</v>
      </c>
      <c r="M256" s="60" t="s">
        <v>51</v>
      </c>
      <c r="N256" s="59" t="s">
        <v>51</v>
      </c>
      <c r="O256" s="57" t="s">
        <v>51</v>
      </c>
      <c r="P256" s="25"/>
      <c r="Q256" s="60"/>
      <c r="R256" s="90">
        <v>21</v>
      </c>
      <c r="S256" s="102"/>
      <c r="AP256" s="103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</row>
    <row r="257" spans="1:54" ht="18" customHeight="1" x14ac:dyDescent="0.35">
      <c r="A257" s="108" t="s">
        <v>262</v>
      </c>
      <c r="B257" s="1">
        <v>7.37</v>
      </c>
      <c r="C257" s="12">
        <v>18</v>
      </c>
      <c r="D257" s="12"/>
      <c r="E257" s="1">
        <v>0.3</v>
      </c>
      <c r="F257" s="85">
        <v>1322</v>
      </c>
      <c r="G257" s="85">
        <v>886</v>
      </c>
      <c r="H257" s="76">
        <v>625</v>
      </c>
      <c r="I257" s="76">
        <v>323</v>
      </c>
      <c r="J257" s="25">
        <f t="shared" ref="J257:J304" si="7">H257-I257</f>
        <v>302</v>
      </c>
      <c r="K257" s="76">
        <v>158</v>
      </c>
      <c r="L257" s="59">
        <v>4.2</v>
      </c>
      <c r="M257" s="60" t="s">
        <v>51</v>
      </c>
      <c r="N257" s="59" t="s">
        <v>51</v>
      </c>
      <c r="O257" s="57" t="s">
        <v>51</v>
      </c>
      <c r="P257" s="17"/>
      <c r="Q257" s="60"/>
      <c r="R257" s="104">
        <v>24</v>
      </c>
      <c r="T257" s="102"/>
      <c r="AP257"/>
      <c r="AQ257" s="103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</row>
    <row r="258" spans="1:54" ht="18" customHeight="1" x14ac:dyDescent="0.35">
      <c r="A258" s="99" t="s">
        <v>263</v>
      </c>
      <c r="B258" s="2">
        <v>7.02</v>
      </c>
      <c r="C258" s="58">
        <v>21</v>
      </c>
      <c r="D258" s="58"/>
      <c r="E258" s="2">
        <v>0.3</v>
      </c>
      <c r="F258" s="50">
        <v>1507</v>
      </c>
      <c r="G258" s="25">
        <v>1010</v>
      </c>
      <c r="H258" s="25">
        <v>633</v>
      </c>
      <c r="I258" s="25">
        <v>330</v>
      </c>
      <c r="J258" s="25">
        <f t="shared" si="7"/>
        <v>303</v>
      </c>
      <c r="K258" s="25">
        <v>165</v>
      </c>
      <c r="L258" s="59">
        <v>4.0999999999999996</v>
      </c>
      <c r="M258" s="60" t="s">
        <v>51</v>
      </c>
      <c r="N258" s="59" t="s">
        <v>51</v>
      </c>
      <c r="O258" s="57" t="s">
        <v>51</v>
      </c>
      <c r="P258" s="17"/>
      <c r="Q258" s="60"/>
      <c r="R258" s="104">
        <v>26</v>
      </c>
      <c r="T258" s="102"/>
      <c r="AP258"/>
      <c r="AQ258" s="103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</row>
    <row r="259" spans="1:54" ht="18" customHeight="1" x14ac:dyDescent="0.35">
      <c r="A259" s="99" t="s">
        <v>264</v>
      </c>
      <c r="B259" s="2">
        <v>7.05</v>
      </c>
      <c r="C259" s="58">
        <v>21</v>
      </c>
      <c r="D259" s="58"/>
      <c r="E259" s="2">
        <v>0.7</v>
      </c>
      <c r="F259" s="50">
        <v>1455</v>
      </c>
      <c r="G259" s="50">
        <v>975</v>
      </c>
      <c r="H259" s="25">
        <v>642</v>
      </c>
      <c r="I259" s="25">
        <v>334</v>
      </c>
      <c r="J259" s="25">
        <f t="shared" si="7"/>
        <v>308</v>
      </c>
      <c r="K259" s="25">
        <v>180</v>
      </c>
      <c r="L259" s="59">
        <v>4.2</v>
      </c>
      <c r="M259" s="60" t="s">
        <v>51</v>
      </c>
      <c r="N259" s="59" t="s">
        <v>51</v>
      </c>
      <c r="O259" s="57" t="s">
        <v>51</v>
      </c>
      <c r="P259" s="17"/>
      <c r="Q259" s="60"/>
      <c r="R259" s="104">
        <v>25</v>
      </c>
      <c r="T259" s="102"/>
      <c r="AP259"/>
      <c r="AQ259" s="103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</row>
    <row r="260" spans="1:54" ht="18" customHeight="1" x14ac:dyDescent="0.35">
      <c r="A260" s="99" t="s">
        <v>265</v>
      </c>
      <c r="B260" s="2">
        <v>7.55</v>
      </c>
      <c r="C260" s="17">
        <v>23</v>
      </c>
      <c r="D260" s="17"/>
      <c r="E260" s="2" t="s">
        <v>32</v>
      </c>
      <c r="F260" s="50">
        <v>1332</v>
      </c>
      <c r="G260" s="50">
        <v>893</v>
      </c>
      <c r="H260" s="25">
        <v>636</v>
      </c>
      <c r="I260" s="25">
        <v>340</v>
      </c>
      <c r="J260" s="25">
        <f t="shared" si="7"/>
        <v>296</v>
      </c>
      <c r="K260" s="25">
        <v>187</v>
      </c>
      <c r="L260" s="59">
        <v>4.5999999999999996</v>
      </c>
      <c r="M260" s="60" t="s">
        <v>51</v>
      </c>
      <c r="N260" s="59" t="s">
        <v>51</v>
      </c>
      <c r="O260" s="57" t="s">
        <v>51</v>
      </c>
      <c r="P260" s="17"/>
      <c r="Q260" s="60"/>
      <c r="R260" s="104">
        <v>22</v>
      </c>
      <c r="T260" s="102"/>
      <c r="AP260"/>
      <c r="AQ260" s="103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</row>
    <row r="261" spans="1:54" ht="18" customHeight="1" x14ac:dyDescent="0.35">
      <c r="A261" s="99" t="s">
        <v>266</v>
      </c>
      <c r="B261" s="2">
        <v>6.76</v>
      </c>
      <c r="C261" s="17">
        <v>20</v>
      </c>
      <c r="D261" s="17"/>
      <c r="E261" s="2">
        <v>0.9</v>
      </c>
      <c r="F261" s="50">
        <v>1329</v>
      </c>
      <c r="G261" s="50">
        <v>891</v>
      </c>
      <c r="H261" s="25">
        <v>641</v>
      </c>
      <c r="I261" s="25">
        <v>336</v>
      </c>
      <c r="J261" s="25">
        <f t="shared" si="7"/>
        <v>305</v>
      </c>
      <c r="K261" s="25">
        <v>180</v>
      </c>
      <c r="L261" s="59">
        <v>4.3</v>
      </c>
      <c r="M261" s="60" t="s">
        <v>51</v>
      </c>
      <c r="N261" s="59" t="s">
        <v>51</v>
      </c>
      <c r="O261" s="57" t="s">
        <v>51</v>
      </c>
      <c r="P261" s="17"/>
      <c r="Q261" s="60"/>
      <c r="R261" s="104">
        <v>26</v>
      </c>
      <c r="T261" s="102"/>
      <c r="AP261"/>
      <c r="AQ261" s="103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</row>
    <row r="262" spans="1:54" ht="18" customHeight="1" x14ac:dyDescent="0.35">
      <c r="A262" s="99" t="s">
        <v>267</v>
      </c>
      <c r="B262" s="2">
        <v>7.25</v>
      </c>
      <c r="C262" s="17">
        <v>49</v>
      </c>
      <c r="D262" s="17"/>
      <c r="E262" s="2">
        <v>0.5</v>
      </c>
      <c r="F262" s="50">
        <v>1277</v>
      </c>
      <c r="G262" s="50">
        <v>856</v>
      </c>
      <c r="H262" s="25">
        <v>654</v>
      </c>
      <c r="I262" s="25">
        <v>323</v>
      </c>
      <c r="J262" s="25">
        <f t="shared" si="7"/>
        <v>331</v>
      </c>
      <c r="K262" s="25">
        <v>151</v>
      </c>
      <c r="L262" s="59">
        <v>4.5999999999999996</v>
      </c>
      <c r="M262" s="60" t="s">
        <v>51</v>
      </c>
      <c r="N262" s="59" t="s">
        <v>51</v>
      </c>
      <c r="O262" s="57" t="s">
        <v>51</v>
      </c>
      <c r="P262" s="17"/>
      <c r="Q262" s="60"/>
      <c r="R262" s="104">
        <v>22</v>
      </c>
      <c r="T262" s="102"/>
      <c r="AP262"/>
      <c r="AQ262" s="103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</row>
    <row r="263" spans="1:54" ht="18" customHeight="1" x14ac:dyDescent="0.35">
      <c r="A263" s="99" t="s">
        <v>268</v>
      </c>
      <c r="B263" s="2">
        <v>7.4</v>
      </c>
      <c r="C263" s="17">
        <v>26</v>
      </c>
      <c r="D263" s="17"/>
      <c r="E263" s="2">
        <v>0.3</v>
      </c>
      <c r="F263" s="50">
        <v>1365</v>
      </c>
      <c r="G263" s="50">
        <v>915</v>
      </c>
      <c r="H263" s="25">
        <v>609</v>
      </c>
      <c r="I263" s="25">
        <v>323</v>
      </c>
      <c r="J263" s="25">
        <f t="shared" si="7"/>
        <v>286</v>
      </c>
      <c r="K263" s="25">
        <v>153</v>
      </c>
      <c r="L263" s="59">
        <v>4.5999999999999996</v>
      </c>
      <c r="M263" s="60" t="s">
        <v>51</v>
      </c>
      <c r="N263" s="59" t="s">
        <v>51</v>
      </c>
      <c r="O263" s="57" t="s">
        <v>51</v>
      </c>
      <c r="P263" s="17"/>
      <c r="Q263" s="60"/>
      <c r="R263" s="104">
        <v>23</v>
      </c>
      <c r="T263" s="102"/>
      <c r="AP263"/>
      <c r="AQ263" s="103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</row>
    <row r="264" spans="1:54" ht="18" customHeight="1" x14ac:dyDescent="0.35">
      <c r="A264" s="99" t="s">
        <v>269</v>
      </c>
      <c r="B264" s="2">
        <v>7.08</v>
      </c>
      <c r="C264" s="17">
        <v>35</v>
      </c>
      <c r="D264" s="17"/>
      <c r="E264" s="2">
        <v>0.4</v>
      </c>
      <c r="F264" s="50">
        <v>1389</v>
      </c>
      <c r="G264" s="50">
        <v>931</v>
      </c>
      <c r="H264" s="25">
        <v>597</v>
      </c>
      <c r="I264" s="25">
        <v>309</v>
      </c>
      <c r="J264" s="25">
        <f t="shared" si="7"/>
        <v>288</v>
      </c>
      <c r="K264" s="25">
        <v>157</v>
      </c>
      <c r="L264" s="59">
        <v>4.5</v>
      </c>
      <c r="M264" s="60" t="s">
        <v>51</v>
      </c>
      <c r="N264" s="59" t="s">
        <v>51</v>
      </c>
      <c r="O264" s="57" t="s">
        <v>51</v>
      </c>
      <c r="P264" s="17"/>
      <c r="Q264" s="60"/>
      <c r="R264" s="104">
        <v>25</v>
      </c>
      <c r="T264" s="102"/>
      <c r="AP264"/>
      <c r="AQ264" s="103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</row>
    <row r="265" spans="1:54" ht="18" customHeight="1" x14ac:dyDescent="0.35">
      <c r="A265" s="99" t="s">
        <v>270</v>
      </c>
      <c r="B265" s="2">
        <v>7.75</v>
      </c>
      <c r="C265" s="58">
        <v>38</v>
      </c>
      <c r="D265" s="58"/>
      <c r="E265" s="2">
        <v>0.5</v>
      </c>
      <c r="F265" s="50">
        <v>1485</v>
      </c>
      <c r="G265" s="50">
        <v>995</v>
      </c>
      <c r="H265" s="25">
        <v>602</v>
      </c>
      <c r="I265" s="25">
        <v>313</v>
      </c>
      <c r="J265" s="25">
        <f t="shared" si="7"/>
        <v>289</v>
      </c>
      <c r="K265" s="25">
        <v>167</v>
      </c>
      <c r="L265" s="59">
        <v>4.5999999999999996</v>
      </c>
      <c r="M265" s="60" t="s">
        <v>51</v>
      </c>
      <c r="N265" s="59" t="s">
        <v>51</v>
      </c>
      <c r="O265" s="57" t="s">
        <v>51</v>
      </c>
      <c r="P265" s="17"/>
      <c r="Q265" s="60"/>
      <c r="R265" s="104">
        <v>27</v>
      </c>
      <c r="T265" s="102"/>
      <c r="AP265"/>
      <c r="AQ265" s="103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</row>
    <row r="266" spans="1:54" ht="18" customHeight="1" x14ac:dyDescent="0.35">
      <c r="A266" s="99" t="s">
        <v>271</v>
      </c>
      <c r="B266" s="2">
        <v>7.6</v>
      </c>
      <c r="C266" s="58">
        <v>64</v>
      </c>
      <c r="D266" s="58">
        <v>38</v>
      </c>
      <c r="E266" s="2">
        <v>0.7</v>
      </c>
      <c r="F266" s="50">
        <v>960</v>
      </c>
      <c r="G266" s="50">
        <v>643</v>
      </c>
      <c r="H266" s="25">
        <v>410</v>
      </c>
      <c r="I266" s="25">
        <v>266</v>
      </c>
      <c r="J266" s="25">
        <f t="shared" si="7"/>
        <v>144</v>
      </c>
      <c r="K266" s="25">
        <v>280</v>
      </c>
      <c r="L266" s="59">
        <v>4.9000000000000004</v>
      </c>
      <c r="M266" s="60">
        <v>45</v>
      </c>
      <c r="N266" s="59" t="s">
        <v>51</v>
      </c>
      <c r="O266" s="57" t="s">
        <v>51</v>
      </c>
      <c r="P266" s="17"/>
      <c r="Q266" s="60"/>
      <c r="R266" s="104" t="s">
        <v>51</v>
      </c>
      <c r="T266" s="102"/>
      <c r="AP266"/>
      <c r="AQ266" s="103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</row>
    <row r="267" spans="1:54" ht="18" customHeight="1" x14ac:dyDescent="0.35">
      <c r="A267" s="99" t="s">
        <v>272</v>
      </c>
      <c r="B267" s="2">
        <v>7.6</v>
      </c>
      <c r="C267" s="58">
        <v>52</v>
      </c>
      <c r="D267" s="58">
        <v>34</v>
      </c>
      <c r="E267" s="2">
        <v>0.6</v>
      </c>
      <c r="F267" s="50">
        <v>930</v>
      </c>
      <c r="G267" s="50">
        <v>623</v>
      </c>
      <c r="H267" s="25">
        <v>400</v>
      </c>
      <c r="I267" s="25">
        <v>254</v>
      </c>
      <c r="J267" s="17">
        <f t="shared" si="7"/>
        <v>146</v>
      </c>
      <c r="K267" s="25">
        <v>283</v>
      </c>
      <c r="L267" s="59">
        <v>4.8</v>
      </c>
      <c r="M267" s="60">
        <v>48</v>
      </c>
      <c r="N267" s="59" t="s">
        <v>51</v>
      </c>
      <c r="O267" s="57" t="s">
        <v>51</v>
      </c>
      <c r="P267" s="17"/>
      <c r="Q267" s="60"/>
      <c r="R267" s="104" t="s">
        <v>51</v>
      </c>
      <c r="T267" s="102"/>
      <c r="AP267"/>
      <c r="AQ267" s="103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</row>
    <row r="268" spans="1:54" ht="18" customHeight="1" x14ac:dyDescent="0.35">
      <c r="A268" s="99" t="s">
        <v>273</v>
      </c>
      <c r="B268" s="2">
        <v>7.6</v>
      </c>
      <c r="C268" s="58" t="s">
        <v>51</v>
      </c>
      <c r="D268" s="58">
        <v>51</v>
      </c>
      <c r="E268" s="2">
        <v>0.6</v>
      </c>
      <c r="F268" s="50">
        <v>900</v>
      </c>
      <c r="G268" s="50">
        <v>603</v>
      </c>
      <c r="H268" s="25">
        <v>395</v>
      </c>
      <c r="I268" s="25">
        <v>244</v>
      </c>
      <c r="J268" s="25">
        <f t="shared" si="7"/>
        <v>151</v>
      </c>
      <c r="K268" s="25">
        <v>272</v>
      </c>
      <c r="L268" s="59">
        <v>4.4000000000000004</v>
      </c>
      <c r="M268" s="60">
        <v>50</v>
      </c>
      <c r="N268" s="59" t="s">
        <v>51</v>
      </c>
      <c r="O268" s="57">
        <v>0.3</v>
      </c>
      <c r="P268" s="17"/>
      <c r="Q268" s="60"/>
      <c r="R268" s="104" t="s">
        <v>51</v>
      </c>
      <c r="T268" s="102"/>
      <c r="AP268"/>
      <c r="AQ268" s="103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</row>
    <row r="269" spans="1:54" ht="18" customHeight="1" x14ac:dyDescent="0.35">
      <c r="A269" s="99" t="s">
        <v>274</v>
      </c>
      <c r="B269" s="2">
        <v>8.1</v>
      </c>
      <c r="C269" s="58" t="s">
        <v>51</v>
      </c>
      <c r="D269" s="58">
        <v>35</v>
      </c>
      <c r="E269" s="2" t="s">
        <v>32</v>
      </c>
      <c r="F269" s="50">
        <v>831</v>
      </c>
      <c r="G269" s="50">
        <v>556</v>
      </c>
      <c r="H269" s="25">
        <v>358</v>
      </c>
      <c r="I269" s="25">
        <v>212</v>
      </c>
      <c r="J269" s="25">
        <f t="shared" si="7"/>
        <v>146</v>
      </c>
      <c r="K269" s="25">
        <v>203</v>
      </c>
      <c r="L269" s="59">
        <v>6</v>
      </c>
      <c r="M269" s="60">
        <v>53</v>
      </c>
      <c r="N269" s="59" t="s">
        <v>51</v>
      </c>
      <c r="O269" s="57">
        <v>0.3</v>
      </c>
      <c r="P269" s="17"/>
      <c r="Q269" s="60"/>
      <c r="R269" s="104" t="s">
        <v>51</v>
      </c>
      <c r="T269" s="102"/>
      <c r="AP269"/>
      <c r="AQ269" s="103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</row>
    <row r="270" spans="1:54" ht="18" customHeight="1" x14ac:dyDescent="0.35">
      <c r="A270" s="99" t="s">
        <v>275</v>
      </c>
      <c r="B270" s="2">
        <v>8.3000000000000007</v>
      </c>
      <c r="C270" s="58" t="s">
        <v>51</v>
      </c>
      <c r="D270" s="58">
        <v>25</v>
      </c>
      <c r="E270" s="2" t="s">
        <v>32</v>
      </c>
      <c r="F270" s="50">
        <v>775</v>
      </c>
      <c r="G270" s="50">
        <v>519</v>
      </c>
      <c r="H270" s="50">
        <v>265</v>
      </c>
      <c r="I270" s="25">
        <v>167</v>
      </c>
      <c r="J270" s="25">
        <f t="shared" si="7"/>
        <v>98</v>
      </c>
      <c r="K270" s="25">
        <v>210</v>
      </c>
      <c r="L270" s="59">
        <v>6.3</v>
      </c>
      <c r="M270" s="60">
        <v>67</v>
      </c>
      <c r="N270" s="59" t="s">
        <v>51</v>
      </c>
      <c r="O270" s="57">
        <v>0.3</v>
      </c>
      <c r="P270" s="17"/>
      <c r="Q270" s="60"/>
      <c r="R270" s="104" t="s">
        <v>51</v>
      </c>
      <c r="T270" s="102"/>
      <c r="AP270"/>
      <c r="AQ270" s="103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</row>
    <row r="271" spans="1:54" ht="18" customHeight="1" x14ac:dyDescent="0.35">
      <c r="A271" s="99" t="s">
        <v>276</v>
      </c>
      <c r="B271" s="2">
        <v>8.77</v>
      </c>
      <c r="C271" s="58" t="s">
        <v>51</v>
      </c>
      <c r="D271" s="58">
        <v>23</v>
      </c>
      <c r="E271" s="2" t="s">
        <v>32</v>
      </c>
      <c r="F271" s="50">
        <v>937</v>
      </c>
      <c r="G271" s="50">
        <v>628</v>
      </c>
      <c r="H271" s="25">
        <v>643</v>
      </c>
      <c r="I271" s="25">
        <v>405</v>
      </c>
      <c r="J271" s="25">
        <f t="shared" si="7"/>
        <v>238</v>
      </c>
      <c r="K271" s="25">
        <v>157</v>
      </c>
      <c r="L271" s="59">
        <v>4.3</v>
      </c>
      <c r="M271" s="60" t="s">
        <v>51</v>
      </c>
      <c r="N271" s="59" t="s">
        <v>51</v>
      </c>
      <c r="O271" s="57" t="s">
        <v>51</v>
      </c>
      <c r="P271" s="17"/>
      <c r="Q271" s="60"/>
      <c r="R271" s="104">
        <v>26</v>
      </c>
      <c r="T271" s="102"/>
      <c r="AP271"/>
      <c r="AQ271" s="103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</row>
    <row r="272" spans="1:54" ht="18" customHeight="1" x14ac:dyDescent="0.35">
      <c r="A272" s="99" t="s">
        <v>277</v>
      </c>
      <c r="B272" s="2">
        <v>8.2200000000000006</v>
      </c>
      <c r="C272" s="58" t="s">
        <v>51</v>
      </c>
      <c r="D272" s="58">
        <v>23</v>
      </c>
      <c r="E272" s="2" t="s">
        <v>32</v>
      </c>
      <c r="F272" s="50">
        <v>900</v>
      </c>
      <c r="G272" s="50">
        <v>603</v>
      </c>
      <c r="H272" s="25">
        <v>628</v>
      </c>
      <c r="I272" s="25">
        <v>395</v>
      </c>
      <c r="J272" s="25">
        <f t="shared" si="7"/>
        <v>233</v>
      </c>
      <c r="K272" s="25">
        <v>150</v>
      </c>
      <c r="L272" s="59">
        <v>4.5999999999999996</v>
      </c>
      <c r="M272" s="60" t="s">
        <v>51</v>
      </c>
      <c r="N272" s="59" t="s">
        <v>51</v>
      </c>
      <c r="O272" s="57" t="s">
        <v>51</v>
      </c>
      <c r="P272" s="17"/>
      <c r="Q272" s="60"/>
      <c r="R272" s="104">
        <v>25</v>
      </c>
      <c r="T272" s="102"/>
      <c r="AP272"/>
      <c r="AQ272" s="103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</row>
    <row r="273" spans="1:54" ht="18" customHeight="1" x14ac:dyDescent="0.35">
      <c r="A273" s="99" t="s">
        <v>278</v>
      </c>
      <c r="B273" s="2">
        <v>7.56</v>
      </c>
      <c r="C273" s="58" t="s">
        <v>51</v>
      </c>
      <c r="D273" s="58">
        <v>18</v>
      </c>
      <c r="E273" s="2">
        <v>0.2</v>
      </c>
      <c r="F273" s="50">
        <v>913</v>
      </c>
      <c r="G273" s="50">
        <v>612</v>
      </c>
      <c r="H273" s="25">
        <v>638</v>
      </c>
      <c r="I273" s="25">
        <v>395</v>
      </c>
      <c r="J273" s="25">
        <f t="shared" si="7"/>
        <v>243</v>
      </c>
      <c r="K273" s="25">
        <v>157</v>
      </c>
      <c r="L273" s="59">
        <v>4.5</v>
      </c>
      <c r="M273" s="60" t="s">
        <v>51</v>
      </c>
      <c r="N273" s="59" t="s">
        <v>51</v>
      </c>
      <c r="O273" s="57" t="s">
        <v>51</v>
      </c>
      <c r="P273" s="17"/>
      <c r="Q273" s="60"/>
      <c r="R273" s="104">
        <v>25</v>
      </c>
      <c r="T273" s="102"/>
      <c r="AP273"/>
      <c r="AQ273" s="103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</row>
    <row r="274" spans="1:54" ht="18" customHeight="1" x14ac:dyDescent="0.35">
      <c r="A274" s="99" t="s">
        <v>279</v>
      </c>
      <c r="B274" s="2">
        <v>7.45</v>
      </c>
      <c r="C274" s="58" t="s">
        <v>51</v>
      </c>
      <c r="D274" s="58">
        <v>20</v>
      </c>
      <c r="E274" s="2">
        <v>0.3</v>
      </c>
      <c r="F274" s="50">
        <v>983</v>
      </c>
      <c r="G274" s="50">
        <v>659</v>
      </c>
      <c r="H274" s="25">
        <v>633</v>
      </c>
      <c r="I274" s="25">
        <v>390</v>
      </c>
      <c r="J274" s="25">
        <f t="shared" si="7"/>
        <v>243</v>
      </c>
      <c r="K274" s="25">
        <v>150</v>
      </c>
      <c r="L274" s="59">
        <v>4.4000000000000004</v>
      </c>
      <c r="M274" s="60" t="s">
        <v>51</v>
      </c>
      <c r="N274" s="59" t="s">
        <v>51</v>
      </c>
      <c r="O274" s="57" t="s">
        <v>51</v>
      </c>
      <c r="P274" s="17"/>
      <c r="Q274" s="60"/>
      <c r="R274" s="104">
        <v>28</v>
      </c>
      <c r="T274" s="102"/>
      <c r="AP274"/>
      <c r="AQ274" s="103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</row>
    <row r="275" spans="1:54" ht="18" customHeight="1" x14ac:dyDescent="0.35">
      <c r="A275" s="99" t="s">
        <v>280</v>
      </c>
      <c r="B275" s="2">
        <v>6.22</v>
      </c>
      <c r="C275" s="25" t="s">
        <v>51</v>
      </c>
      <c r="D275" s="25">
        <v>20</v>
      </c>
      <c r="E275" s="2">
        <v>0.2</v>
      </c>
      <c r="F275" s="25">
        <v>970</v>
      </c>
      <c r="G275" s="25">
        <v>650</v>
      </c>
      <c r="H275" s="25">
        <v>647</v>
      </c>
      <c r="I275" s="25">
        <v>391</v>
      </c>
      <c r="J275" s="25">
        <f t="shared" si="7"/>
        <v>256</v>
      </c>
      <c r="K275" s="25">
        <v>142</v>
      </c>
      <c r="L275" s="59">
        <v>4.5</v>
      </c>
      <c r="M275" s="60" t="s">
        <v>51</v>
      </c>
      <c r="N275" s="59" t="s">
        <v>51</v>
      </c>
      <c r="O275" s="57" t="s">
        <v>51</v>
      </c>
      <c r="P275" s="17"/>
      <c r="Q275" s="60"/>
      <c r="R275" s="104">
        <v>26</v>
      </c>
      <c r="T275" s="102"/>
      <c r="AP275"/>
      <c r="AQ275" s="103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</row>
    <row r="276" spans="1:54" ht="18" customHeight="1" x14ac:dyDescent="0.35">
      <c r="A276" s="99" t="s">
        <v>281</v>
      </c>
      <c r="B276" s="2">
        <v>7.25</v>
      </c>
      <c r="C276" s="25" t="s">
        <v>51</v>
      </c>
      <c r="D276" s="25">
        <v>23</v>
      </c>
      <c r="E276" s="2" t="s">
        <v>32</v>
      </c>
      <c r="F276" s="25">
        <v>1080</v>
      </c>
      <c r="G276" s="25">
        <v>724</v>
      </c>
      <c r="H276" s="25">
        <v>652</v>
      </c>
      <c r="I276" s="25">
        <v>395</v>
      </c>
      <c r="J276" s="25">
        <f t="shared" si="7"/>
        <v>257</v>
      </c>
      <c r="K276" s="25">
        <v>157</v>
      </c>
      <c r="L276" s="59">
        <v>4.5</v>
      </c>
      <c r="M276" s="60" t="s">
        <v>51</v>
      </c>
      <c r="N276" s="59" t="s">
        <v>51</v>
      </c>
      <c r="O276" s="57">
        <v>0.1</v>
      </c>
      <c r="P276" s="17"/>
      <c r="Q276" s="60"/>
      <c r="R276" s="104">
        <v>29</v>
      </c>
      <c r="T276" s="102"/>
      <c r="AP276"/>
      <c r="AQ276" s="103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</row>
    <row r="277" spans="1:54" ht="18" customHeight="1" x14ac:dyDescent="0.35">
      <c r="A277" s="99" t="s">
        <v>282</v>
      </c>
      <c r="B277" s="2">
        <v>7.18</v>
      </c>
      <c r="C277" s="25" t="s">
        <v>51</v>
      </c>
      <c r="D277" s="25">
        <v>22</v>
      </c>
      <c r="E277" s="2">
        <v>0.2</v>
      </c>
      <c r="F277" s="25">
        <v>1073</v>
      </c>
      <c r="G277" s="25">
        <v>719</v>
      </c>
      <c r="H277" s="25">
        <v>655</v>
      </c>
      <c r="I277" s="25">
        <v>361</v>
      </c>
      <c r="J277" s="25">
        <f t="shared" si="7"/>
        <v>294</v>
      </c>
      <c r="K277" s="25">
        <v>150</v>
      </c>
      <c r="L277" s="59">
        <v>4.7</v>
      </c>
      <c r="M277" s="60" t="s">
        <v>51</v>
      </c>
      <c r="N277" s="59" t="s">
        <v>51</v>
      </c>
      <c r="O277" s="57" t="s">
        <v>51</v>
      </c>
      <c r="P277" s="17"/>
      <c r="Q277" s="60"/>
      <c r="R277" s="104">
        <v>25</v>
      </c>
      <c r="T277" s="102"/>
      <c r="AP277"/>
      <c r="AQ277" s="103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</row>
    <row r="278" spans="1:54" ht="18" customHeight="1" x14ac:dyDescent="0.35">
      <c r="A278" s="99" t="s">
        <v>283</v>
      </c>
      <c r="B278" s="2">
        <v>7.82</v>
      </c>
      <c r="C278" s="25" t="s">
        <v>51</v>
      </c>
      <c r="D278" s="25">
        <v>18</v>
      </c>
      <c r="E278" s="2" t="s">
        <v>32</v>
      </c>
      <c r="F278" s="25">
        <v>1005</v>
      </c>
      <c r="G278" s="25">
        <v>679</v>
      </c>
      <c r="H278" s="25">
        <v>664</v>
      </c>
      <c r="I278" s="25">
        <v>357</v>
      </c>
      <c r="J278" s="25">
        <f t="shared" si="7"/>
        <v>307</v>
      </c>
      <c r="K278" s="25">
        <v>157</v>
      </c>
      <c r="L278" s="59">
        <v>4.5999999999999996</v>
      </c>
      <c r="M278" s="60" t="s">
        <v>51</v>
      </c>
      <c r="N278" s="59" t="s">
        <v>51</v>
      </c>
      <c r="O278" s="57" t="s">
        <v>51</v>
      </c>
      <c r="P278" s="17"/>
      <c r="Q278" s="60"/>
      <c r="R278" s="104">
        <v>24</v>
      </c>
      <c r="T278" s="102"/>
      <c r="AP278"/>
      <c r="AQ278" s="103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</row>
    <row r="279" spans="1:54" ht="18" customHeight="1" x14ac:dyDescent="0.35">
      <c r="A279" s="99" t="s">
        <v>284</v>
      </c>
      <c r="B279" s="2">
        <v>7.3</v>
      </c>
      <c r="C279" s="25" t="s">
        <v>51</v>
      </c>
      <c r="D279" s="25">
        <v>22</v>
      </c>
      <c r="E279" s="2" t="s">
        <v>32</v>
      </c>
      <c r="F279" s="25">
        <v>1047</v>
      </c>
      <c r="G279" s="25">
        <v>702</v>
      </c>
      <c r="H279" s="25">
        <v>672</v>
      </c>
      <c r="I279" s="25">
        <v>357</v>
      </c>
      <c r="J279" s="25">
        <f t="shared" si="7"/>
        <v>315</v>
      </c>
      <c r="K279" s="25">
        <v>164</v>
      </c>
      <c r="L279" s="59">
        <v>4.3</v>
      </c>
      <c r="M279" s="60" t="s">
        <v>51</v>
      </c>
      <c r="N279" s="59" t="s">
        <v>51</v>
      </c>
      <c r="O279" s="57" t="s">
        <v>51</v>
      </c>
      <c r="P279" s="17"/>
      <c r="Q279" s="60"/>
      <c r="R279" s="104">
        <v>26</v>
      </c>
      <c r="T279" s="102"/>
      <c r="AP279"/>
      <c r="AQ279" s="103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</row>
    <row r="280" spans="1:54" ht="18" customHeight="1" x14ac:dyDescent="0.35">
      <c r="A280" s="70" t="s">
        <v>285</v>
      </c>
      <c r="B280" s="2">
        <v>7.59</v>
      </c>
      <c r="C280" s="25" t="s">
        <v>51</v>
      </c>
      <c r="D280" s="25">
        <v>19</v>
      </c>
      <c r="E280" s="2">
        <v>0.4</v>
      </c>
      <c r="F280" s="25">
        <v>1035</v>
      </c>
      <c r="G280" s="25">
        <v>694</v>
      </c>
      <c r="H280" s="25">
        <v>664</v>
      </c>
      <c r="I280" s="25">
        <v>349</v>
      </c>
      <c r="J280" s="25">
        <f t="shared" si="7"/>
        <v>315</v>
      </c>
      <c r="K280" s="25">
        <v>157</v>
      </c>
      <c r="L280" s="59">
        <v>4.4000000000000004</v>
      </c>
      <c r="M280" s="60" t="s">
        <v>51</v>
      </c>
      <c r="N280" s="59" t="s">
        <v>51</v>
      </c>
      <c r="O280" s="57" t="s">
        <v>51</v>
      </c>
      <c r="P280" s="25"/>
      <c r="Q280" s="60"/>
      <c r="R280" s="25">
        <v>22</v>
      </c>
      <c r="T280" s="102"/>
      <c r="AP280"/>
      <c r="AQ280" s="103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</row>
    <row r="281" spans="1:54" ht="18" customHeight="1" thickBot="1" x14ac:dyDescent="0.4">
      <c r="A281" s="109" t="s">
        <v>286</v>
      </c>
      <c r="B281" s="2">
        <v>7.93</v>
      </c>
      <c r="C281" s="25" t="s">
        <v>51</v>
      </c>
      <c r="D281" s="25">
        <v>22</v>
      </c>
      <c r="E281" s="2">
        <v>0.1</v>
      </c>
      <c r="F281" s="25">
        <v>868</v>
      </c>
      <c r="G281" s="25">
        <v>582</v>
      </c>
      <c r="H281" s="25">
        <v>678</v>
      </c>
      <c r="I281" s="25">
        <v>352</v>
      </c>
      <c r="J281" s="25">
        <f t="shared" si="7"/>
        <v>326</v>
      </c>
      <c r="K281" s="25">
        <v>164</v>
      </c>
      <c r="L281" s="59">
        <v>4.3</v>
      </c>
      <c r="M281" s="60" t="s">
        <v>51</v>
      </c>
      <c r="N281" s="59" t="s">
        <v>51</v>
      </c>
      <c r="O281" s="57" t="s">
        <v>51</v>
      </c>
      <c r="P281" s="25"/>
      <c r="Q281" s="60"/>
      <c r="R281" s="25">
        <v>24</v>
      </c>
      <c r="T281" s="102"/>
      <c r="AP281"/>
      <c r="AQ281" s="103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</row>
    <row r="282" spans="1:54" ht="18" customHeight="1" x14ac:dyDescent="0.35">
      <c r="A282" s="108" t="s">
        <v>287</v>
      </c>
      <c r="B282" s="1">
        <v>7.25</v>
      </c>
      <c r="C282" s="12" t="s">
        <v>51</v>
      </c>
      <c r="D282" s="12">
        <v>22</v>
      </c>
      <c r="E282" s="1">
        <v>0.1</v>
      </c>
      <c r="F282" s="85">
        <v>1088</v>
      </c>
      <c r="G282" s="85">
        <v>729</v>
      </c>
      <c r="H282" s="76">
        <v>674</v>
      </c>
      <c r="I282" s="76">
        <v>352</v>
      </c>
      <c r="J282" s="25">
        <f t="shared" si="7"/>
        <v>322</v>
      </c>
      <c r="K282" s="76">
        <v>157</v>
      </c>
      <c r="L282" s="59">
        <v>4.2</v>
      </c>
      <c r="M282" s="60" t="s">
        <v>51</v>
      </c>
      <c r="N282" s="59" t="s">
        <v>51</v>
      </c>
      <c r="O282" s="57" t="s">
        <v>51</v>
      </c>
      <c r="P282" s="17"/>
      <c r="Q282" s="60"/>
      <c r="R282" s="104">
        <v>25</v>
      </c>
      <c r="T282" s="102"/>
      <c r="AP282"/>
      <c r="AQ282" s="103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</row>
    <row r="283" spans="1:54" ht="18" customHeight="1" x14ac:dyDescent="0.35">
      <c r="A283" s="99" t="s">
        <v>288</v>
      </c>
      <c r="B283" s="2">
        <v>7.89</v>
      </c>
      <c r="C283" s="58" t="s">
        <v>51</v>
      </c>
      <c r="D283" s="58">
        <v>21</v>
      </c>
      <c r="E283" s="2" t="s">
        <v>134</v>
      </c>
      <c r="F283" s="50">
        <v>1059</v>
      </c>
      <c r="G283" s="25">
        <v>710</v>
      </c>
      <c r="H283" s="25">
        <v>700</v>
      </c>
      <c r="I283" s="25">
        <v>360</v>
      </c>
      <c r="J283" s="25">
        <f t="shared" si="7"/>
        <v>340</v>
      </c>
      <c r="K283" s="25">
        <v>178</v>
      </c>
      <c r="L283" s="59">
        <v>4.3</v>
      </c>
      <c r="M283" s="60" t="s">
        <v>51</v>
      </c>
      <c r="N283" s="59" t="s">
        <v>51</v>
      </c>
      <c r="O283" s="57" t="s">
        <v>51</v>
      </c>
      <c r="P283" s="17"/>
      <c r="Q283" s="60"/>
      <c r="R283" s="104">
        <v>21</v>
      </c>
      <c r="T283" s="102"/>
      <c r="AP283"/>
      <c r="AQ283" s="103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</row>
    <row r="284" spans="1:54" ht="18" customHeight="1" x14ac:dyDescent="0.35">
      <c r="A284" s="99" t="s">
        <v>289</v>
      </c>
      <c r="B284" s="2">
        <v>7.67</v>
      </c>
      <c r="C284" s="58" t="s">
        <v>51</v>
      </c>
      <c r="D284" s="58">
        <v>16</v>
      </c>
      <c r="E284" s="2">
        <v>0.5</v>
      </c>
      <c r="F284" s="50">
        <v>1059</v>
      </c>
      <c r="G284" s="50">
        <v>710</v>
      </c>
      <c r="H284" s="25">
        <v>640</v>
      </c>
      <c r="I284" s="25">
        <v>354</v>
      </c>
      <c r="J284" s="25">
        <f t="shared" si="7"/>
        <v>286</v>
      </c>
      <c r="K284" s="25">
        <v>177</v>
      </c>
      <c r="L284" s="59">
        <v>4.5</v>
      </c>
      <c r="M284" s="60" t="s">
        <v>51</v>
      </c>
      <c r="N284" s="59" t="s">
        <v>51</v>
      </c>
      <c r="O284" s="57" t="s">
        <v>51</v>
      </c>
      <c r="P284" s="17"/>
      <c r="Q284" s="60"/>
      <c r="R284" s="104">
        <v>20</v>
      </c>
      <c r="T284" s="102"/>
      <c r="AP284"/>
      <c r="AQ284" s="103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</row>
    <row r="285" spans="1:54" ht="18" customHeight="1" x14ac:dyDescent="0.35">
      <c r="A285" s="99" t="s">
        <v>290</v>
      </c>
      <c r="B285" s="2">
        <v>7.74</v>
      </c>
      <c r="C285" s="17" t="s">
        <v>51</v>
      </c>
      <c r="D285" s="17">
        <v>19</v>
      </c>
      <c r="E285" s="2">
        <v>0.5</v>
      </c>
      <c r="F285" s="50">
        <v>1140</v>
      </c>
      <c r="G285" s="50">
        <v>764</v>
      </c>
      <c r="H285" s="25">
        <v>642</v>
      </c>
      <c r="I285" s="25">
        <v>352</v>
      </c>
      <c r="J285" s="25">
        <f t="shared" si="7"/>
        <v>290</v>
      </c>
      <c r="K285" s="25">
        <v>185</v>
      </c>
      <c r="L285" s="59">
        <v>4.3</v>
      </c>
      <c r="M285" s="60" t="s">
        <v>51</v>
      </c>
      <c r="N285" s="59" t="s">
        <v>51</v>
      </c>
      <c r="O285" s="57" t="s">
        <v>51</v>
      </c>
      <c r="P285" s="17"/>
      <c r="Q285" s="60"/>
      <c r="R285" s="104">
        <v>21</v>
      </c>
      <c r="T285" s="102"/>
      <c r="AP285"/>
      <c r="AQ285" s="103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</row>
    <row r="286" spans="1:54" ht="18" customHeight="1" x14ac:dyDescent="0.35">
      <c r="A286" s="99" t="s">
        <v>291</v>
      </c>
      <c r="B286" s="2">
        <v>7.59</v>
      </c>
      <c r="C286" s="17" t="s">
        <v>51</v>
      </c>
      <c r="D286" s="17">
        <v>19</v>
      </c>
      <c r="E286" s="2">
        <v>0.5</v>
      </c>
      <c r="F286" s="50">
        <v>1110</v>
      </c>
      <c r="G286" s="50">
        <v>744</v>
      </c>
      <c r="H286" s="25">
        <v>653</v>
      </c>
      <c r="I286" s="25">
        <v>339</v>
      </c>
      <c r="J286" s="25">
        <f t="shared" si="7"/>
        <v>314</v>
      </c>
      <c r="K286" s="25">
        <v>203</v>
      </c>
      <c r="L286" s="59">
        <v>4.5</v>
      </c>
      <c r="M286" s="60" t="s">
        <v>51</v>
      </c>
      <c r="N286" s="59" t="s">
        <v>51</v>
      </c>
      <c r="O286" s="57" t="s">
        <v>51</v>
      </c>
      <c r="P286" s="17"/>
      <c r="Q286" s="60"/>
      <c r="R286" s="104">
        <v>19</v>
      </c>
      <c r="T286" s="102"/>
      <c r="AP286"/>
      <c r="AQ286" s="103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</row>
    <row r="287" spans="1:54" ht="18" customHeight="1" x14ac:dyDescent="0.35">
      <c r="A287" s="99" t="s">
        <v>292</v>
      </c>
      <c r="B287" s="2">
        <v>7.9</v>
      </c>
      <c r="C287" s="17" t="s">
        <v>51</v>
      </c>
      <c r="D287" s="17">
        <v>18</v>
      </c>
      <c r="E287" s="2" t="s">
        <v>134</v>
      </c>
      <c r="F287" s="50">
        <v>1110</v>
      </c>
      <c r="G287" s="50">
        <v>744</v>
      </c>
      <c r="H287" s="25">
        <v>670</v>
      </c>
      <c r="I287" s="25">
        <v>348</v>
      </c>
      <c r="J287" s="25">
        <f t="shared" si="7"/>
        <v>322</v>
      </c>
      <c r="K287" s="25">
        <v>177</v>
      </c>
      <c r="L287" s="59">
        <v>4.5</v>
      </c>
      <c r="M287" s="60" t="s">
        <v>51</v>
      </c>
      <c r="N287" s="59" t="s">
        <v>51</v>
      </c>
      <c r="O287" s="57" t="s">
        <v>51</v>
      </c>
      <c r="P287" s="17"/>
      <c r="Q287" s="60"/>
      <c r="R287" s="104">
        <v>21</v>
      </c>
      <c r="T287" s="102"/>
      <c r="AP287"/>
      <c r="AQ287" s="103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</row>
    <row r="288" spans="1:54" ht="18" customHeight="1" x14ac:dyDescent="0.35">
      <c r="A288" s="99" t="s">
        <v>293</v>
      </c>
      <c r="B288" s="2">
        <v>7.93</v>
      </c>
      <c r="C288" s="17" t="s">
        <v>51</v>
      </c>
      <c r="D288" s="17">
        <v>22</v>
      </c>
      <c r="E288" s="2">
        <v>0.2</v>
      </c>
      <c r="F288" s="50">
        <v>1123</v>
      </c>
      <c r="G288" s="50">
        <v>753</v>
      </c>
      <c r="H288" s="25">
        <v>661</v>
      </c>
      <c r="I288" s="25">
        <v>346</v>
      </c>
      <c r="J288" s="25">
        <f t="shared" si="7"/>
        <v>315</v>
      </c>
      <c r="K288" s="25">
        <v>164</v>
      </c>
      <c r="L288" s="59">
        <v>4.4000000000000004</v>
      </c>
      <c r="M288" s="60" t="s">
        <v>51</v>
      </c>
      <c r="N288" s="59" t="s">
        <v>51</v>
      </c>
      <c r="O288" s="57" t="s">
        <v>51</v>
      </c>
      <c r="P288" s="17"/>
      <c r="Q288" s="60"/>
      <c r="R288" s="104">
        <v>20</v>
      </c>
      <c r="T288" s="102"/>
      <c r="AP288"/>
      <c r="AQ288" s="103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</row>
    <row r="289" spans="1:54" ht="18" customHeight="1" x14ac:dyDescent="0.35">
      <c r="A289" s="99" t="s">
        <v>294</v>
      </c>
      <c r="B289" s="2">
        <v>8.0299999999999994</v>
      </c>
      <c r="C289" s="17" t="s">
        <v>51</v>
      </c>
      <c r="D289" s="17">
        <v>19</v>
      </c>
      <c r="E289" s="2">
        <v>0.2</v>
      </c>
      <c r="F289" s="50">
        <v>1167</v>
      </c>
      <c r="G289" s="50">
        <v>782</v>
      </c>
      <c r="H289" s="25">
        <v>674</v>
      </c>
      <c r="I289" s="25">
        <v>348</v>
      </c>
      <c r="J289" s="25">
        <f t="shared" si="7"/>
        <v>326</v>
      </c>
      <c r="K289" s="25">
        <v>174</v>
      </c>
      <c r="L289" s="59">
        <v>4.2</v>
      </c>
      <c r="M289" s="60" t="s">
        <v>51</v>
      </c>
      <c r="N289" s="59" t="s">
        <v>51</v>
      </c>
      <c r="O289" s="57" t="s">
        <v>51</v>
      </c>
      <c r="P289" s="17"/>
      <c r="Q289" s="60"/>
      <c r="R289" s="104">
        <v>19</v>
      </c>
      <c r="T289" s="102"/>
      <c r="AP289"/>
      <c r="AQ289" s="103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</row>
    <row r="290" spans="1:54" ht="18" customHeight="1" x14ac:dyDescent="0.35">
      <c r="A290" s="99" t="s">
        <v>295</v>
      </c>
      <c r="B290" s="2">
        <v>7.67</v>
      </c>
      <c r="C290" s="58" t="s">
        <v>51</v>
      </c>
      <c r="D290" s="58">
        <v>19</v>
      </c>
      <c r="E290" s="2">
        <v>0.2</v>
      </c>
      <c r="F290" s="50">
        <v>1223</v>
      </c>
      <c r="G290" s="50">
        <v>820</v>
      </c>
      <c r="H290" s="25">
        <v>676</v>
      </c>
      <c r="I290" s="25">
        <v>352</v>
      </c>
      <c r="J290" s="25">
        <f t="shared" si="7"/>
        <v>324</v>
      </c>
      <c r="K290" s="25">
        <v>189</v>
      </c>
      <c r="L290" s="59">
        <v>4</v>
      </c>
      <c r="M290" s="60" t="s">
        <v>51</v>
      </c>
      <c r="N290" s="59" t="s">
        <v>51</v>
      </c>
      <c r="O290" s="57" t="s">
        <v>51</v>
      </c>
      <c r="P290" s="17"/>
      <c r="Q290" s="60"/>
      <c r="R290" s="104">
        <v>20</v>
      </c>
      <c r="T290" s="102"/>
      <c r="AP290"/>
      <c r="AQ290" s="103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</row>
    <row r="291" spans="1:54" ht="18" customHeight="1" x14ac:dyDescent="0.35">
      <c r="A291" s="99" t="s">
        <v>296</v>
      </c>
      <c r="B291" s="2">
        <v>7.86</v>
      </c>
      <c r="C291" s="58" t="s">
        <v>51</v>
      </c>
      <c r="D291" s="58">
        <v>17</v>
      </c>
      <c r="E291" s="2">
        <v>0.1</v>
      </c>
      <c r="F291" s="50">
        <v>1201</v>
      </c>
      <c r="G291" s="50">
        <v>805</v>
      </c>
      <c r="H291" s="25">
        <v>666</v>
      </c>
      <c r="I291" s="25">
        <v>345</v>
      </c>
      <c r="J291" s="25">
        <f t="shared" si="7"/>
        <v>321</v>
      </c>
      <c r="K291" s="25">
        <v>182</v>
      </c>
      <c r="L291" s="59">
        <v>4.2</v>
      </c>
      <c r="M291" s="60" t="s">
        <v>51</v>
      </c>
      <c r="N291" s="59" t="s">
        <v>51</v>
      </c>
      <c r="O291" s="57" t="s">
        <v>51</v>
      </c>
      <c r="P291" s="17"/>
      <c r="Q291" s="60"/>
      <c r="R291" s="104">
        <v>18</v>
      </c>
      <c r="T291" s="102"/>
      <c r="AP291"/>
      <c r="AQ291" s="103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</row>
    <row r="292" spans="1:54" ht="18" customHeight="1" x14ac:dyDescent="0.35">
      <c r="A292" s="99" t="s">
        <v>297</v>
      </c>
      <c r="B292" s="2">
        <v>6.47</v>
      </c>
      <c r="C292" s="58" t="s">
        <v>51</v>
      </c>
      <c r="D292" s="58">
        <v>15</v>
      </c>
      <c r="E292" s="2">
        <v>0.4</v>
      </c>
      <c r="F292" s="50">
        <v>1252</v>
      </c>
      <c r="G292" s="50">
        <v>839</v>
      </c>
      <c r="H292" s="25">
        <v>653</v>
      </c>
      <c r="I292" s="25">
        <v>343</v>
      </c>
      <c r="J292" s="17">
        <f t="shared" si="7"/>
        <v>310</v>
      </c>
      <c r="K292" s="25">
        <v>182</v>
      </c>
      <c r="L292" s="59">
        <v>4.5</v>
      </c>
      <c r="M292" s="60" t="s">
        <v>51</v>
      </c>
      <c r="N292" s="59" t="s">
        <v>51</v>
      </c>
      <c r="O292" s="57" t="s">
        <v>51</v>
      </c>
      <c r="P292" s="17"/>
      <c r="Q292" s="60"/>
      <c r="R292" s="104">
        <v>20</v>
      </c>
      <c r="T292" s="102"/>
      <c r="AP292"/>
      <c r="AQ292" s="103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</row>
    <row r="293" spans="1:54" ht="18" customHeight="1" x14ac:dyDescent="0.35">
      <c r="A293" s="99" t="s">
        <v>298</v>
      </c>
      <c r="B293" s="2">
        <v>7.98</v>
      </c>
      <c r="C293" s="58" t="s">
        <v>51</v>
      </c>
      <c r="D293" s="58">
        <v>19</v>
      </c>
      <c r="E293" s="2">
        <v>0.1</v>
      </c>
      <c r="F293" s="50">
        <v>1263</v>
      </c>
      <c r="G293" s="50">
        <v>846</v>
      </c>
      <c r="H293" s="25">
        <v>640</v>
      </c>
      <c r="I293" s="25">
        <v>337</v>
      </c>
      <c r="J293" s="25">
        <f t="shared" si="7"/>
        <v>303</v>
      </c>
      <c r="K293" s="25">
        <v>174</v>
      </c>
      <c r="L293" s="59">
        <v>4.7</v>
      </c>
      <c r="M293" s="60" t="s">
        <v>51</v>
      </c>
      <c r="N293" s="59" t="s">
        <v>51</v>
      </c>
      <c r="O293" s="57" t="s">
        <v>51</v>
      </c>
      <c r="P293" s="17"/>
      <c r="Q293" s="60"/>
      <c r="R293" s="104">
        <v>18</v>
      </c>
      <c r="T293" s="102"/>
      <c r="AP293"/>
      <c r="AQ293" s="103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</row>
    <row r="294" spans="1:54" ht="18" customHeight="1" x14ac:dyDescent="0.35">
      <c r="A294" s="99" t="s">
        <v>299</v>
      </c>
      <c r="B294" s="2">
        <v>8.14</v>
      </c>
      <c r="C294" s="58" t="s">
        <v>51</v>
      </c>
      <c r="D294" s="58">
        <v>20</v>
      </c>
      <c r="E294" s="2">
        <v>0.1</v>
      </c>
      <c r="F294" s="50">
        <v>1312</v>
      </c>
      <c r="G294" s="50">
        <v>879</v>
      </c>
      <c r="H294" s="25">
        <v>636</v>
      </c>
      <c r="I294" s="25">
        <v>335</v>
      </c>
      <c r="J294" s="25">
        <f t="shared" si="7"/>
        <v>301</v>
      </c>
      <c r="K294" s="25">
        <v>160</v>
      </c>
      <c r="L294" s="59">
        <v>4.5</v>
      </c>
      <c r="M294" s="60" t="s">
        <v>51</v>
      </c>
      <c r="N294" s="59" t="s">
        <v>51</v>
      </c>
      <c r="O294" s="57" t="s">
        <v>51</v>
      </c>
      <c r="P294" s="17"/>
      <c r="Q294" s="60"/>
      <c r="R294" s="104">
        <v>20</v>
      </c>
      <c r="T294" s="102"/>
      <c r="AP294"/>
      <c r="AQ294" s="103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</row>
    <row r="295" spans="1:54" ht="18" customHeight="1" x14ac:dyDescent="0.35">
      <c r="A295" s="99" t="s">
        <v>300</v>
      </c>
      <c r="B295" s="2">
        <v>7.98</v>
      </c>
      <c r="C295" s="58" t="s">
        <v>51</v>
      </c>
      <c r="D295" s="58">
        <v>19</v>
      </c>
      <c r="E295" s="2">
        <v>0.4</v>
      </c>
      <c r="F295" s="50">
        <v>1313</v>
      </c>
      <c r="G295" s="50">
        <v>880</v>
      </c>
      <c r="H295" s="50">
        <v>704</v>
      </c>
      <c r="I295" s="25">
        <v>373</v>
      </c>
      <c r="J295" s="25">
        <f t="shared" si="7"/>
        <v>331</v>
      </c>
      <c r="K295" s="25">
        <v>169</v>
      </c>
      <c r="L295" s="59">
        <v>4.4000000000000004</v>
      </c>
      <c r="M295" s="60" t="s">
        <v>51</v>
      </c>
      <c r="N295" s="59" t="s">
        <v>51</v>
      </c>
      <c r="O295" s="57" t="s">
        <v>51</v>
      </c>
      <c r="P295" s="17"/>
      <c r="Q295" s="60"/>
      <c r="R295" s="104">
        <v>18</v>
      </c>
      <c r="T295" s="102"/>
      <c r="AP295"/>
      <c r="AQ295" s="103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</row>
    <row r="296" spans="1:54" ht="18" customHeight="1" x14ac:dyDescent="0.35">
      <c r="A296" s="99" t="s">
        <v>301</v>
      </c>
      <c r="B296" s="2">
        <v>7.68</v>
      </c>
      <c r="C296" s="58" t="s">
        <v>51</v>
      </c>
      <c r="D296" s="58">
        <v>17</v>
      </c>
      <c r="E296" s="2">
        <v>0.5</v>
      </c>
      <c r="F296" s="50">
        <v>1410</v>
      </c>
      <c r="G296" s="50">
        <v>945</v>
      </c>
      <c r="H296" s="25">
        <v>717</v>
      </c>
      <c r="I296" s="25">
        <v>348</v>
      </c>
      <c r="J296" s="25">
        <f t="shared" si="7"/>
        <v>369</v>
      </c>
      <c r="K296" s="25">
        <v>174</v>
      </c>
      <c r="L296" s="59">
        <v>4.5999999999999996</v>
      </c>
      <c r="M296" s="60" t="s">
        <v>51</v>
      </c>
      <c r="N296" s="59" t="s">
        <v>51</v>
      </c>
      <c r="O296" s="57" t="s">
        <v>51</v>
      </c>
      <c r="P296" s="17"/>
      <c r="Q296" s="60"/>
      <c r="R296" s="104">
        <v>16</v>
      </c>
      <c r="T296" s="102"/>
      <c r="AP296"/>
      <c r="AQ296" s="103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</row>
    <row r="297" spans="1:54" ht="18" customHeight="1" x14ac:dyDescent="0.35">
      <c r="A297" s="99" t="s">
        <v>302</v>
      </c>
      <c r="B297" s="2">
        <v>8.11</v>
      </c>
      <c r="C297" s="58" t="s">
        <v>51</v>
      </c>
      <c r="D297" s="58">
        <v>22</v>
      </c>
      <c r="E297" s="2" t="s">
        <v>134</v>
      </c>
      <c r="F297" s="50">
        <v>1461</v>
      </c>
      <c r="G297" s="50">
        <v>979</v>
      </c>
      <c r="H297" s="25">
        <v>721</v>
      </c>
      <c r="I297" s="25">
        <v>367</v>
      </c>
      <c r="J297" s="25">
        <f t="shared" si="7"/>
        <v>354</v>
      </c>
      <c r="K297" s="25">
        <v>182</v>
      </c>
      <c r="L297" s="59">
        <v>4.5</v>
      </c>
      <c r="M297" s="60" t="s">
        <v>51</v>
      </c>
      <c r="N297" s="59" t="s">
        <v>51</v>
      </c>
      <c r="O297" s="57" t="s">
        <v>51</v>
      </c>
      <c r="P297" s="17"/>
      <c r="Q297" s="60"/>
      <c r="R297" s="104">
        <v>15</v>
      </c>
      <c r="T297" s="102"/>
      <c r="AP297"/>
      <c r="AQ297" s="103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</row>
    <row r="298" spans="1:54" ht="18" customHeight="1" x14ac:dyDescent="0.35">
      <c r="A298" s="99" t="s">
        <v>303</v>
      </c>
      <c r="B298" s="2">
        <v>8.1</v>
      </c>
      <c r="C298" s="58" t="s">
        <v>51</v>
      </c>
      <c r="D298" s="58">
        <v>22</v>
      </c>
      <c r="E298" s="2">
        <v>0.5</v>
      </c>
      <c r="F298" s="50">
        <v>1365</v>
      </c>
      <c r="G298" s="50">
        <v>915</v>
      </c>
      <c r="H298" s="25">
        <v>713</v>
      </c>
      <c r="I298" s="25">
        <v>363</v>
      </c>
      <c r="J298" s="25">
        <f t="shared" si="7"/>
        <v>350</v>
      </c>
      <c r="K298" s="25">
        <v>167</v>
      </c>
      <c r="L298" s="59">
        <v>4.4000000000000004</v>
      </c>
      <c r="M298" s="60" t="s">
        <v>51</v>
      </c>
      <c r="N298" s="59" t="s">
        <v>51</v>
      </c>
      <c r="O298" s="57" t="s">
        <v>51</v>
      </c>
      <c r="P298" s="17"/>
      <c r="Q298" s="60"/>
      <c r="R298" s="104">
        <v>17</v>
      </c>
      <c r="T298" s="102"/>
      <c r="AP298"/>
      <c r="AQ298" s="103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</row>
    <row r="299" spans="1:54" ht="18" customHeight="1" x14ac:dyDescent="0.35">
      <c r="A299" s="99" t="s">
        <v>315</v>
      </c>
      <c r="B299" s="2">
        <v>7.73</v>
      </c>
      <c r="C299" s="58" t="s">
        <v>51</v>
      </c>
      <c r="D299" s="58">
        <v>20</v>
      </c>
      <c r="E299" s="2">
        <v>0.3</v>
      </c>
      <c r="F299" s="50">
        <v>1360</v>
      </c>
      <c r="G299" s="50">
        <v>911</v>
      </c>
      <c r="H299" s="25">
        <v>726</v>
      </c>
      <c r="I299" s="25">
        <v>376</v>
      </c>
      <c r="J299" s="25">
        <f t="shared" si="7"/>
        <v>350</v>
      </c>
      <c r="K299" s="25">
        <v>178</v>
      </c>
      <c r="L299" s="59">
        <v>4.4000000000000004</v>
      </c>
      <c r="M299" s="60" t="s">
        <v>51</v>
      </c>
      <c r="N299" s="59" t="s">
        <v>51</v>
      </c>
      <c r="O299" s="57" t="s">
        <v>51</v>
      </c>
      <c r="P299" s="17"/>
      <c r="Q299" s="60"/>
      <c r="R299" s="104">
        <v>15</v>
      </c>
      <c r="T299" s="102"/>
      <c r="AP299"/>
      <c r="AQ299" s="103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</row>
    <row r="300" spans="1:54" ht="18" customHeight="1" x14ac:dyDescent="0.35">
      <c r="A300" s="2" t="s">
        <v>305</v>
      </c>
      <c r="B300" s="2">
        <v>7.29</v>
      </c>
      <c r="C300" s="25" t="s">
        <v>51</v>
      </c>
      <c r="D300" s="25">
        <v>21</v>
      </c>
      <c r="E300" s="2">
        <v>0.6</v>
      </c>
      <c r="F300" s="25">
        <v>1423</v>
      </c>
      <c r="G300" s="25">
        <v>954</v>
      </c>
      <c r="H300" s="25">
        <v>713</v>
      </c>
      <c r="I300" s="25">
        <v>367</v>
      </c>
      <c r="J300" s="25">
        <f t="shared" si="7"/>
        <v>346</v>
      </c>
      <c r="K300" s="25">
        <v>163</v>
      </c>
      <c r="L300" s="59">
        <v>4.5</v>
      </c>
      <c r="M300" s="60" t="s">
        <v>51</v>
      </c>
      <c r="N300" s="59" t="s">
        <v>51</v>
      </c>
      <c r="O300" s="57" t="s">
        <v>51</v>
      </c>
      <c r="P300" s="17"/>
      <c r="Q300" s="60"/>
      <c r="R300" s="104">
        <v>17</v>
      </c>
      <c r="T300" s="102"/>
      <c r="AP300"/>
      <c r="AQ300" s="103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</row>
    <row r="301" spans="1:54" ht="18" customHeight="1" x14ac:dyDescent="0.35">
      <c r="A301" s="99" t="s">
        <v>306</v>
      </c>
      <c r="B301" s="2">
        <v>7.88</v>
      </c>
      <c r="C301" s="25" t="s">
        <v>51</v>
      </c>
      <c r="D301" s="25">
        <v>21</v>
      </c>
      <c r="E301" s="2">
        <v>0.2</v>
      </c>
      <c r="F301" s="25">
        <v>1428</v>
      </c>
      <c r="G301" s="25">
        <v>957</v>
      </c>
      <c r="H301" s="25">
        <v>969</v>
      </c>
      <c r="I301" s="25">
        <v>384</v>
      </c>
      <c r="J301" s="25">
        <f t="shared" si="7"/>
        <v>585</v>
      </c>
      <c r="K301" s="25">
        <v>156</v>
      </c>
      <c r="L301" s="59">
        <v>4.2</v>
      </c>
      <c r="M301" s="60" t="s">
        <v>51</v>
      </c>
      <c r="N301" s="59" t="s">
        <v>51</v>
      </c>
      <c r="O301" s="57" t="s">
        <v>51</v>
      </c>
      <c r="P301" s="17"/>
      <c r="Q301" s="60"/>
      <c r="R301" s="104">
        <v>15</v>
      </c>
      <c r="T301" s="102"/>
      <c r="AP301"/>
      <c r="AQ301" s="103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</row>
    <row r="302" spans="1:54" ht="18" customHeight="1" x14ac:dyDescent="0.35">
      <c r="A302" s="99" t="s">
        <v>307</v>
      </c>
      <c r="B302" s="2">
        <v>7.41</v>
      </c>
      <c r="C302" s="25" t="s">
        <v>51</v>
      </c>
      <c r="D302" s="25">
        <v>22</v>
      </c>
      <c r="E302" s="2">
        <v>0.2</v>
      </c>
      <c r="F302" s="25">
        <v>1460</v>
      </c>
      <c r="G302" s="25">
        <v>978</v>
      </c>
      <c r="H302" s="25">
        <v>708</v>
      </c>
      <c r="I302" s="25">
        <v>376</v>
      </c>
      <c r="J302" s="25">
        <f t="shared" si="7"/>
        <v>332</v>
      </c>
      <c r="K302" s="25">
        <v>163</v>
      </c>
      <c r="L302" s="59">
        <v>4.4000000000000004</v>
      </c>
      <c r="M302" s="60" t="s">
        <v>51</v>
      </c>
      <c r="N302" s="59" t="s">
        <v>51</v>
      </c>
      <c r="O302" s="57" t="s">
        <v>51</v>
      </c>
      <c r="P302" s="17"/>
      <c r="Q302" s="60"/>
      <c r="R302" s="104">
        <v>16</v>
      </c>
      <c r="T302" s="102"/>
      <c r="AP302"/>
      <c r="AQ302" s="103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</row>
    <row r="303" spans="1:54" ht="18" customHeight="1" x14ac:dyDescent="0.35">
      <c r="A303" s="99" t="s">
        <v>308</v>
      </c>
      <c r="B303" s="2">
        <v>7.53</v>
      </c>
      <c r="C303" s="25" t="s">
        <v>51</v>
      </c>
      <c r="D303" s="25">
        <v>19</v>
      </c>
      <c r="E303" s="2">
        <v>0.4</v>
      </c>
      <c r="F303" s="25">
        <v>1497</v>
      </c>
      <c r="G303" s="25">
        <v>1003</v>
      </c>
      <c r="H303" s="25">
        <v>726</v>
      </c>
      <c r="I303" s="25">
        <v>363</v>
      </c>
      <c r="J303" s="25">
        <f t="shared" si="7"/>
        <v>363</v>
      </c>
      <c r="K303" s="25">
        <v>142</v>
      </c>
      <c r="L303" s="59">
        <v>4.5</v>
      </c>
      <c r="M303" s="60" t="s">
        <v>51</v>
      </c>
      <c r="N303" s="59" t="s">
        <v>51</v>
      </c>
      <c r="O303" s="57" t="s">
        <v>51</v>
      </c>
      <c r="P303" s="17"/>
      <c r="Q303" s="60"/>
      <c r="R303" s="104">
        <v>15</v>
      </c>
      <c r="T303" s="102"/>
      <c r="AP303"/>
      <c r="AQ303" s="103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</row>
    <row r="304" spans="1:54" ht="18" customHeight="1" x14ac:dyDescent="0.35">
      <c r="A304" s="99" t="s">
        <v>309</v>
      </c>
      <c r="B304" s="2">
        <v>7.94</v>
      </c>
      <c r="C304" s="25" t="s">
        <v>51</v>
      </c>
      <c r="D304" s="25">
        <v>22</v>
      </c>
      <c r="E304" s="2">
        <v>0.1</v>
      </c>
      <c r="F304" s="25">
        <v>1565</v>
      </c>
      <c r="G304" s="25">
        <v>1049</v>
      </c>
      <c r="H304" s="25">
        <v>717</v>
      </c>
      <c r="I304" s="25">
        <v>380</v>
      </c>
      <c r="J304" s="25">
        <f t="shared" si="7"/>
        <v>337</v>
      </c>
      <c r="K304" s="25">
        <v>149</v>
      </c>
      <c r="L304" s="59">
        <v>4.4000000000000004</v>
      </c>
      <c r="M304" s="60" t="s">
        <v>51</v>
      </c>
      <c r="N304" s="59" t="s">
        <v>51</v>
      </c>
      <c r="O304" s="57" t="s">
        <v>51</v>
      </c>
      <c r="P304" s="17"/>
      <c r="Q304" s="60"/>
      <c r="R304" s="104">
        <v>16</v>
      </c>
      <c r="T304" s="102"/>
      <c r="AP304"/>
      <c r="AQ304" s="103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</row>
    <row r="305" spans="1:54" ht="18" customHeight="1" x14ac:dyDescent="0.35">
      <c r="A305" s="70" t="s">
        <v>310</v>
      </c>
      <c r="B305" s="118" t="s">
        <v>311</v>
      </c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21"/>
      <c r="T305" s="102"/>
      <c r="AP305"/>
      <c r="AQ305" s="103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</row>
    <row r="306" spans="1:54" ht="18" customHeight="1" x14ac:dyDescent="0.35">
      <c r="A306" s="99" t="s">
        <v>312</v>
      </c>
      <c r="B306" s="2">
        <v>8.18</v>
      </c>
      <c r="C306" s="25" t="s">
        <v>51</v>
      </c>
      <c r="D306" s="25">
        <v>31</v>
      </c>
      <c r="E306" s="2">
        <v>0.2</v>
      </c>
      <c r="F306" s="25">
        <v>1416</v>
      </c>
      <c r="G306" s="25">
        <v>949</v>
      </c>
      <c r="H306" s="25">
        <v>736</v>
      </c>
      <c r="I306" s="25">
        <v>368</v>
      </c>
      <c r="J306" s="25">
        <f>H306-I306</f>
        <v>368</v>
      </c>
      <c r="K306" s="25">
        <v>142</v>
      </c>
      <c r="L306" s="59">
        <v>4.0999999999999996</v>
      </c>
      <c r="M306" s="60" t="s">
        <v>51</v>
      </c>
      <c r="N306" s="59" t="s">
        <v>51</v>
      </c>
      <c r="O306" s="57" t="s">
        <v>51</v>
      </c>
      <c r="P306" s="25"/>
      <c r="Q306" s="60"/>
      <c r="R306" s="25">
        <v>14</v>
      </c>
      <c r="T306" s="102"/>
      <c r="AP306"/>
      <c r="AQ306" s="103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</row>
    <row r="307" spans="1:54" ht="18" customHeight="1" x14ac:dyDescent="0.35">
      <c r="A307" s="99" t="s">
        <v>313</v>
      </c>
      <c r="B307" s="2">
        <v>7.75</v>
      </c>
      <c r="C307" s="25" t="s">
        <v>51</v>
      </c>
      <c r="D307" s="25">
        <v>20</v>
      </c>
      <c r="E307" s="2">
        <v>0.1</v>
      </c>
      <c r="F307" s="25">
        <v>2028</v>
      </c>
      <c r="G307" s="25">
        <v>1359</v>
      </c>
      <c r="H307" s="25">
        <v>851</v>
      </c>
      <c r="I307" s="25">
        <v>459</v>
      </c>
      <c r="J307" s="25">
        <f>H307-I307</f>
        <v>392</v>
      </c>
      <c r="K307" s="25">
        <v>156</v>
      </c>
      <c r="L307" s="59">
        <v>4.3</v>
      </c>
      <c r="M307" s="60" t="s">
        <v>51</v>
      </c>
      <c r="N307" s="59" t="s">
        <v>51</v>
      </c>
      <c r="O307" s="57" t="s">
        <v>51</v>
      </c>
      <c r="P307" s="25"/>
      <c r="Q307" s="60"/>
      <c r="R307" s="90">
        <v>16</v>
      </c>
      <c r="T307" s="102"/>
      <c r="AP307"/>
      <c r="AQ307" s="103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</row>
    <row r="308" spans="1:54" ht="18" customHeight="1" thickBot="1" x14ac:dyDescent="0.4">
      <c r="A308" s="109" t="s">
        <v>314</v>
      </c>
      <c r="B308" s="25">
        <v>7.98</v>
      </c>
      <c r="C308" s="25" t="s">
        <v>51</v>
      </c>
      <c r="D308" s="25">
        <v>22</v>
      </c>
      <c r="E308" s="2">
        <v>0.4</v>
      </c>
      <c r="F308" s="25">
        <v>1612</v>
      </c>
      <c r="G308" s="25">
        <v>1080</v>
      </c>
      <c r="H308" s="25">
        <v>819</v>
      </c>
      <c r="I308" s="25">
        <v>460</v>
      </c>
      <c r="J308" s="25">
        <f>H308-I308</f>
        <v>359</v>
      </c>
      <c r="K308" s="25">
        <v>149</v>
      </c>
      <c r="L308" s="59">
        <v>4.4000000000000004</v>
      </c>
      <c r="M308" s="60" t="s">
        <v>51</v>
      </c>
      <c r="N308" s="59" t="s">
        <v>51</v>
      </c>
      <c r="O308" s="57" t="s">
        <v>51</v>
      </c>
      <c r="P308" s="25"/>
      <c r="Q308" s="60"/>
      <c r="R308" s="90" t="s">
        <v>51</v>
      </c>
      <c r="T308" s="102"/>
      <c r="AP308"/>
      <c r="AQ308" s="103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</row>
    <row r="309" spans="1:54" ht="18" customHeight="1" x14ac:dyDescent="0.35">
      <c r="A309" s="108" t="s">
        <v>317</v>
      </c>
      <c r="B309" s="1">
        <v>7.56</v>
      </c>
      <c r="C309" s="12" t="s">
        <v>51</v>
      </c>
      <c r="D309" s="12">
        <v>20</v>
      </c>
      <c r="E309" s="1" t="s">
        <v>32</v>
      </c>
      <c r="F309" s="85">
        <v>1643</v>
      </c>
      <c r="G309" s="85">
        <v>1101</v>
      </c>
      <c r="H309" s="76">
        <v>857</v>
      </c>
      <c r="I309" s="76">
        <v>486</v>
      </c>
      <c r="J309" s="25">
        <f t="shared" ref="J309:J330" si="8">H309-I309</f>
        <v>371</v>
      </c>
      <c r="K309" s="76">
        <v>142</v>
      </c>
      <c r="L309" s="59">
        <v>4.2</v>
      </c>
      <c r="M309" s="60" t="s">
        <v>51</v>
      </c>
      <c r="N309" s="59" t="s">
        <v>51</v>
      </c>
      <c r="O309" s="57" t="s">
        <v>51</v>
      </c>
      <c r="P309" s="17"/>
      <c r="Q309" s="60"/>
      <c r="R309" s="104">
        <v>15</v>
      </c>
      <c r="S309" s="102"/>
      <c r="AP309" s="103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</row>
    <row r="310" spans="1:54" ht="18" customHeight="1" x14ac:dyDescent="0.35">
      <c r="A310" s="99" t="s">
        <v>318</v>
      </c>
      <c r="B310" s="2">
        <v>7.62</v>
      </c>
      <c r="C310" s="58" t="s">
        <v>51</v>
      </c>
      <c r="D310" s="58">
        <v>20</v>
      </c>
      <c r="E310" s="2" t="s">
        <v>32</v>
      </c>
      <c r="F310" s="50">
        <v>1643</v>
      </c>
      <c r="G310" s="25">
        <v>1101</v>
      </c>
      <c r="H310" s="25">
        <v>862</v>
      </c>
      <c r="I310" s="25">
        <v>481</v>
      </c>
      <c r="J310" s="25">
        <f t="shared" si="8"/>
        <v>381</v>
      </c>
      <c r="K310" s="25">
        <v>135</v>
      </c>
      <c r="L310" s="59">
        <v>4.5</v>
      </c>
      <c r="M310" s="60" t="s">
        <v>51</v>
      </c>
      <c r="N310" s="59" t="s">
        <v>51</v>
      </c>
      <c r="O310" s="57" t="s">
        <v>51</v>
      </c>
      <c r="P310" s="17"/>
      <c r="Q310" s="60"/>
      <c r="R310" s="104">
        <v>13</v>
      </c>
      <c r="S310" s="102"/>
      <c r="AP310" s="103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</row>
    <row r="311" spans="1:54" ht="18" customHeight="1" x14ac:dyDescent="0.35">
      <c r="A311" s="99" t="s">
        <v>319</v>
      </c>
      <c r="B311" s="2">
        <v>7.48</v>
      </c>
      <c r="C311" s="58" t="s">
        <v>51</v>
      </c>
      <c r="D311" s="58">
        <v>31</v>
      </c>
      <c r="E311" s="2">
        <v>0.4</v>
      </c>
      <c r="F311" s="50">
        <v>1188</v>
      </c>
      <c r="G311" s="50">
        <v>796</v>
      </c>
      <c r="H311" s="25">
        <v>852</v>
      </c>
      <c r="I311" s="25">
        <v>476</v>
      </c>
      <c r="J311" s="25">
        <f t="shared" si="8"/>
        <v>376</v>
      </c>
      <c r="K311" s="25">
        <v>133</v>
      </c>
      <c r="L311" s="59">
        <v>4.4000000000000004</v>
      </c>
      <c r="M311" s="60" t="s">
        <v>51</v>
      </c>
      <c r="N311" s="59" t="s">
        <v>51</v>
      </c>
      <c r="O311" s="57" t="s">
        <v>51</v>
      </c>
      <c r="P311" s="17"/>
      <c r="Q311" s="60"/>
      <c r="R311" s="104">
        <v>10</v>
      </c>
      <c r="S311" s="102"/>
      <c r="AP311" s="103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</row>
    <row r="312" spans="1:54" ht="18" customHeight="1" x14ac:dyDescent="0.35">
      <c r="A312" s="99" t="s">
        <v>320</v>
      </c>
      <c r="B312" s="2">
        <v>7.8</v>
      </c>
      <c r="C312" s="17" t="s">
        <v>51</v>
      </c>
      <c r="D312" s="17">
        <v>20</v>
      </c>
      <c r="E312" s="2">
        <v>0.4</v>
      </c>
      <c r="F312" s="50">
        <v>1137</v>
      </c>
      <c r="G312" s="50">
        <v>762</v>
      </c>
      <c r="H312" s="25">
        <v>857</v>
      </c>
      <c r="I312" s="25">
        <v>483</v>
      </c>
      <c r="J312" s="25">
        <f t="shared" si="8"/>
        <v>374</v>
      </c>
      <c r="K312" s="25">
        <v>136</v>
      </c>
      <c r="L312" s="59">
        <v>4.3</v>
      </c>
      <c r="M312" s="60" t="s">
        <v>51</v>
      </c>
      <c r="N312" s="59" t="s">
        <v>51</v>
      </c>
      <c r="O312" s="57" t="s">
        <v>51</v>
      </c>
      <c r="P312" s="17"/>
      <c r="Q312" s="60"/>
      <c r="R312" s="104">
        <v>11</v>
      </c>
      <c r="S312" s="102"/>
      <c r="AP312" s="103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</row>
    <row r="313" spans="1:54" ht="18" customHeight="1" x14ac:dyDescent="0.35">
      <c r="A313" s="99" t="s">
        <v>321</v>
      </c>
      <c r="B313" s="2">
        <v>7.8</v>
      </c>
      <c r="C313" s="17" t="s">
        <v>51</v>
      </c>
      <c r="D313" s="17">
        <v>22</v>
      </c>
      <c r="E313" s="2">
        <v>0.1</v>
      </c>
      <c r="F313" s="50">
        <v>1298</v>
      </c>
      <c r="G313" s="50">
        <v>870</v>
      </c>
      <c r="H313" s="25">
        <v>862</v>
      </c>
      <c r="I313" s="25">
        <v>476</v>
      </c>
      <c r="J313" s="25">
        <f t="shared" si="8"/>
        <v>386</v>
      </c>
      <c r="K313" s="25">
        <v>144</v>
      </c>
      <c r="L313" s="59">
        <v>4.2</v>
      </c>
      <c r="M313" s="60" t="s">
        <v>51</v>
      </c>
      <c r="N313" s="59" t="s">
        <v>51</v>
      </c>
      <c r="O313" s="57" t="s">
        <v>51</v>
      </c>
      <c r="P313" s="17"/>
      <c r="Q313" s="60"/>
      <c r="R313" s="104">
        <v>12</v>
      </c>
      <c r="S313" s="102"/>
      <c r="AP313" s="103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</row>
    <row r="314" spans="1:54" ht="18" customHeight="1" x14ac:dyDescent="0.35">
      <c r="A314" s="99" t="s">
        <v>322</v>
      </c>
      <c r="B314" s="2">
        <v>7.38</v>
      </c>
      <c r="C314" s="17" t="s">
        <v>51</v>
      </c>
      <c r="D314" s="17">
        <v>20</v>
      </c>
      <c r="E314" s="2">
        <v>0.2</v>
      </c>
      <c r="F314" s="50">
        <v>1232</v>
      </c>
      <c r="G314" s="50">
        <v>826</v>
      </c>
      <c r="H314" s="25">
        <v>857</v>
      </c>
      <c r="I314" s="25">
        <v>481</v>
      </c>
      <c r="J314" s="25">
        <f t="shared" si="8"/>
        <v>376</v>
      </c>
      <c r="K314" s="25">
        <v>140</v>
      </c>
      <c r="L314" s="59">
        <v>4.3</v>
      </c>
      <c r="M314" s="60" t="s">
        <v>51</v>
      </c>
      <c r="N314" s="59" t="s">
        <v>51</v>
      </c>
      <c r="O314" s="57" t="s">
        <v>51</v>
      </c>
      <c r="P314" s="17"/>
      <c r="Q314" s="60"/>
      <c r="R314" s="104">
        <v>10</v>
      </c>
      <c r="S314" s="102"/>
      <c r="AP314" s="103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</row>
    <row r="315" spans="1:54" ht="18" customHeight="1" x14ac:dyDescent="0.35">
      <c r="A315" s="99" t="s">
        <v>323</v>
      </c>
      <c r="B315" s="2">
        <v>7.22</v>
      </c>
      <c r="C315" s="17" t="s">
        <v>51</v>
      </c>
      <c r="D315" s="17">
        <v>20</v>
      </c>
      <c r="E315" s="2" t="s">
        <v>32</v>
      </c>
      <c r="F315" s="50">
        <v>1219</v>
      </c>
      <c r="G315" s="50">
        <v>817</v>
      </c>
      <c r="H315" s="25">
        <v>852</v>
      </c>
      <c r="I315" s="25">
        <v>476</v>
      </c>
      <c r="J315" s="25">
        <f t="shared" si="8"/>
        <v>376</v>
      </c>
      <c r="K315" s="25">
        <v>151</v>
      </c>
      <c r="L315" s="59">
        <v>4.0999999999999996</v>
      </c>
      <c r="M315" s="60" t="s">
        <v>51</v>
      </c>
      <c r="N315" s="59" t="s">
        <v>51</v>
      </c>
      <c r="O315" s="57" t="s">
        <v>51</v>
      </c>
      <c r="P315" s="17"/>
      <c r="Q315" s="60"/>
      <c r="R315" s="104">
        <v>11</v>
      </c>
      <c r="S315" s="102"/>
      <c r="AP315" s="103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</row>
    <row r="316" spans="1:54" ht="18" customHeight="1" x14ac:dyDescent="0.35">
      <c r="A316" s="99" t="s">
        <v>324</v>
      </c>
      <c r="B316" s="2">
        <v>8.14</v>
      </c>
      <c r="C316" s="17" t="s">
        <v>51</v>
      </c>
      <c r="D316" s="17">
        <v>20</v>
      </c>
      <c r="E316" s="2">
        <v>0.2</v>
      </c>
      <c r="F316" s="50">
        <v>1240</v>
      </c>
      <c r="G316" s="50">
        <v>831</v>
      </c>
      <c r="H316" s="25">
        <v>819</v>
      </c>
      <c r="I316" s="25">
        <v>457</v>
      </c>
      <c r="J316" s="25">
        <f t="shared" si="8"/>
        <v>362</v>
      </c>
      <c r="K316" s="25">
        <v>144</v>
      </c>
      <c r="L316" s="59">
        <v>4.3</v>
      </c>
      <c r="M316" s="60" t="s">
        <v>51</v>
      </c>
      <c r="N316" s="59" t="s">
        <v>51</v>
      </c>
      <c r="O316" s="57" t="s">
        <v>51</v>
      </c>
      <c r="P316" s="17"/>
      <c r="Q316" s="60"/>
      <c r="R316" s="104">
        <v>14</v>
      </c>
      <c r="S316" s="102"/>
      <c r="AP316" s="103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</row>
    <row r="317" spans="1:54" ht="18" customHeight="1" x14ac:dyDescent="0.35">
      <c r="A317" s="99" t="s">
        <v>325</v>
      </c>
      <c r="B317" s="2">
        <v>7.98</v>
      </c>
      <c r="C317" s="58" t="s">
        <v>51</v>
      </c>
      <c r="D317" s="58">
        <v>22</v>
      </c>
      <c r="E317" s="2">
        <v>0.4</v>
      </c>
      <c r="F317" s="50">
        <v>1246</v>
      </c>
      <c r="G317" s="50">
        <v>835</v>
      </c>
      <c r="H317" s="25">
        <v>814</v>
      </c>
      <c r="I317" s="25">
        <v>466</v>
      </c>
      <c r="J317" s="25">
        <f t="shared" si="8"/>
        <v>348</v>
      </c>
      <c r="K317" s="25">
        <v>151</v>
      </c>
      <c r="L317" s="59">
        <v>4.2</v>
      </c>
      <c r="M317" s="60" t="s">
        <v>51</v>
      </c>
      <c r="N317" s="59" t="s">
        <v>51</v>
      </c>
      <c r="O317" s="57" t="s">
        <v>51</v>
      </c>
      <c r="P317" s="17"/>
      <c r="Q317" s="60"/>
      <c r="R317" s="104">
        <v>12</v>
      </c>
      <c r="S317" s="102"/>
      <c r="AP317" s="103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</row>
    <row r="318" spans="1:54" ht="18" customHeight="1" x14ac:dyDescent="0.35">
      <c r="A318" s="99" t="s">
        <v>326</v>
      </c>
      <c r="B318" s="2">
        <v>7.68</v>
      </c>
      <c r="C318" s="58" t="s">
        <v>51</v>
      </c>
      <c r="D318" s="58">
        <v>21</v>
      </c>
      <c r="E318" s="2">
        <v>0.1</v>
      </c>
      <c r="F318" s="50">
        <v>1195</v>
      </c>
      <c r="G318" s="50">
        <v>801</v>
      </c>
      <c r="H318" s="25">
        <v>738</v>
      </c>
      <c r="I318" s="25">
        <v>471</v>
      </c>
      <c r="J318" s="25">
        <f t="shared" si="8"/>
        <v>267</v>
      </c>
      <c r="K318" s="25">
        <v>158</v>
      </c>
      <c r="L318" s="59">
        <v>4.0999999999999996</v>
      </c>
      <c r="M318" s="60" t="s">
        <v>51</v>
      </c>
      <c r="N318" s="59" t="s">
        <v>51</v>
      </c>
      <c r="O318" s="57" t="s">
        <v>51</v>
      </c>
      <c r="P318" s="17"/>
      <c r="Q318" s="60"/>
      <c r="R318" s="104">
        <v>11</v>
      </c>
      <c r="S318" s="102"/>
      <c r="AP318" s="103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</row>
    <row r="319" spans="1:54" ht="18" customHeight="1" x14ac:dyDescent="0.35">
      <c r="A319" s="99" t="s">
        <v>327</v>
      </c>
      <c r="B319" s="2">
        <v>8.26</v>
      </c>
      <c r="C319" s="58" t="s">
        <v>51</v>
      </c>
      <c r="D319" s="58">
        <v>16</v>
      </c>
      <c r="E319" s="2" t="s">
        <v>32</v>
      </c>
      <c r="F319" s="50">
        <v>1243</v>
      </c>
      <c r="G319" s="50">
        <v>833</v>
      </c>
      <c r="H319" s="25">
        <v>752</v>
      </c>
      <c r="I319" s="25">
        <v>466</v>
      </c>
      <c r="J319" s="17">
        <f t="shared" si="8"/>
        <v>286</v>
      </c>
      <c r="K319" s="25">
        <v>165</v>
      </c>
      <c r="L319" s="59">
        <v>4.3</v>
      </c>
      <c r="M319" s="60" t="s">
        <v>51</v>
      </c>
      <c r="N319" s="59" t="s">
        <v>51</v>
      </c>
      <c r="O319" s="57" t="s">
        <v>51</v>
      </c>
      <c r="P319" s="17"/>
      <c r="Q319" s="60"/>
      <c r="R319" s="104">
        <v>10</v>
      </c>
      <c r="S319" s="102"/>
      <c r="AP319" s="103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</row>
    <row r="320" spans="1:54" ht="18" customHeight="1" x14ac:dyDescent="0.35">
      <c r="A320" s="99" t="s">
        <v>328</v>
      </c>
      <c r="B320" s="2">
        <v>7.81</v>
      </c>
      <c r="C320" s="58" t="s">
        <v>51</v>
      </c>
      <c r="D320" s="58">
        <v>19</v>
      </c>
      <c r="E320" s="2" t="s">
        <v>32</v>
      </c>
      <c r="F320" s="50">
        <v>1194</v>
      </c>
      <c r="G320" s="50">
        <v>800</v>
      </c>
      <c r="H320" s="25">
        <v>857</v>
      </c>
      <c r="I320" s="25">
        <v>438</v>
      </c>
      <c r="J320" s="25">
        <f t="shared" si="8"/>
        <v>419</v>
      </c>
      <c r="K320" s="25">
        <v>179</v>
      </c>
      <c r="L320" s="59">
        <v>4.2</v>
      </c>
      <c r="M320" s="60" t="s">
        <v>51</v>
      </c>
      <c r="N320" s="59" t="s">
        <v>51</v>
      </c>
      <c r="O320" s="57" t="s">
        <v>51</v>
      </c>
      <c r="P320" s="17"/>
      <c r="Q320" s="60"/>
      <c r="R320" s="104">
        <v>12</v>
      </c>
      <c r="S320" s="102"/>
      <c r="AP320" s="103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</row>
    <row r="321" spans="1:53" ht="18" customHeight="1" x14ac:dyDescent="0.35">
      <c r="A321" s="99" t="s">
        <v>329</v>
      </c>
      <c r="B321" s="2">
        <v>8.25</v>
      </c>
      <c r="C321" s="58" t="s">
        <v>51</v>
      </c>
      <c r="D321" s="58">
        <v>20</v>
      </c>
      <c r="E321" s="2">
        <v>0.2</v>
      </c>
      <c r="F321" s="50">
        <v>1280</v>
      </c>
      <c r="G321" s="50">
        <v>858</v>
      </c>
      <c r="H321" s="25">
        <v>776</v>
      </c>
      <c r="I321" s="25">
        <v>443</v>
      </c>
      <c r="J321" s="25">
        <f t="shared" si="8"/>
        <v>333</v>
      </c>
      <c r="K321" s="25">
        <v>170</v>
      </c>
      <c r="L321" s="59">
        <v>4.2</v>
      </c>
      <c r="M321" s="60" t="s">
        <v>51</v>
      </c>
      <c r="N321" s="59" t="s">
        <v>51</v>
      </c>
      <c r="O321" s="57" t="s">
        <v>51</v>
      </c>
      <c r="P321" s="17"/>
      <c r="Q321" s="60"/>
      <c r="R321" s="104">
        <v>10</v>
      </c>
      <c r="S321" s="102"/>
      <c r="AP321" s="103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</row>
    <row r="322" spans="1:53" ht="18" customHeight="1" x14ac:dyDescent="0.35">
      <c r="A322" s="99" t="s">
        <v>330</v>
      </c>
      <c r="B322" s="2">
        <v>7.53</v>
      </c>
      <c r="C322" s="58" t="s">
        <v>51</v>
      </c>
      <c r="D322" s="58">
        <v>21</v>
      </c>
      <c r="E322" s="2">
        <v>0.2</v>
      </c>
      <c r="F322" s="50">
        <v>1322</v>
      </c>
      <c r="G322" s="50">
        <v>886</v>
      </c>
      <c r="H322" s="50">
        <v>666</v>
      </c>
      <c r="I322" s="25">
        <v>395</v>
      </c>
      <c r="J322" s="25">
        <f t="shared" si="8"/>
        <v>271</v>
      </c>
      <c r="K322" s="25">
        <v>144</v>
      </c>
      <c r="L322" s="59">
        <v>4.3</v>
      </c>
      <c r="M322" s="60" t="s">
        <v>51</v>
      </c>
      <c r="N322" s="59" t="s">
        <v>51</v>
      </c>
      <c r="O322" s="57" t="s">
        <v>51</v>
      </c>
      <c r="P322" s="17"/>
      <c r="Q322" s="60"/>
      <c r="R322" s="104">
        <v>11</v>
      </c>
      <c r="S322" s="102"/>
      <c r="AP322" s="103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</row>
    <row r="323" spans="1:53" ht="18" customHeight="1" x14ac:dyDescent="0.35">
      <c r="A323" s="99" t="s">
        <v>331</v>
      </c>
      <c r="B323" s="2">
        <v>8.1300000000000008</v>
      </c>
      <c r="C323" s="58" t="s">
        <v>51</v>
      </c>
      <c r="D323" s="58">
        <v>24</v>
      </c>
      <c r="E323" s="2">
        <v>0.2</v>
      </c>
      <c r="F323" s="50">
        <v>1361</v>
      </c>
      <c r="G323" s="50">
        <v>912</v>
      </c>
      <c r="H323" s="25">
        <v>671</v>
      </c>
      <c r="I323" s="25">
        <v>400</v>
      </c>
      <c r="J323" s="25">
        <f t="shared" si="8"/>
        <v>271</v>
      </c>
      <c r="K323" s="25">
        <v>170</v>
      </c>
      <c r="L323" s="59">
        <v>4.2</v>
      </c>
      <c r="M323" s="60" t="s">
        <v>51</v>
      </c>
      <c r="N323" s="59" t="s">
        <v>51</v>
      </c>
      <c r="O323" s="57" t="s">
        <v>51</v>
      </c>
      <c r="P323" s="17"/>
      <c r="Q323" s="60"/>
      <c r="R323" s="104">
        <v>10</v>
      </c>
      <c r="S323" s="102"/>
      <c r="AP323" s="103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</row>
    <row r="324" spans="1:53" ht="18" customHeight="1" x14ac:dyDescent="0.35">
      <c r="A324" s="99" t="s">
        <v>332</v>
      </c>
      <c r="B324" s="2">
        <v>8.2200000000000006</v>
      </c>
      <c r="C324" s="58" t="s">
        <v>51</v>
      </c>
      <c r="D324" s="58">
        <v>20</v>
      </c>
      <c r="E324" s="2">
        <v>0.5</v>
      </c>
      <c r="F324" s="50">
        <v>1286</v>
      </c>
      <c r="G324" s="50">
        <v>862</v>
      </c>
      <c r="H324" s="25">
        <v>662</v>
      </c>
      <c r="I324" s="25">
        <v>409</v>
      </c>
      <c r="J324" s="25">
        <f t="shared" si="8"/>
        <v>253</v>
      </c>
      <c r="K324" s="25">
        <v>163</v>
      </c>
      <c r="L324" s="59">
        <v>4</v>
      </c>
      <c r="M324" s="60" t="s">
        <v>51</v>
      </c>
      <c r="N324" s="59" t="s">
        <v>51</v>
      </c>
      <c r="O324" s="57" t="s">
        <v>51</v>
      </c>
      <c r="P324" s="17"/>
      <c r="Q324" s="60"/>
      <c r="R324" s="104">
        <v>11</v>
      </c>
      <c r="S324" s="102"/>
      <c r="AP324" s="103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</row>
    <row r="325" spans="1:53" ht="18" customHeight="1" x14ac:dyDescent="0.35">
      <c r="A325" s="99" t="s">
        <v>333</v>
      </c>
      <c r="B325" s="2">
        <v>7.94</v>
      </c>
      <c r="C325" s="58" t="s">
        <v>51</v>
      </c>
      <c r="D325" s="58">
        <v>20</v>
      </c>
      <c r="E325" s="2">
        <v>0.5</v>
      </c>
      <c r="F325" s="50">
        <v>1274</v>
      </c>
      <c r="G325" s="50">
        <v>854</v>
      </c>
      <c r="H325" s="25">
        <v>676</v>
      </c>
      <c r="I325" s="25">
        <v>400</v>
      </c>
      <c r="J325" s="25">
        <f t="shared" si="8"/>
        <v>276</v>
      </c>
      <c r="K325" s="25">
        <v>156</v>
      </c>
      <c r="L325" s="59">
        <v>5</v>
      </c>
      <c r="M325" s="60" t="s">
        <v>51</v>
      </c>
      <c r="N325" s="59" t="s">
        <v>51</v>
      </c>
      <c r="O325" s="57" t="s">
        <v>51</v>
      </c>
      <c r="P325" s="17"/>
      <c r="Q325" s="60"/>
      <c r="R325" s="104">
        <v>12</v>
      </c>
      <c r="S325" s="102"/>
      <c r="AP325" s="103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</row>
    <row r="326" spans="1:53" ht="18" customHeight="1" x14ac:dyDescent="0.35">
      <c r="A326" s="99" t="s">
        <v>334</v>
      </c>
      <c r="B326" s="2">
        <v>7.92</v>
      </c>
      <c r="C326" s="58" t="s">
        <v>51</v>
      </c>
      <c r="D326" s="58">
        <v>22</v>
      </c>
      <c r="E326" s="2">
        <v>0.5</v>
      </c>
      <c r="F326" s="50">
        <v>1620</v>
      </c>
      <c r="G326" s="50">
        <v>1086</v>
      </c>
      <c r="H326" s="25">
        <v>690</v>
      </c>
      <c r="I326" s="25">
        <v>390</v>
      </c>
      <c r="J326" s="25">
        <f t="shared" si="8"/>
        <v>300</v>
      </c>
      <c r="K326" s="25">
        <v>149</v>
      </c>
      <c r="L326" s="59">
        <v>5</v>
      </c>
      <c r="M326" s="60" t="s">
        <v>51</v>
      </c>
      <c r="N326" s="59" t="s">
        <v>51</v>
      </c>
      <c r="O326" s="57" t="s">
        <v>51</v>
      </c>
      <c r="P326" s="17"/>
      <c r="Q326" s="60"/>
      <c r="R326" s="104">
        <v>10</v>
      </c>
      <c r="S326" s="102"/>
      <c r="AP326" s="103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</row>
    <row r="327" spans="1:53" ht="18" customHeight="1" x14ac:dyDescent="0.35">
      <c r="A327" s="2" t="s">
        <v>335</v>
      </c>
      <c r="B327" s="2">
        <v>8.18</v>
      </c>
      <c r="C327" s="25" t="s">
        <v>51</v>
      </c>
      <c r="D327" s="25">
        <v>19</v>
      </c>
      <c r="E327" s="2">
        <v>0.3</v>
      </c>
      <c r="F327" s="25">
        <v>1495</v>
      </c>
      <c r="G327" s="25">
        <v>1002</v>
      </c>
      <c r="H327" s="25">
        <v>676</v>
      </c>
      <c r="I327" s="25">
        <v>381</v>
      </c>
      <c r="J327" s="25">
        <f t="shared" si="8"/>
        <v>295</v>
      </c>
      <c r="K327" s="25">
        <v>149</v>
      </c>
      <c r="L327" s="59">
        <v>4.5</v>
      </c>
      <c r="M327" s="60" t="s">
        <v>51</v>
      </c>
      <c r="N327" s="59" t="s">
        <v>51</v>
      </c>
      <c r="O327" s="57" t="s">
        <v>51</v>
      </c>
      <c r="P327" s="17"/>
      <c r="Q327" s="60"/>
      <c r="R327" s="104">
        <v>12</v>
      </c>
      <c r="S327" s="102"/>
      <c r="AP327" s="103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</row>
    <row r="328" spans="1:53" ht="18" customHeight="1" x14ac:dyDescent="0.35">
      <c r="A328" s="99" t="s">
        <v>336</v>
      </c>
      <c r="B328" s="2">
        <v>7.99</v>
      </c>
      <c r="C328" s="25" t="s">
        <v>51</v>
      </c>
      <c r="D328" s="25">
        <v>21</v>
      </c>
      <c r="E328" s="2">
        <v>0.5</v>
      </c>
      <c r="F328" s="25">
        <v>1607</v>
      </c>
      <c r="G328" s="25">
        <v>1077</v>
      </c>
      <c r="H328" s="25">
        <v>708</v>
      </c>
      <c r="I328" s="25">
        <v>426</v>
      </c>
      <c r="J328" s="25">
        <f t="shared" si="8"/>
        <v>282</v>
      </c>
      <c r="K328" s="25">
        <v>170</v>
      </c>
      <c r="L328" s="59">
        <v>4.8</v>
      </c>
      <c r="M328" s="60" t="s">
        <v>51</v>
      </c>
      <c r="N328" s="59" t="s">
        <v>51</v>
      </c>
      <c r="O328" s="57" t="s">
        <v>51</v>
      </c>
      <c r="P328" s="17"/>
      <c r="Q328" s="60"/>
      <c r="R328" s="104">
        <v>10</v>
      </c>
      <c r="S328" s="102"/>
      <c r="AP328" s="103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</row>
    <row r="329" spans="1:53" ht="18" customHeight="1" x14ac:dyDescent="0.35">
      <c r="A329" s="99" t="s">
        <v>337</v>
      </c>
      <c r="B329" s="2">
        <v>8.01</v>
      </c>
      <c r="C329" s="25" t="s">
        <v>51</v>
      </c>
      <c r="D329" s="25">
        <v>17</v>
      </c>
      <c r="E329" s="2">
        <v>0.6</v>
      </c>
      <c r="F329" s="25">
        <v>1537</v>
      </c>
      <c r="G329" s="25">
        <v>1030</v>
      </c>
      <c r="H329" s="25">
        <v>685</v>
      </c>
      <c r="I329" s="25">
        <v>417</v>
      </c>
      <c r="J329" s="25">
        <f t="shared" si="8"/>
        <v>268</v>
      </c>
      <c r="K329" s="25">
        <v>156</v>
      </c>
      <c r="L329" s="59">
        <v>4.5</v>
      </c>
      <c r="M329" s="60" t="s">
        <v>51</v>
      </c>
      <c r="N329" s="59" t="s">
        <v>51</v>
      </c>
      <c r="O329" s="57" t="s">
        <v>51</v>
      </c>
      <c r="P329" s="17"/>
      <c r="Q329" s="60"/>
      <c r="R329" s="104">
        <v>12</v>
      </c>
      <c r="S329" s="102"/>
      <c r="AP329" s="103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</row>
    <row r="330" spans="1:53" ht="18" customHeight="1" x14ac:dyDescent="0.35">
      <c r="A330" s="99" t="s">
        <v>338</v>
      </c>
      <c r="B330" s="2">
        <v>8.06</v>
      </c>
      <c r="C330" s="25" t="s">
        <v>51</v>
      </c>
      <c r="D330" s="25">
        <v>24</v>
      </c>
      <c r="E330" s="2">
        <v>0.5</v>
      </c>
      <c r="F330" s="25">
        <v>1582</v>
      </c>
      <c r="G330" s="25">
        <v>1060</v>
      </c>
      <c r="H330" s="25">
        <v>690</v>
      </c>
      <c r="I330" s="25">
        <v>423</v>
      </c>
      <c r="J330" s="25">
        <f t="shared" si="8"/>
        <v>267</v>
      </c>
      <c r="K330" s="25">
        <v>149</v>
      </c>
      <c r="L330" s="59">
        <v>4.4000000000000004</v>
      </c>
      <c r="M330" s="60" t="s">
        <v>51</v>
      </c>
      <c r="N330" s="59" t="s">
        <v>51</v>
      </c>
      <c r="O330" s="57" t="s">
        <v>51</v>
      </c>
      <c r="P330" s="17"/>
      <c r="Q330" s="60"/>
      <c r="R330" s="104">
        <v>10</v>
      </c>
      <c r="S330" s="102"/>
      <c r="AP330" s="103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</row>
    <row r="331" spans="1:53" ht="18" customHeight="1" x14ac:dyDescent="0.35">
      <c r="A331" s="99"/>
      <c r="B331" s="25"/>
      <c r="C331" s="25"/>
      <c r="D331" s="25"/>
      <c r="E331" s="2"/>
      <c r="F331" s="25"/>
      <c r="G331" s="25"/>
      <c r="H331" s="25"/>
      <c r="I331" s="25"/>
      <c r="J331" s="25"/>
      <c r="K331" s="25"/>
      <c r="L331" s="25"/>
      <c r="M331" s="25"/>
      <c r="N331" s="59"/>
      <c r="O331" s="61"/>
      <c r="P331" s="25"/>
      <c r="Q331" s="60"/>
      <c r="R331" s="90"/>
      <c r="S331" s="31"/>
      <c r="AP331" s="3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</row>
    <row r="332" spans="1:53" ht="18" customHeight="1" thickBot="1" x14ac:dyDescent="0.4">
      <c r="A332" s="95"/>
      <c r="B332" s="84"/>
      <c r="C332" s="84"/>
      <c r="D332" s="84"/>
      <c r="E332" s="3"/>
      <c r="F332" s="84"/>
      <c r="G332" s="84"/>
      <c r="H332" s="84"/>
      <c r="I332" s="84"/>
      <c r="J332" s="84"/>
      <c r="K332" s="84"/>
      <c r="L332" s="84"/>
      <c r="M332" s="84"/>
      <c r="N332" s="91"/>
      <c r="O332" s="92"/>
      <c r="P332" s="84"/>
      <c r="Q332" s="93"/>
      <c r="R332" s="94"/>
      <c r="S332" s="31"/>
      <c r="AP332" s="3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</row>
    <row r="333" spans="1:53" ht="22.5" customHeight="1" thickBot="1" x14ac:dyDescent="0.4">
      <c r="A333" s="83"/>
      <c r="B333" s="1">
        <f>MIN(B5:B332)</f>
        <v>6.22</v>
      </c>
      <c r="C333" s="12">
        <v>17</v>
      </c>
      <c r="D333" s="12"/>
      <c r="E333" s="1">
        <f t="shared" ref="E333:J333" si="9">MIN(E5:E332)</f>
        <v>0.1</v>
      </c>
      <c r="F333" s="12">
        <f t="shared" si="9"/>
        <v>764</v>
      </c>
      <c r="G333" s="12">
        <f t="shared" si="9"/>
        <v>512</v>
      </c>
      <c r="H333" s="12">
        <f t="shared" si="9"/>
        <v>265</v>
      </c>
      <c r="I333" s="12">
        <f t="shared" si="9"/>
        <v>153</v>
      </c>
      <c r="J333" s="12">
        <f t="shared" si="9"/>
        <v>44</v>
      </c>
      <c r="K333" s="12">
        <v>142</v>
      </c>
      <c r="L333" s="1">
        <v>5.8</v>
      </c>
      <c r="M333" s="12">
        <f>MIN(M5:M332)</f>
        <v>45</v>
      </c>
      <c r="N333" s="1">
        <f>MIN(N5:N332)</f>
        <v>0</v>
      </c>
      <c r="O333" s="69">
        <f>MIN(O6:O332)</f>
        <v>0.1</v>
      </c>
      <c r="P333" s="1">
        <f>MIN(P5:P332)</f>
        <v>0</v>
      </c>
      <c r="Q333" s="12">
        <f>MIN(Q5:Q332)</f>
        <v>0</v>
      </c>
      <c r="R333" s="72">
        <f>MIN(R5:R332)</f>
        <v>10</v>
      </c>
      <c r="S333" s="9"/>
      <c r="AP333" s="23"/>
    </row>
    <row r="334" spans="1:53" ht="22.5" customHeight="1" x14ac:dyDescent="0.35">
      <c r="A334" s="70" t="str">
        <f>MakeUp!A333</f>
        <v>MAX.</v>
      </c>
      <c r="B334" s="2">
        <f>MAX(B5:B332)</f>
        <v>8.84</v>
      </c>
      <c r="C334" s="17">
        <v>28</v>
      </c>
      <c r="D334" s="17"/>
      <c r="E334" s="2">
        <f t="shared" ref="E334:J334" si="10">MAX(E5:E332)</f>
        <v>1</v>
      </c>
      <c r="F334" s="17">
        <f t="shared" si="10"/>
        <v>2141</v>
      </c>
      <c r="G334" s="17">
        <f t="shared" si="10"/>
        <v>1435</v>
      </c>
      <c r="H334" s="17">
        <f t="shared" si="10"/>
        <v>969</v>
      </c>
      <c r="I334" s="17">
        <f t="shared" si="10"/>
        <v>524</v>
      </c>
      <c r="J334" s="17">
        <f t="shared" si="10"/>
        <v>585</v>
      </c>
      <c r="K334" s="17">
        <f>MAX(K5:K333)</f>
        <v>283</v>
      </c>
      <c r="L334" s="2">
        <v>10.5</v>
      </c>
      <c r="M334" s="17">
        <f>MAX(M5:M332)</f>
        <v>67</v>
      </c>
      <c r="N334" s="2">
        <f>MAX(N5:N332)</f>
        <v>0</v>
      </c>
      <c r="O334" s="57">
        <f>MAX(O6:O332)</f>
        <v>0.3</v>
      </c>
      <c r="P334" s="2">
        <f>MAX(P5:P332)</f>
        <v>0</v>
      </c>
      <c r="Q334" s="17">
        <f>MAX(Q5:Q332)</f>
        <v>0</v>
      </c>
      <c r="R334" s="71">
        <f>MAX(R5:R332)</f>
        <v>32</v>
      </c>
      <c r="S334" s="9"/>
      <c r="AP334" s="23"/>
    </row>
    <row r="335" spans="1:53" ht="22.5" customHeight="1" thickBot="1" x14ac:dyDescent="0.4">
      <c r="A335" s="73" t="str">
        <f>MakeUp!A334</f>
        <v>AVG.</v>
      </c>
      <c r="B335" s="3">
        <f>AVERAGE(B5:B332)</f>
        <v>7.8303405572755409</v>
      </c>
      <c r="C335" s="14">
        <v>19</v>
      </c>
      <c r="D335" s="14"/>
      <c r="E335" s="3">
        <f t="shared" ref="E335:J335" si="11">AVERAGE(E5:E332)</f>
        <v>0.39947916666666683</v>
      </c>
      <c r="F335" s="14">
        <f t="shared" si="11"/>
        <v>1349.6687697160883</v>
      </c>
      <c r="G335" s="14">
        <f t="shared" si="11"/>
        <v>903.15170278637765</v>
      </c>
      <c r="H335" s="14">
        <f t="shared" si="11"/>
        <v>596.47058823529414</v>
      </c>
      <c r="I335" s="14">
        <f t="shared" si="11"/>
        <v>321.90683229813664</v>
      </c>
      <c r="J335" s="14">
        <f t="shared" si="11"/>
        <v>275.56037151702787</v>
      </c>
      <c r="K335" s="14">
        <f>AVERAGE(K5:K333)</f>
        <v>165.07716049382717</v>
      </c>
      <c r="L335" s="3">
        <f>AVERAGE(L5:L332)</f>
        <v>4.4097402597402606</v>
      </c>
      <c r="M335" s="14">
        <f>AVERAGE(M5:M332)</f>
        <v>52.6</v>
      </c>
      <c r="N335" s="3">
        <v>0</v>
      </c>
      <c r="O335" s="74">
        <f>AVERAGE(O6:O332)</f>
        <v>0.24999999999999997</v>
      </c>
      <c r="P335" s="3" t="e">
        <f>AVERAGE(P5:P332)</f>
        <v>#DIV/0!</v>
      </c>
      <c r="Q335" s="14" t="e">
        <f>AVERAGE(Q5:Q332)</f>
        <v>#DIV/0!</v>
      </c>
      <c r="R335" s="16">
        <f>AVERAGE(R5:R332)</f>
        <v>19.316176470588236</v>
      </c>
      <c r="S335" s="9"/>
      <c r="AP335" s="23"/>
    </row>
    <row r="336" spans="1:53" ht="32.25" customHeight="1" x14ac:dyDescent="0.35">
      <c r="A336" s="62" t="s">
        <v>21</v>
      </c>
      <c r="B336" s="45">
        <f>COUNTIF(B5:B332,"&lt;7.5")</f>
        <v>58</v>
      </c>
      <c r="C336" s="46" t="s">
        <v>12</v>
      </c>
      <c r="D336" s="46"/>
      <c r="E336" s="43">
        <f>COUNTIF(E5:E332,"&lt;0.2")</f>
        <v>28</v>
      </c>
      <c r="F336" s="46" t="s">
        <v>12</v>
      </c>
      <c r="G336" s="46" t="s">
        <v>12</v>
      </c>
      <c r="H336" s="46" t="s">
        <v>12</v>
      </c>
      <c r="I336" s="46" t="s">
        <v>12</v>
      </c>
      <c r="J336" s="46" t="s">
        <v>12</v>
      </c>
      <c r="K336" s="46" t="s">
        <v>12</v>
      </c>
      <c r="L336" s="43">
        <f>COUNTIF(L5:L332,"&lt;6")</f>
        <v>141</v>
      </c>
      <c r="M336" s="46" t="s">
        <v>12</v>
      </c>
      <c r="N336" s="46" t="s">
        <v>12</v>
      </c>
      <c r="O336" s="46" t="s">
        <v>12</v>
      </c>
      <c r="P336" s="46" t="s">
        <v>12</v>
      </c>
      <c r="Q336" s="46" t="s">
        <v>12</v>
      </c>
      <c r="R336" s="47" t="s">
        <v>12</v>
      </c>
      <c r="S336" s="8"/>
    </row>
    <row r="337" spans="1:41" ht="33.75" customHeight="1" thickBot="1" x14ac:dyDescent="0.4">
      <c r="A337" s="34" t="s">
        <v>22</v>
      </c>
      <c r="B337" s="27">
        <f>COUNTIF(B5:B332,"&gt;8.0")</f>
        <v>107</v>
      </c>
      <c r="C337" s="14">
        <f>COUNTIF(C5:C332,"&gt;20")</f>
        <v>132</v>
      </c>
      <c r="D337" s="14"/>
      <c r="E337" s="14">
        <f>COUNTIF(E5:E332,"&gt;0.5")</f>
        <v>42</v>
      </c>
      <c r="F337" s="15" t="s">
        <v>12</v>
      </c>
      <c r="G337" s="14">
        <f>COUNTIF(G5:G332,"&gt;2100")</f>
        <v>0</v>
      </c>
      <c r="H337" s="14">
        <f>COUNTIF(H5:H332,"&gt;1200")</f>
        <v>0</v>
      </c>
      <c r="I337" s="15" t="s">
        <v>12</v>
      </c>
      <c r="J337" s="15" t="s">
        <v>12</v>
      </c>
      <c r="K337" s="14">
        <f>COUNTIF(K5:K332,"&gt;500")</f>
        <v>0</v>
      </c>
      <c r="L337" s="14">
        <f>COUNTIF(L5:L332,"&gt;8.0")</f>
        <v>0</v>
      </c>
      <c r="M337" s="14">
        <f>COUNTIF(M5:M332,"&gt;200")</f>
        <v>0</v>
      </c>
      <c r="N337" s="15" t="s">
        <v>12</v>
      </c>
      <c r="O337" s="14">
        <f>COUNTIF(O6:O332,"&gt;2.0")</f>
        <v>0</v>
      </c>
      <c r="P337" s="15" t="s">
        <v>12</v>
      </c>
      <c r="Q337" s="14">
        <f>COUNTIF(Q5:Q332,"&gt;1000")</f>
        <v>0</v>
      </c>
      <c r="R337" s="16">
        <f>COUNTIF(R5:R332,"&gt;180")</f>
        <v>0</v>
      </c>
      <c r="S337" s="8"/>
    </row>
    <row r="338" spans="1:41" ht="36" customHeight="1" x14ac:dyDescent="0.35">
      <c r="A338" s="33" t="s">
        <v>23</v>
      </c>
      <c r="B338" s="26">
        <f>(100/(COUNT(B5:B332)))*B336</f>
        <v>17.956656346749227</v>
      </c>
      <c r="C338" s="13" t="s">
        <v>12</v>
      </c>
      <c r="D338" s="13"/>
      <c r="E338" s="12">
        <f>(100/(COUNT(E5:E332)))*E336</f>
        <v>14.583333333333334</v>
      </c>
      <c r="F338" s="13" t="s">
        <v>12</v>
      </c>
      <c r="G338" s="13" t="s">
        <v>12</v>
      </c>
      <c r="H338" s="13" t="s">
        <v>12</v>
      </c>
      <c r="I338" s="13" t="s">
        <v>12</v>
      </c>
      <c r="J338" s="13" t="s">
        <v>12</v>
      </c>
      <c r="K338" s="13" t="s">
        <v>12</v>
      </c>
      <c r="L338" s="12">
        <f>(100/(COUNT(L5:L332)))*L336</f>
        <v>91.558441558441558</v>
      </c>
      <c r="M338" s="12" t="e">
        <f>(100/(COUNT(M5:M332)))*M336</f>
        <v>#VALUE!</v>
      </c>
      <c r="N338" s="12" t="e">
        <f>(100/(COUNT(N5:N332)))*N336</f>
        <v>#DIV/0!</v>
      </c>
      <c r="O338" s="12" t="e">
        <f>(100/(COUNT(O6:O332)))*O336</f>
        <v>#VALUE!</v>
      </c>
      <c r="P338" s="12" t="e">
        <f>(100/(COUNT(P5:P332)))*P336</f>
        <v>#DIV/0!</v>
      </c>
      <c r="Q338" s="12" t="e">
        <f>(100/(COUNT(Q5:Q332)))*Q336</f>
        <v>#DIV/0!</v>
      </c>
      <c r="R338" s="28" t="s">
        <v>12</v>
      </c>
      <c r="S338" s="8"/>
    </row>
    <row r="339" spans="1:41" ht="31.5" customHeight="1" thickBot="1" x14ac:dyDescent="0.4">
      <c r="A339" s="34" t="s">
        <v>24</v>
      </c>
      <c r="B339" s="27">
        <f t="shared" ref="B339:I339" si="12">(100/(COUNT(B5:B332)))*B337</f>
        <v>33.126934984520126</v>
      </c>
      <c r="C339" s="14">
        <f t="shared" si="12"/>
        <v>50.769230769230774</v>
      </c>
      <c r="D339" s="14"/>
      <c r="E339" s="14">
        <f t="shared" si="12"/>
        <v>21.875</v>
      </c>
      <c r="F339" s="14" t="e">
        <f t="shared" si="12"/>
        <v>#VALUE!</v>
      </c>
      <c r="G339" s="14">
        <f t="shared" si="12"/>
        <v>0</v>
      </c>
      <c r="H339" s="14">
        <f t="shared" si="12"/>
        <v>0</v>
      </c>
      <c r="I339" s="14" t="e">
        <f t="shared" si="12"/>
        <v>#VALUE!</v>
      </c>
      <c r="J339" s="15" t="s">
        <v>12</v>
      </c>
      <c r="K339" s="14">
        <f>(100/(COUNT(K5:K332)))*K337</f>
        <v>0</v>
      </c>
      <c r="L339" s="14">
        <f>(100/(COUNT(L5:L332)))*L337</f>
        <v>0</v>
      </c>
      <c r="M339" s="14">
        <f>(100/(COUNT(M5:M332)))*M337</f>
        <v>0</v>
      </c>
      <c r="N339" s="14" t="e">
        <f>(100/(COUNT(N5:N332)))*N337</f>
        <v>#DIV/0!</v>
      </c>
      <c r="O339" s="14">
        <f>(100/(COUNT(O6:O332)))*O337</f>
        <v>0</v>
      </c>
      <c r="P339" s="14" t="e">
        <f>(100/(COUNT(P5:P332)))*P337</f>
        <v>#DIV/0!</v>
      </c>
      <c r="Q339" s="14" t="e">
        <f>(100/(COUNT(Q5:Q332)))*Q337</f>
        <v>#DIV/0!</v>
      </c>
      <c r="R339" s="16">
        <f>(100/(COUNT(R5:R332)))*R337</f>
        <v>0</v>
      </c>
      <c r="S339" s="8"/>
    </row>
    <row r="345" spans="1:41" x14ac:dyDescent="0.35">
      <c r="B345" s="23"/>
      <c r="C345" s="23"/>
      <c r="D345" s="23"/>
      <c r="E345" s="23"/>
      <c r="F345" s="23"/>
      <c r="G345" s="23"/>
      <c r="H345" s="23"/>
    </row>
    <row r="346" spans="1:41" x14ac:dyDescent="0.35">
      <c r="B346" s="23"/>
      <c r="C346" s="23"/>
      <c r="D346" s="23"/>
      <c r="E346" s="24"/>
      <c r="F346" s="23"/>
      <c r="G346" s="23"/>
      <c r="H346" s="23"/>
    </row>
    <row r="347" spans="1:41" x14ac:dyDescent="0.35">
      <c r="B347" s="23"/>
      <c r="C347" s="23"/>
      <c r="D347" s="23"/>
      <c r="E347" s="24"/>
      <c r="F347" s="23"/>
      <c r="G347" s="23"/>
      <c r="H347" s="23"/>
    </row>
    <row r="348" spans="1:41" x14ac:dyDescent="0.35">
      <c r="B348" s="23"/>
      <c r="C348" s="23"/>
      <c r="D348" s="23"/>
      <c r="E348" s="24"/>
      <c r="F348" s="23"/>
      <c r="G348" s="23"/>
      <c r="H348" s="23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</row>
    <row r="349" spans="1:41" x14ac:dyDescent="0.35">
      <c r="B349" s="23"/>
      <c r="C349" s="23"/>
      <c r="D349" s="23"/>
      <c r="E349" s="24"/>
      <c r="F349" s="23"/>
      <c r="G349" s="23"/>
      <c r="H349" s="23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</row>
    <row r="350" spans="1:41" x14ac:dyDescent="0.35">
      <c r="B350" s="23"/>
      <c r="C350" s="23"/>
      <c r="D350" s="23"/>
      <c r="E350" s="24"/>
      <c r="F350" s="23"/>
      <c r="G350" s="23"/>
      <c r="H350" s="23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</row>
    <row r="351" spans="1:41" x14ac:dyDescent="0.35">
      <c r="B351" s="23"/>
      <c r="C351" s="23"/>
      <c r="D351" s="23"/>
      <c r="E351" s="24"/>
      <c r="F351" s="23"/>
      <c r="G351" s="23"/>
      <c r="H351" s="23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</row>
    <row r="352" spans="1:41" x14ac:dyDescent="0.35">
      <c r="B352" s="23"/>
      <c r="C352" s="23"/>
      <c r="D352" s="23"/>
      <c r="E352" s="24"/>
      <c r="F352" s="23"/>
      <c r="G352" s="23"/>
      <c r="H352" s="23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2:41" x14ac:dyDescent="0.35">
      <c r="B353" s="23"/>
      <c r="C353" s="23"/>
      <c r="D353" s="23"/>
      <c r="E353" s="23"/>
      <c r="F353" s="23"/>
      <c r="G353" s="23"/>
      <c r="H353" s="23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2:41" x14ac:dyDescent="0.35">
      <c r="B354" s="23"/>
      <c r="C354" s="23"/>
      <c r="D354" s="23"/>
      <c r="E354" s="23"/>
      <c r="F354" s="23"/>
      <c r="G354" s="23"/>
      <c r="H354" s="23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2:41" x14ac:dyDescent="0.35">
      <c r="B355" s="23"/>
      <c r="C355" s="23"/>
      <c r="D355" s="23"/>
      <c r="E355" s="23"/>
      <c r="F355" s="23"/>
      <c r="G355" s="23"/>
      <c r="H355" s="23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2:41" x14ac:dyDescent="0.35">
      <c r="B356" s="23"/>
      <c r="C356" s="23"/>
      <c r="D356" s="23"/>
      <c r="E356" s="23"/>
      <c r="F356" s="23"/>
      <c r="G356" s="23"/>
      <c r="H356" s="23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2:41" x14ac:dyDescent="0.35">
      <c r="B357" s="23"/>
      <c r="C357" s="23"/>
      <c r="D357" s="23"/>
      <c r="E357" s="23"/>
      <c r="F357" s="23"/>
      <c r="G357" s="23"/>
      <c r="H357" s="23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2:41" x14ac:dyDescent="0.35">
      <c r="B358" s="23"/>
      <c r="C358" s="23"/>
      <c r="D358" s="23"/>
      <c r="E358" s="23"/>
      <c r="F358" s="23"/>
      <c r="G358" s="23"/>
      <c r="H358" s="23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2:41" x14ac:dyDescent="0.35">
      <c r="B359" s="23"/>
      <c r="C359" s="23"/>
      <c r="D359" s="23"/>
      <c r="E359" s="23"/>
      <c r="F359" s="23"/>
      <c r="G359" s="23"/>
      <c r="H359" s="23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</sheetData>
  <mergeCells count="5">
    <mergeCell ref="A3:A4"/>
    <mergeCell ref="A1:R2"/>
    <mergeCell ref="B185:R185"/>
    <mergeCell ref="B186:R186"/>
    <mergeCell ref="B305:R305"/>
  </mergeCells>
  <phoneticPr fontId="0" type="noConversion"/>
  <conditionalFormatting sqref="E346:E352 E5:E28 E331:E332">
    <cfRule type="cellIs" dxfId="104" priority="141" stopIfTrue="1" operator="notBetween">
      <formula>0.2</formula>
      <formula>0.5</formula>
    </cfRule>
  </conditionalFormatting>
  <conditionalFormatting sqref="S336:S339 R337 R339 K337 K339 E336:E339 B336:B339 C337:D337 C339:D339 F337:I337 F339:I339 L336:Q339">
    <cfRule type="cellIs" dxfId="103" priority="142" stopIfTrue="1" operator="greaterThan">
      <formula>0</formula>
    </cfRule>
  </conditionalFormatting>
  <conditionalFormatting sqref="S5:S28 S331:S332">
    <cfRule type="cellIs" dxfId="102" priority="143" stopIfTrue="1" operator="lessThan">
      <formula>0.5</formula>
    </cfRule>
    <cfRule type="cellIs" dxfId="101" priority="144" stopIfTrue="1" operator="greaterThan">
      <formula>2</formula>
    </cfRule>
  </conditionalFormatting>
  <conditionalFormatting sqref="B20:B28 B5:B18">
    <cfRule type="cellIs" dxfId="100" priority="146" stopIfTrue="1" operator="notBetween">
      <formula>7.5</formula>
      <formula>8</formula>
    </cfRule>
  </conditionalFormatting>
  <conditionalFormatting sqref="C5:D18 P5:P18 C257:D274 C282:D299">
    <cfRule type="cellIs" dxfId="99" priority="147" stopIfTrue="1" operator="greaterThan">
      <formula>20</formula>
    </cfRule>
  </conditionalFormatting>
  <conditionalFormatting sqref="I16 G6 H5:H15 H17:H18">
    <cfRule type="cellIs" dxfId="98" priority="151" stopIfTrue="1" operator="greaterThan">
      <formula>1200</formula>
    </cfRule>
  </conditionalFormatting>
  <conditionalFormatting sqref="K5:K18">
    <cfRule type="cellIs" dxfId="97" priority="138" operator="greaterThan">
      <formula>500</formula>
    </cfRule>
  </conditionalFormatting>
  <conditionalFormatting sqref="H16 F6 G5:G15 G17:G18">
    <cfRule type="cellIs" dxfId="96" priority="137" operator="greaterThan">
      <formula>2100</formula>
    </cfRule>
  </conditionalFormatting>
  <conditionalFormatting sqref="E29:E53">
    <cfRule type="cellIs" dxfId="95" priority="91" stopIfTrue="1" operator="notBetween">
      <formula>0.2</formula>
      <formula>0.5</formula>
    </cfRule>
  </conditionalFormatting>
  <conditionalFormatting sqref="S29:S53">
    <cfRule type="cellIs" dxfId="94" priority="92" stopIfTrue="1" operator="lessThan">
      <formula>0.5</formula>
    </cfRule>
    <cfRule type="cellIs" dxfId="93" priority="93" stopIfTrue="1" operator="greaterThan">
      <formula>2</formula>
    </cfRule>
  </conditionalFormatting>
  <conditionalFormatting sqref="B29:B53">
    <cfRule type="cellIs" dxfId="92" priority="94" stopIfTrue="1" operator="notBetween">
      <formula>7.5</formula>
      <formula>8</formula>
    </cfRule>
  </conditionalFormatting>
  <conditionalFormatting sqref="C29:D46 P29:P47">
    <cfRule type="cellIs" dxfId="91" priority="95" stopIfTrue="1" operator="greaterThan">
      <formula>20</formula>
    </cfRule>
  </conditionalFormatting>
  <conditionalFormatting sqref="I42 G30 H29:H41 H43:H46">
    <cfRule type="cellIs" dxfId="90" priority="96" stopIfTrue="1" operator="greaterThan">
      <formula>1200</formula>
    </cfRule>
  </conditionalFormatting>
  <conditionalFormatting sqref="K29:K46">
    <cfRule type="cellIs" dxfId="89" priority="90" operator="greaterThan">
      <formula>500</formula>
    </cfRule>
  </conditionalFormatting>
  <conditionalFormatting sqref="H42 F30 G29:G41 G43:G46">
    <cfRule type="cellIs" dxfId="88" priority="89" operator="greaterThan">
      <formula>2100</formula>
    </cfRule>
  </conditionalFormatting>
  <conditionalFormatting sqref="E54:E80">
    <cfRule type="cellIs" dxfId="87" priority="83" stopIfTrue="1" operator="notBetween">
      <formula>0.2</formula>
      <formula>0.5</formula>
    </cfRule>
  </conditionalFormatting>
  <conditionalFormatting sqref="S54:S80">
    <cfRule type="cellIs" dxfId="86" priority="84" stopIfTrue="1" operator="lessThan">
      <formula>0.5</formula>
    </cfRule>
    <cfRule type="cellIs" dxfId="85" priority="85" stopIfTrue="1" operator="greaterThan">
      <formula>2</formula>
    </cfRule>
  </conditionalFormatting>
  <conditionalFormatting sqref="B54:B80">
    <cfRule type="cellIs" dxfId="84" priority="86" stopIfTrue="1" operator="notBetween">
      <formula>7.5</formula>
      <formula>8</formula>
    </cfRule>
  </conditionalFormatting>
  <conditionalFormatting sqref="C54:D71 P54:P72">
    <cfRule type="cellIs" dxfId="83" priority="87" stopIfTrue="1" operator="greaterThan">
      <formula>20</formula>
    </cfRule>
  </conditionalFormatting>
  <conditionalFormatting sqref="I67 G55 H54:H66 H68:H71">
    <cfRule type="cellIs" dxfId="82" priority="88" stopIfTrue="1" operator="greaterThan">
      <formula>1200</formula>
    </cfRule>
  </conditionalFormatting>
  <conditionalFormatting sqref="K54:K71">
    <cfRule type="cellIs" dxfId="81" priority="82" operator="greaterThan">
      <formula>500</formula>
    </cfRule>
  </conditionalFormatting>
  <conditionalFormatting sqref="H67 F55 G54:G66 G68:G71">
    <cfRule type="cellIs" dxfId="80" priority="81" operator="greaterThan">
      <formula>2100</formula>
    </cfRule>
  </conditionalFormatting>
  <conditionalFormatting sqref="E81:E104">
    <cfRule type="cellIs" dxfId="79" priority="75" stopIfTrue="1" operator="notBetween">
      <formula>0.2</formula>
      <formula>0.5</formula>
    </cfRule>
  </conditionalFormatting>
  <conditionalFormatting sqref="S81:S104">
    <cfRule type="cellIs" dxfId="78" priority="76" stopIfTrue="1" operator="lessThan">
      <formula>0.5</formula>
    </cfRule>
    <cfRule type="cellIs" dxfId="77" priority="77" stopIfTrue="1" operator="greaterThan">
      <formula>2</formula>
    </cfRule>
  </conditionalFormatting>
  <conditionalFormatting sqref="B81:B104">
    <cfRule type="cellIs" dxfId="76" priority="78" stopIfTrue="1" operator="notBetween">
      <formula>7.5</formula>
      <formula>8</formula>
    </cfRule>
  </conditionalFormatting>
  <conditionalFormatting sqref="C81:D98 P81:P103">
    <cfRule type="cellIs" dxfId="75" priority="79" stopIfTrue="1" operator="greaterThan">
      <formula>20</formula>
    </cfRule>
  </conditionalFormatting>
  <conditionalFormatting sqref="I94 G82 H81:H93 H95:H98">
    <cfRule type="cellIs" dxfId="74" priority="80" stopIfTrue="1" operator="greaterThan">
      <formula>1200</formula>
    </cfRule>
  </conditionalFormatting>
  <conditionalFormatting sqref="K81:K98">
    <cfRule type="cellIs" dxfId="73" priority="74" operator="greaterThan">
      <formula>500</formula>
    </cfRule>
  </conditionalFormatting>
  <conditionalFormatting sqref="H94 F82 G81:G93 G95:G98">
    <cfRule type="cellIs" dxfId="72" priority="73" operator="greaterThan">
      <formula>2100</formula>
    </cfRule>
  </conditionalFormatting>
  <conditionalFormatting sqref="E105:E130">
    <cfRule type="cellIs" dxfId="71" priority="67" stopIfTrue="1" operator="notBetween">
      <formula>0.2</formula>
      <formula>0.5</formula>
    </cfRule>
  </conditionalFormatting>
  <conditionalFormatting sqref="S105:S130">
    <cfRule type="cellIs" dxfId="70" priority="68" stopIfTrue="1" operator="lessThan">
      <formula>0.5</formula>
    </cfRule>
    <cfRule type="cellIs" dxfId="69" priority="69" stopIfTrue="1" operator="greaterThan">
      <formula>2</formula>
    </cfRule>
  </conditionalFormatting>
  <conditionalFormatting sqref="B105:B130">
    <cfRule type="cellIs" dxfId="68" priority="70" stopIfTrue="1" operator="notBetween">
      <formula>7.5</formula>
      <formula>8</formula>
    </cfRule>
  </conditionalFormatting>
  <conditionalFormatting sqref="C105:D122 P105:P127">
    <cfRule type="cellIs" dxfId="67" priority="71" stopIfTrue="1" operator="greaterThan">
      <formula>20</formula>
    </cfRule>
  </conditionalFormatting>
  <conditionalFormatting sqref="I118 G106 H105:H117 H119:H122">
    <cfRule type="cellIs" dxfId="66" priority="72" stopIfTrue="1" operator="greaterThan">
      <formula>1200</formula>
    </cfRule>
  </conditionalFormatting>
  <conditionalFormatting sqref="K105:K122">
    <cfRule type="cellIs" dxfId="65" priority="66" operator="greaterThan">
      <formula>500</formula>
    </cfRule>
  </conditionalFormatting>
  <conditionalFormatting sqref="H118 F106 G105:G117 G119:G122">
    <cfRule type="cellIs" dxfId="64" priority="65" operator="greaterThan">
      <formula>2100</formula>
    </cfRule>
  </conditionalFormatting>
  <conditionalFormatting sqref="E131:E156">
    <cfRule type="cellIs" dxfId="63" priority="59" stopIfTrue="1" operator="notBetween">
      <formula>0.2</formula>
      <formula>0.5</formula>
    </cfRule>
  </conditionalFormatting>
  <conditionalFormatting sqref="S131:S156">
    <cfRule type="cellIs" dxfId="62" priority="60" stopIfTrue="1" operator="lessThan">
      <formula>0.5</formula>
    </cfRule>
    <cfRule type="cellIs" dxfId="61" priority="61" stopIfTrue="1" operator="greaterThan">
      <formula>2</formula>
    </cfRule>
  </conditionalFormatting>
  <conditionalFormatting sqref="B131:B156">
    <cfRule type="cellIs" dxfId="60" priority="62" stopIfTrue="1" operator="notBetween">
      <formula>7.5</formula>
      <formula>8</formula>
    </cfRule>
  </conditionalFormatting>
  <conditionalFormatting sqref="C131:D148 P131:P153">
    <cfRule type="cellIs" dxfId="59" priority="63" stopIfTrue="1" operator="greaterThan">
      <formula>20</formula>
    </cfRule>
  </conditionalFormatting>
  <conditionalFormatting sqref="I144 G132 H131:H143 H145:H148">
    <cfRule type="cellIs" dxfId="58" priority="64" stopIfTrue="1" operator="greaterThan">
      <formula>1200</formula>
    </cfRule>
  </conditionalFormatting>
  <conditionalFormatting sqref="K131:K148">
    <cfRule type="cellIs" dxfId="57" priority="58" operator="greaterThan">
      <formula>500</formula>
    </cfRule>
  </conditionalFormatting>
  <conditionalFormatting sqref="H144 F132 G131:G143 G145:G148">
    <cfRule type="cellIs" dxfId="56" priority="57" operator="greaterThan">
      <formula>2100</formula>
    </cfRule>
  </conditionalFormatting>
  <conditionalFormatting sqref="E157:E179">
    <cfRule type="cellIs" dxfId="55" priority="51" stopIfTrue="1" operator="notBetween">
      <formula>0.2</formula>
      <formula>0.5</formula>
    </cfRule>
  </conditionalFormatting>
  <conditionalFormatting sqref="S157:S179">
    <cfRule type="cellIs" dxfId="54" priority="52" stopIfTrue="1" operator="lessThan">
      <formula>0.5</formula>
    </cfRule>
    <cfRule type="cellIs" dxfId="53" priority="53" stopIfTrue="1" operator="greaterThan">
      <formula>2</formula>
    </cfRule>
  </conditionalFormatting>
  <conditionalFormatting sqref="B157:B179">
    <cfRule type="cellIs" dxfId="52" priority="54" stopIfTrue="1" operator="notBetween">
      <formula>7.5</formula>
      <formula>8</formula>
    </cfRule>
  </conditionalFormatting>
  <conditionalFormatting sqref="C157:D174 P157:P179">
    <cfRule type="cellIs" dxfId="51" priority="55" stopIfTrue="1" operator="greaterThan">
      <formula>20</formula>
    </cfRule>
  </conditionalFormatting>
  <conditionalFormatting sqref="I170 G158 H157:H169 H171:H174">
    <cfRule type="cellIs" dxfId="50" priority="56" stopIfTrue="1" operator="greaterThan">
      <formula>1200</formula>
    </cfRule>
  </conditionalFormatting>
  <conditionalFormatting sqref="K157:K174">
    <cfRule type="cellIs" dxfId="49" priority="50" operator="greaterThan">
      <formula>500</formula>
    </cfRule>
  </conditionalFormatting>
  <conditionalFormatting sqref="H170 F158 G157:G169 G171:G174">
    <cfRule type="cellIs" dxfId="48" priority="49" operator="greaterThan">
      <formula>2100</formula>
    </cfRule>
  </conditionalFormatting>
  <conditionalFormatting sqref="E180:E184 E187:E204">
    <cfRule type="cellIs" dxfId="47" priority="43" stopIfTrue="1" operator="notBetween">
      <formula>0.2</formula>
      <formula>0.5</formula>
    </cfRule>
  </conditionalFormatting>
  <conditionalFormatting sqref="S180:S204">
    <cfRule type="cellIs" dxfId="46" priority="44" stopIfTrue="1" operator="lessThan">
      <formula>0.5</formula>
    </cfRule>
    <cfRule type="cellIs" dxfId="45" priority="45" stopIfTrue="1" operator="greaterThan">
      <formula>2</formula>
    </cfRule>
  </conditionalFormatting>
  <conditionalFormatting sqref="B180:B204">
    <cfRule type="cellIs" dxfId="44" priority="46" stopIfTrue="1" operator="notBetween">
      <formula>7.5</formula>
      <formula>8</formula>
    </cfRule>
  </conditionalFormatting>
  <conditionalFormatting sqref="C180:D184 P180:P184 P187:P202 C187:D197">
    <cfRule type="cellIs" dxfId="43" priority="47" stopIfTrue="1" operator="greaterThan">
      <formula>20</formula>
    </cfRule>
  </conditionalFormatting>
  <conditionalFormatting sqref="I193 G181 H180:H184 H194:H197 H187:H192">
    <cfRule type="cellIs" dxfId="42" priority="48" stopIfTrue="1" operator="greaterThan">
      <formula>1200</formula>
    </cfRule>
  </conditionalFormatting>
  <conditionalFormatting sqref="K180:K184 K187:K197">
    <cfRule type="cellIs" dxfId="41" priority="42" operator="greaterThan">
      <formula>500</formula>
    </cfRule>
  </conditionalFormatting>
  <conditionalFormatting sqref="H193 F181 G180:G184 G194:G197 G187:G192">
    <cfRule type="cellIs" dxfId="40" priority="41" operator="greaterThan">
      <formula>2100</formula>
    </cfRule>
  </conditionalFormatting>
  <conditionalFormatting sqref="E205:E230">
    <cfRule type="cellIs" dxfId="39" priority="35" stopIfTrue="1" operator="notBetween">
      <formula>0.2</formula>
      <formula>0.5</formula>
    </cfRule>
  </conditionalFormatting>
  <conditionalFormatting sqref="S205:S230">
    <cfRule type="cellIs" dxfId="38" priority="36" stopIfTrue="1" operator="lessThan">
      <formula>0.5</formula>
    </cfRule>
    <cfRule type="cellIs" dxfId="37" priority="37" stopIfTrue="1" operator="greaterThan">
      <formula>2</formula>
    </cfRule>
  </conditionalFormatting>
  <conditionalFormatting sqref="B205:B230">
    <cfRule type="cellIs" dxfId="36" priority="38" stopIfTrue="1" operator="notBetween">
      <formula>7.5</formula>
      <formula>8</formula>
    </cfRule>
  </conditionalFormatting>
  <conditionalFormatting sqref="C205:D222 P205:P227">
    <cfRule type="cellIs" dxfId="35" priority="39" stopIfTrue="1" operator="greaterThan">
      <formula>20</formula>
    </cfRule>
  </conditionalFormatting>
  <conditionalFormatting sqref="I218 G206 H219:H222 H205:H217">
    <cfRule type="cellIs" dxfId="34" priority="40" stopIfTrue="1" operator="greaterThan">
      <formula>1200</formula>
    </cfRule>
  </conditionalFormatting>
  <conditionalFormatting sqref="K205:K222">
    <cfRule type="cellIs" dxfId="33" priority="34" operator="greaterThan">
      <formula>500</formula>
    </cfRule>
  </conditionalFormatting>
  <conditionalFormatting sqref="H218 F206 G219:G222 G205:G217">
    <cfRule type="cellIs" dxfId="32" priority="33" operator="greaterThan">
      <formula>2100</formula>
    </cfRule>
  </conditionalFormatting>
  <conditionalFormatting sqref="E231:E256">
    <cfRule type="cellIs" dxfId="31" priority="27" stopIfTrue="1" operator="notBetween">
      <formula>0.2</formula>
      <formula>0.5</formula>
    </cfRule>
  </conditionalFormatting>
  <conditionalFormatting sqref="S231:S256">
    <cfRule type="cellIs" dxfId="30" priority="28" stopIfTrue="1" operator="lessThan">
      <formula>0.5</formula>
    </cfRule>
    <cfRule type="cellIs" dxfId="29" priority="29" stopIfTrue="1" operator="greaterThan">
      <formula>2</formula>
    </cfRule>
  </conditionalFormatting>
  <conditionalFormatting sqref="B231:B256">
    <cfRule type="cellIs" dxfId="28" priority="30" stopIfTrue="1" operator="notBetween">
      <formula>7.5</formula>
      <formula>8</formula>
    </cfRule>
  </conditionalFormatting>
  <conditionalFormatting sqref="C231:D248 P231:P253">
    <cfRule type="cellIs" dxfId="27" priority="31" stopIfTrue="1" operator="greaterThan">
      <formula>20</formula>
    </cfRule>
  </conditionalFormatting>
  <conditionalFormatting sqref="I244 G232 H245:H248 H231:H243">
    <cfRule type="cellIs" dxfId="26" priority="32" stopIfTrue="1" operator="greaterThan">
      <formula>1200</formula>
    </cfRule>
  </conditionalFormatting>
  <conditionalFormatting sqref="K231:K248">
    <cfRule type="cellIs" dxfId="25" priority="26" operator="greaterThan">
      <formula>500</formula>
    </cfRule>
  </conditionalFormatting>
  <conditionalFormatting sqref="H244 F232 G245:G248 G231:G243">
    <cfRule type="cellIs" dxfId="24" priority="25" operator="greaterThan">
      <formula>2100</formula>
    </cfRule>
  </conditionalFormatting>
  <conditionalFormatting sqref="E257:E281">
    <cfRule type="cellIs" dxfId="23" priority="19" stopIfTrue="1" operator="notBetween">
      <formula>0.2</formula>
      <formula>0.5</formula>
    </cfRule>
  </conditionalFormatting>
  <conditionalFormatting sqref="T257:T281">
    <cfRule type="cellIs" dxfId="22" priority="20" stopIfTrue="1" operator="lessThan">
      <formula>0.5</formula>
    </cfRule>
    <cfRule type="cellIs" dxfId="21" priority="21" stopIfTrue="1" operator="greaterThan">
      <formula>2</formula>
    </cfRule>
  </conditionalFormatting>
  <conditionalFormatting sqref="B257:B281">
    <cfRule type="cellIs" dxfId="20" priority="22" stopIfTrue="1" operator="notBetween">
      <formula>7.5</formula>
      <formula>8</formula>
    </cfRule>
  </conditionalFormatting>
  <conditionalFormatting sqref="P257:P279">
    <cfRule type="cellIs" dxfId="19" priority="23" stopIfTrue="1" operator="greaterThan">
      <formula>20</formula>
    </cfRule>
  </conditionalFormatting>
  <conditionalFormatting sqref="I270 G258 H271:H274 H257:H269">
    <cfRule type="cellIs" dxfId="18" priority="24" stopIfTrue="1" operator="greaterThan">
      <formula>1200</formula>
    </cfRule>
  </conditionalFormatting>
  <conditionalFormatting sqref="K257:K274">
    <cfRule type="cellIs" dxfId="17" priority="18" operator="greaterThan">
      <formula>500</formula>
    </cfRule>
  </conditionalFormatting>
  <conditionalFormatting sqref="H270 F258 G271:G274 G257:G269">
    <cfRule type="cellIs" dxfId="16" priority="17" operator="greaterThan">
      <formula>2100</formula>
    </cfRule>
  </conditionalFormatting>
  <conditionalFormatting sqref="E282:E304 E306:E308">
    <cfRule type="cellIs" dxfId="15" priority="11" stopIfTrue="1" operator="notBetween">
      <formula>0.2</formula>
      <formula>0.5</formula>
    </cfRule>
  </conditionalFormatting>
  <conditionalFormatting sqref="T282:T308">
    <cfRule type="cellIs" dxfId="14" priority="12" stopIfTrue="1" operator="lessThan">
      <formula>0.5</formula>
    </cfRule>
    <cfRule type="cellIs" dxfId="13" priority="13" stopIfTrue="1" operator="greaterThan">
      <formula>2</formula>
    </cfRule>
  </conditionalFormatting>
  <conditionalFormatting sqref="B282:B308">
    <cfRule type="cellIs" dxfId="12" priority="14" stopIfTrue="1" operator="notBetween">
      <formula>7.5</formula>
      <formula>8</formula>
    </cfRule>
  </conditionalFormatting>
  <conditionalFormatting sqref="P282:P304">
    <cfRule type="cellIs" dxfId="11" priority="15" stopIfTrue="1" operator="greaterThan">
      <formula>20</formula>
    </cfRule>
  </conditionalFormatting>
  <conditionalFormatting sqref="I295 G283 H296:H299 H282:H294">
    <cfRule type="cellIs" dxfId="10" priority="16" stopIfTrue="1" operator="greaterThan">
      <formula>1200</formula>
    </cfRule>
  </conditionalFormatting>
  <conditionalFormatting sqref="K282:K299">
    <cfRule type="cellIs" dxfId="9" priority="10" operator="greaterThan">
      <formula>500</formula>
    </cfRule>
  </conditionalFormatting>
  <conditionalFormatting sqref="H295 F283 G296:G299 G282:G294">
    <cfRule type="cellIs" dxfId="8" priority="9" operator="greaterThan">
      <formula>2100</formula>
    </cfRule>
  </conditionalFormatting>
  <conditionalFormatting sqref="E309:E330">
    <cfRule type="cellIs" dxfId="7" priority="3" stopIfTrue="1" operator="notBetween">
      <formula>0.2</formula>
      <formula>0.5</formula>
    </cfRule>
  </conditionalFormatting>
  <conditionalFormatting sqref="S309:S330">
    <cfRule type="cellIs" dxfId="6" priority="4" stopIfTrue="1" operator="lessThan">
      <formula>0.5</formula>
    </cfRule>
    <cfRule type="cellIs" dxfId="5" priority="5" stopIfTrue="1" operator="greaterThan">
      <formula>2</formula>
    </cfRule>
  </conditionalFormatting>
  <conditionalFormatting sqref="B309:B330">
    <cfRule type="cellIs" dxfId="4" priority="6" stopIfTrue="1" operator="notBetween">
      <formula>7.5</formula>
      <formula>8</formula>
    </cfRule>
  </conditionalFormatting>
  <conditionalFormatting sqref="C309:D326 P309:P330">
    <cfRule type="cellIs" dxfId="3" priority="7" stopIfTrue="1" operator="greaterThan">
      <formula>20</formula>
    </cfRule>
  </conditionalFormatting>
  <conditionalFormatting sqref="I322 G310 H323:H326 H309:H321">
    <cfRule type="cellIs" dxfId="2" priority="8" stopIfTrue="1" operator="greaterThan">
      <formula>1200</formula>
    </cfRule>
  </conditionalFormatting>
  <conditionalFormatting sqref="K309:K326">
    <cfRule type="cellIs" dxfId="1" priority="2" operator="greaterThan">
      <formula>500</formula>
    </cfRule>
  </conditionalFormatting>
  <conditionalFormatting sqref="H322 F310 G323:G326 G309:G321">
    <cfRule type="cellIs" dxfId="0" priority="1" operator="greaterThan">
      <formula>2100</formula>
    </cfRule>
  </conditionalFormatting>
  <printOptions horizontalCentered="1" verticalCentered="1"/>
  <pageMargins left="0.23622047244094491" right="0.23622047244094491" top="0" bottom="0" header="0.35433070866141736" footer="0.51181102362204722"/>
  <pageSetup scale="70" orientation="landscape" horizontalDpi="300" verticalDpi="300" r:id="rId1"/>
  <headerFooter alignWithMargins="0">
    <oddHeader>&amp;R&amp;G</oddHeader>
    <oddFooter>&amp;R&amp;"Verdana,Italic"&amp;K0033CCCWT Monthly Report - December 2014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A1E9-7247-4FC2-A489-3B1ECE197FE0}">
  <dimension ref="A1:Q49"/>
  <sheetViews>
    <sheetView showGridLines="0" zoomScale="66" zoomScaleNormal="66" workbookViewId="0">
      <selection activeCell="BF33" sqref="BF33"/>
    </sheetView>
  </sheetViews>
  <sheetFormatPr defaultRowHeight="12.75" x14ac:dyDescent="0.35"/>
  <cols>
    <col min="27" max="27" width="11.1328125" customWidth="1"/>
    <col min="45" max="45" width="11.1328125" customWidth="1"/>
  </cols>
  <sheetData>
    <row r="1" spans="1:8" x14ac:dyDescent="0.35">
      <c r="A1" s="4"/>
      <c r="B1" s="4"/>
      <c r="C1" s="4"/>
      <c r="D1" s="4"/>
      <c r="E1" s="4"/>
      <c r="F1" s="4"/>
      <c r="G1" s="4"/>
      <c r="H1" s="4"/>
    </row>
    <row r="2" spans="1:8" x14ac:dyDescent="0.35">
      <c r="A2" s="4"/>
      <c r="B2" s="4"/>
      <c r="C2" s="4"/>
      <c r="D2" s="4"/>
      <c r="E2" s="4"/>
      <c r="F2" s="4"/>
      <c r="G2" s="4"/>
      <c r="H2" s="4"/>
    </row>
    <row r="3" spans="1:8" x14ac:dyDescent="0.35">
      <c r="A3" s="4"/>
      <c r="B3" s="4"/>
      <c r="C3" s="4"/>
      <c r="D3" s="4"/>
      <c r="E3" s="4"/>
      <c r="F3" s="4"/>
      <c r="G3" s="4"/>
      <c r="H3" s="4"/>
    </row>
    <row r="4" spans="1:8" x14ac:dyDescent="0.35">
      <c r="A4" s="4"/>
      <c r="B4" s="4"/>
      <c r="C4" s="4"/>
      <c r="D4" s="4"/>
      <c r="E4" s="4"/>
      <c r="F4" s="4"/>
      <c r="G4" s="4"/>
      <c r="H4" s="4"/>
    </row>
    <row r="5" spans="1:8" x14ac:dyDescent="0.35">
      <c r="A5" s="4"/>
      <c r="B5" s="4"/>
      <c r="C5" s="4"/>
      <c r="D5" s="4"/>
      <c r="E5" s="4"/>
      <c r="F5" s="4"/>
      <c r="G5" s="4"/>
      <c r="H5" s="4"/>
    </row>
    <row r="6" spans="1:8" x14ac:dyDescent="0.35">
      <c r="A6" s="4"/>
      <c r="B6" s="4"/>
      <c r="C6" s="4"/>
      <c r="D6" s="4"/>
      <c r="E6" s="4"/>
      <c r="F6" s="4"/>
      <c r="G6" s="4"/>
      <c r="H6" s="4"/>
    </row>
    <row r="7" spans="1:8" x14ac:dyDescent="0.35">
      <c r="A7" s="4"/>
      <c r="B7" s="4"/>
      <c r="C7" s="4"/>
      <c r="D7" s="4"/>
      <c r="E7" s="4"/>
      <c r="F7" s="4"/>
      <c r="G7" s="4"/>
      <c r="H7" s="4"/>
    </row>
    <row r="8" spans="1:8" x14ac:dyDescent="0.35">
      <c r="A8" s="4"/>
      <c r="B8" s="4"/>
      <c r="C8" s="4"/>
      <c r="D8" s="4"/>
      <c r="E8" s="4"/>
      <c r="F8" s="4"/>
      <c r="G8" s="4"/>
      <c r="H8" s="4"/>
    </row>
    <row r="9" spans="1:8" x14ac:dyDescent="0.35">
      <c r="A9" s="4"/>
      <c r="B9" s="4"/>
      <c r="C9" s="4"/>
      <c r="D9" s="4"/>
      <c r="E9" s="4"/>
      <c r="F9" s="4"/>
      <c r="G9" s="4"/>
      <c r="H9" s="4"/>
    </row>
    <row r="10" spans="1:8" x14ac:dyDescent="0.35">
      <c r="A10" s="4"/>
      <c r="B10" s="4"/>
      <c r="C10" s="4"/>
      <c r="D10" s="4"/>
      <c r="E10" s="4"/>
      <c r="F10" s="4"/>
      <c r="G10" s="4"/>
      <c r="H10" s="4"/>
    </row>
    <row r="11" spans="1:8" x14ac:dyDescent="0.35">
      <c r="A11" s="4"/>
      <c r="B11" s="4"/>
      <c r="C11" s="4"/>
      <c r="D11" s="4"/>
      <c r="E11" s="4"/>
      <c r="F11" s="4"/>
      <c r="G11" s="4"/>
      <c r="H11" s="4"/>
    </row>
    <row r="12" spans="1:8" x14ac:dyDescent="0.35">
      <c r="A12" s="4"/>
      <c r="B12" s="4"/>
      <c r="C12" s="4"/>
      <c r="D12" s="4"/>
      <c r="E12" s="4"/>
      <c r="F12" s="4"/>
      <c r="G12" s="4"/>
      <c r="H12" s="4"/>
    </row>
    <row r="13" spans="1:8" x14ac:dyDescent="0.35">
      <c r="A13" s="4"/>
      <c r="B13" s="4"/>
      <c r="C13" s="4"/>
      <c r="D13" s="4"/>
      <c r="E13" s="4"/>
      <c r="F13" s="4"/>
      <c r="G13" s="4"/>
      <c r="H13" s="4"/>
    </row>
    <row r="14" spans="1:8" x14ac:dyDescent="0.35">
      <c r="A14" s="4"/>
      <c r="B14" s="4"/>
      <c r="C14" s="4"/>
      <c r="D14" s="4"/>
      <c r="E14" s="4"/>
      <c r="F14" s="4"/>
      <c r="G14" s="4"/>
      <c r="H14" s="4"/>
    </row>
    <row r="15" spans="1:8" x14ac:dyDescent="0.35">
      <c r="A15" s="4"/>
      <c r="B15" s="4"/>
      <c r="C15" s="4"/>
      <c r="D15" s="4"/>
      <c r="E15" s="4"/>
      <c r="F15" s="4"/>
      <c r="G15" s="4"/>
      <c r="H15" s="4"/>
    </row>
    <row r="16" spans="1:8" x14ac:dyDescent="0.35">
      <c r="A16" s="4"/>
      <c r="B16" s="4"/>
      <c r="C16" s="4"/>
      <c r="D16" s="4"/>
      <c r="E16" s="4"/>
      <c r="F16" s="4"/>
      <c r="G16" s="4"/>
      <c r="H16" s="4"/>
    </row>
    <row r="34" spans="10:17" x14ac:dyDescent="0.35">
      <c r="J34" s="4"/>
      <c r="K34" s="4"/>
      <c r="L34" s="4"/>
      <c r="M34" s="4"/>
      <c r="N34" s="4"/>
      <c r="O34" s="4"/>
      <c r="P34" s="4"/>
      <c r="Q34" s="4"/>
    </row>
    <row r="35" spans="10:17" x14ac:dyDescent="0.35">
      <c r="J35" s="4"/>
      <c r="K35" s="4"/>
      <c r="L35" s="4"/>
      <c r="M35" s="4"/>
      <c r="N35" s="4"/>
      <c r="O35" s="4"/>
      <c r="P35" s="4"/>
      <c r="Q35" s="4"/>
    </row>
    <row r="36" spans="10:17" x14ac:dyDescent="0.35">
      <c r="J36" s="4"/>
      <c r="K36" s="4"/>
      <c r="L36" s="4"/>
      <c r="M36" s="4"/>
      <c r="N36" s="4"/>
      <c r="O36" s="4"/>
      <c r="P36" s="4"/>
      <c r="Q36" s="4"/>
    </row>
    <row r="37" spans="10:17" x14ac:dyDescent="0.35">
      <c r="J37" s="4"/>
      <c r="K37" s="4"/>
      <c r="L37" s="4"/>
      <c r="M37" s="4"/>
      <c r="N37" s="4"/>
      <c r="O37" s="4"/>
      <c r="P37" s="4"/>
      <c r="Q37" s="4"/>
    </row>
    <row r="38" spans="10:17" x14ac:dyDescent="0.35">
      <c r="J38" s="4"/>
      <c r="K38" s="4"/>
      <c r="L38" s="4"/>
      <c r="M38" s="4"/>
      <c r="N38" s="4"/>
      <c r="O38" s="4"/>
      <c r="P38" s="4"/>
      <c r="Q38" s="4"/>
    </row>
    <row r="39" spans="10:17" x14ac:dyDescent="0.35">
      <c r="J39" s="4"/>
      <c r="K39" s="4"/>
      <c r="L39" s="4"/>
      <c r="M39" s="4"/>
      <c r="N39" s="4"/>
      <c r="O39" s="4"/>
      <c r="P39" s="4"/>
      <c r="Q39" s="4"/>
    </row>
    <row r="40" spans="10:17" x14ac:dyDescent="0.35">
      <c r="J40" s="4"/>
      <c r="K40" s="4"/>
      <c r="L40" s="4"/>
      <c r="M40" s="4"/>
      <c r="N40" s="4"/>
      <c r="O40" s="4"/>
      <c r="P40" s="4"/>
      <c r="Q40" s="4"/>
    </row>
    <row r="41" spans="10:17" x14ac:dyDescent="0.35">
      <c r="J41" s="4"/>
      <c r="K41" s="4"/>
      <c r="L41" s="4"/>
      <c r="M41" s="4"/>
      <c r="N41" s="4"/>
      <c r="O41" s="4"/>
      <c r="P41" s="4"/>
      <c r="Q41" s="4"/>
    </row>
    <row r="42" spans="10:17" x14ac:dyDescent="0.35">
      <c r="J42" s="4"/>
      <c r="K42" s="4"/>
      <c r="L42" s="4"/>
      <c r="M42" s="4"/>
      <c r="N42" s="4"/>
      <c r="O42" s="4"/>
      <c r="P42" s="4"/>
      <c r="Q42" s="4"/>
    </row>
    <row r="43" spans="10:17" x14ac:dyDescent="0.35">
      <c r="J43" s="4"/>
      <c r="K43" s="4"/>
      <c r="L43" s="4"/>
      <c r="M43" s="4"/>
      <c r="N43" s="4"/>
      <c r="O43" s="4"/>
      <c r="P43" s="4"/>
      <c r="Q43" s="4"/>
    </row>
    <row r="44" spans="10:17" x14ac:dyDescent="0.35">
      <c r="J44" s="4"/>
      <c r="K44" s="4"/>
      <c r="L44" s="4"/>
      <c r="M44" s="4"/>
      <c r="N44" s="4"/>
      <c r="O44" s="4"/>
      <c r="P44" s="4"/>
      <c r="Q44" s="4"/>
    </row>
    <row r="45" spans="10:17" x14ac:dyDescent="0.35">
      <c r="J45" s="4"/>
      <c r="K45" s="4"/>
      <c r="L45" s="4"/>
      <c r="M45" s="4"/>
      <c r="N45" s="4"/>
      <c r="O45" s="4"/>
      <c r="P45" s="4"/>
      <c r="Q45" s="4"/>
    </row>
    <row r="46" spans="10:17" x14ac:dyDescent="0.35">
      <c r="J46" s="4"/>
      <c r="K46" s="4"/>
      <c r="L46" s="4"/>
      <c r="M46" s="4"/>
      <c r="N46" s="4"/>
      <c r="O46" s="4"/>
      <c r="P46" s="4"/>
      <c r="Q46" s="4"/>
    </row>
    <row r="47" spans="10:17" x14ac:dyDescent="0.35">
      <c r="J47" s="4"/>
      <c r="K47" s="4"/>
      <c r="L47" s="4"/>
      <c r="M47" s="4"/>
      <c r="N47" s="4"/>
      <c r="O47" s="4"/>
      <c r="P47" s="4"/>
      <c r="Q47" s="4"/>
    </row>
    <row r="48" spans="10:17" x14ac:dyDescent="0.35">
      <c r="J48" s="4"/>
      <c r="K48" s="4"/>
      <c r="L48" s="4"/>
      <c r="M48" s="4"/>
      <c r="N48" s="4"/>
      <c r="O48" s="4"/>
      <c r="P48" s="4"/>
      <c r="Q48" s="4"/>
    </row>
    <row r="49" spans="10:17" x14ac:dyDescent="0.35">
      <c r="J49" s="4"/>
      <c r="K49" s="4"/>
      <c r="L49" s="4"/>
      <c r="M49" s="4"/>
      <c r="N49" s="4"/>
      <c r="O49" s="4"/>
      <c r="P49" s="4"/>
      <c r="Q49" s="4"/>
    </row>
  </sheetData>
  <phoneticPr fontId="0" type="noConversion"/>
  <printOptions horizontalCentered="1" verticalCentered="1"/>
  <pageMargins left="0.86614173228346458" right="0.74803149606299213" top="1.2598425196850394" bottom="0.74803149606299213" header="0.51181102362204722" footer="0.51181102362204722"/>
  <pageSetup orientation="portrait" horizontalDpi="4294967293" verticalDpi="300" r:id="rId1"/>
  <headerFooter alignWithMargins="0">
    <oddHeader>&amp;C&amp;"Verdana,Bold"&amp;12
&amp;K0033CC&amp;A&amp;R&amp;"Arial,Bold"&amp;11&amp;G</oddHeader>
    <oddFooter xml:space="preserve">&amp;R&amp;"Verdana,Italic"&amp;K0033CCCWT Monthly Report - December 2014
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MakeUp</vt:lpstr>
      <vt:lpstr>NEW CT 850 TPD  PH Process</vt:lpstr>
      <vt:lpstr>CT Parameter Graphs</vt:lpstr>
      <vt:lpstr>'CT Parameter Graphs'!Print_Area</vt:lpstr>
      <vt:lpstr>MakeUp!Print_Area</vt:lpstr>
      <vt:lpstr>'NEW CT 850 TPD  PH Process'!Print_Area</vt:lpstr>
    </vt:vector>
  </TitlesOfParts>
  <Company>Wex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</dc:creator>
  <cp:lastModifiedBy>Madhvansh Choksi</cp:lastModifiedBy>
  <cp:lastPrinted>2015-01-18T17:01:09Z</cp:lastPrinted>
  <dcterms:created xsi:type="dcterms:W3CDTF">2003-02-01T03:33:53Z</dcterms:created>
  <dcterms:modified xsi:type="dcterms:W3CDTF">2025-08-30T11:38:27Z</dcterms:modified>
</cp:coreProperties>
</file>